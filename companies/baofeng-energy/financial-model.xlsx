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479b103c4e4a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a797a8eea09449a2"/>
    <x:sheet xmlns:r="http://schemas.openxmlformats.org/officeDocument/2006/relationships" name="Historical" sheetId="2" r:id="R28638ecb15574315"/>
    <x:sheet xmlns:r="http://schemas.openxmlformats.org/officeDocument/2006/relationships" name="Operations" sheetId="3" r:id="R8358fbe7371d4223"/>
    <x:sheet xmlns:r="http://schemas.openxmlformats.org/officeDocument/2006/relationships" name="Balance &amp; Cash" sheetId="4" r:id="Rbe9ac183e2404309"/>
    <x:sheet xmlns:r="http://schemas.openxmlformats.org/officeDocument/2006/relationships" name="Assumptions" sheetId="5" r:id="R554a68f6cdc3498f"/>
    <x:sheet xmlns:r="http://schemas.openxmlformats.org/officeDocument/2006/relationships" name="Valuation" sheetId="6" r:id="Ra8bb3e828d9545cd"/>
    <x:sheet xmlns:r="http://schemas.openxmlformats.org/officeDocument/2006/relationships" name="Checks" sheetId="7" r:id="R78c7d95657fe44cc"/>
    <x:sheet xmlns:r="http://schemas.openxmlformats.org/officeDocument/2006/relationships" name="Sources Audit" sheetId="8" r:id="R45701c0ec46c4c6f"/>
  </x:sheets>
</x:workbook>
</file>

<file path=xl/comments1.xml><?xml version="1.0" encoding="utf-8"?>
<x:comments xmlns:x="http://schemas.openxmlformats.org/spreadsheetml/2006/main">
  <x:authors>
    <x:author>tc={39AF2606-F9D1-4464-9DCE-F699B2134C93}</x:author>
    <x:author>tc={B06A7396-7C6A-4D3F-A975-D789FBAE2FDC}</x:author>
    <x:author>tc={7B093977-F6CD-4C9E-8C03-98311016F8E8}</x:author>
    <x:author>tc={66BA67E8-F0D6-4A05-9002-DE07A1A33D5B}</x:author>
    <x:author>tc={32C0DE0F-4C56-462E-8A3F-C98C09F39584}</x:author>
    <x:author>tc={A96E75FC-39B1-464A-807D-326BD96EEF19}</x:author>
    <x:author>tc={DA4B54D4-B8E6-480E-9F98-B62BFED68257}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M1: 2026-09-01 close RMB24.37; secondary market data.</x:t>
        </x:r>
      </x:text>
    </x:comment>
    <x:comment ref="B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S1: total issued shares 7,333,360,000 at 2026H1.</x:t>
        </x:r>
      </x:text>
    </x:comment>
    <x:comment ref="B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S1: repurchase account shares 60,597,200; excluded from economic shares.</x:t>
        </x:r>
      </x:text>
    </x:comment>
    <x:comment ref="C1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base 2026E recurring attributable profit RMB18.5bn; not consensus or guidance.</x:t>
        </x:r>
      </x:text>
    </x:comment>
    <x:comment ref="C1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12x base P/E balances cost leadership against commodity cyclicality.</x:t>
        </x:r>
      </x:text>
    </x:comment>
    <x:comment ref="C17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base 2026E EBITDA RMB28bn; does not directly annualize H1.</x:t>
        </x:r>
      </x:text>
    </x:comment>
    <x:comment ref="C18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8x base EV/EBITDA includes capital intensity and broad net debt.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4">
    <x:numFmt numFmtId="200" formatCode="yyyy-mm-dd"/>
    <x:numFmt numFmtId="201" formatCode="&quot;RMB &quot;0.00"/>
    <x:numFmt numFmtId="202" formatCode="0.000&quot; bn shares&quot;"/>
    <x:numFmt numFmtId="203" formatCode="0.00&quot; bn&quot;"/>
    <x:numFmt numFmtId="204" formatCode="0.0%"/>
    <x:numFmt numFmtId="205" formatCode="0.0%;[Red](0.0%);-"/>
    <x:numFmt numFmtId="206" formatCode="0.0x"/>
    <x:numFmt numFmtId="207" formatCode="0.00"/>
    <x:numFmt numFmtId="208" formatCode="#,##0.00"/>
    <x:numFmt numFmtId="209" formatCode="0.00x"/>
    <x:numFmt numFmtId="210" formatCode="0.0&quot; bn&quot;"/>
    <x:numFmt numFmtId="211" formatCode="0%"/>
    <x:numFmt numFmtId="212" formatCode="0.0000"/>
    <x:numFmt numFmtId="213" formatCode="0.000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8000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  <x:font>
      <x:i/>
      <x:sz val="11"/>
      <x:name val="Carlito"/>
    </x:font>
    <x:font>
      <x:i/>
      <x:sz val="11"/>
      <x:color rgb="FF000000"/>
      <x:name val="Carlito"/>
    </x:font>
    <x:font>
      <x:sz val="11"/>
      <x:color rgb="FF0000FF"/>
      <x:name val="Carlito"/>
    </x:font>
    <x:font>
      <x:sz val="11"/>
      <x:color rgb="FF0563C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10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</x:borders>
  <x:cellStyleXfs count="1">
    <x:xf numFmtId="0" fontId="0" fillId="0" borderId="0"/>
  </x:cellStyleXfs>
  <x:cellXfs count="1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1" xfId="0" applyNumberFormat="1" applyFont="1" applyFill="1" applyBorder="1"/>
    <x:xf numFmtId="0" fontId="4" fillId="0" borderId="2" xfId="0" applyNumberFormat="1" applyFont="1" applyFill="1" applyBorder="1"/>
    <x:xf numFmtId="200" fontId="5" fillId="0" borderId="2" xfId="0" applyNumberFormat="1" applyFont="1" applyFill="1" applyBorder="1"/>
    <x:xf numFmtId="0" fontId="5" fillId="0" borderId="2" xfId="0" applyNumberFormat="1" applyFont="1" applyFill="1" applyBorder="1"/>
    <x:xf numFmtId="0" fontId="4" fillId="0" borderId="3" xfId="0" applyNumberFormat="1" applyFont="1" applyFill="1" applyBorder="1"/>
    <x:xf numFmtId="0" fontId="5" fillId="0" borderId="3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4" xfId="0" applyNumberFormat="1" applyFont="1" applyFill="1" applyBorder="1"/>
    <x:xf numFmtId="0" fontId="6" fillId="3" borderId="5" xfId="0" applyNumberFormat="1" applyFont="1" applyFill="1" applyBorder="1"/>
    <x:xf numFmtId="0" fontId="6" fillId="3" borderId="6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204" fontId="2" fillId="0" borderId="0" xfId="0" applyNumberFormat="1" applyFont="1" applyFill="1" applyBorder="1"/>
    <x:xf numFmtId="205" fontId="2" fillId="0" borderId="0" xfId="0" applyNumberFormat="1" applyFont="1" applyFill="1" applyBorder="1"/>
    <x:xf numFmtId="206" fontId="2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4" fontId="4" fillId="0" borderId="0" xfId="0" applyNumberFormat="1" applyFont="1" applyFill="1" applyBorder="1"/>
    <x:xf numFmtId="205" fontId="4" fillId="0" borderId="0" xfId="0" applyNumberFormat="1" applyFont="1" applyFill="1" applyBorder="1"/>
    <x:xf numFmtId="206" fontId="4" fillId="0" borderId="0" xfId="0" applyNumberFormat="1" applyFont="1" applyFill="1" applyBorder="1"/>
    <x:xf numFmtId="201" fontId="4" fillId="0" borderId="1" xfId="0" applyNumberFormat="1" applyFont="1" applyFill="1" applyBorder="1"/>
    <x:xf numFmtId="202" fontId="4" fillId="0" borderId="2" xfId="0" applyNumberFormat="1" applyFont="1" applyFill="1" applyBorder="1"/>
    <x:xf numFmtId="203" fontId="4" fillId="0" borderId="2" xfId="0" applyNumberFormat="1" applyFont="1" applyFill="1" applyBorder="1"/>
    <x:xf numFmtId="204" fontId="4" fillId="0" borderId="2" xfId="0" applyNumberFormat="1" applyFont="1" applyFill="1" applyBorder="1"/>
    <x:xf numFmtId="201" fontId="4" fillId="0" borderId="2" xfId="0" applyNumberFormat="1" applyFont="1" applyFill="1" applyBorder="1"/>
    <x:xf numFmtId="205" fontId="4" fillId="0" borderId="2" xfId="0" applyNumberFormat="1" applyFont="1" applyFill="1" applyBorder="1"/>
    <x:xf numFmtId="206" fontId="4" fillId="0" borderId="3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207" fontId="0" fillId="0" borderId="0" xfId="0" applyNumberFormat="1" applyFont="1" applyFill="1" applyBorder="1"/>
    <x:xf numFmtId="205" fontId="0" fillId="4" borderId="0" xfId="0" applyNumberFormat="1" applyFont="1" applyFill="1" applyBorder="1"/>
    <x:xf numFmtId="203" fontId="0" fillId="4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203" fontId="5" fillId="0" borderId="0" xfId="0" applyNumberFormat="1" applyFont="1" applyFill="1" applyBorder="1"/>
    <x:xf numFmtId="0" fontId="5" fillId="4" borderId="0" xfId="0" applyNumberFormat="1" applyFont="1" applyFill="1" applyBorder="1"/>
    <x:xf numFmtId="205" fontId="5" fillId="4" borderId="0" xfId="0" applyNumberFormat="1" applyFont="1" applyFill="1" applyBorder="1"/>
    <x:xf numFmtId="203" fontId="5" fillId="4" borderId="0" xfId="0" applyNumberFormat="1" applyFont="1" applyFill="1" applyBorder="1"/>
    <x:xf numFmtId="207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203" fontId="5" fillId="0" borderId="1" xfId="0" applyNumberFormat="1" applyFont="1" applyFill="1" applyBorder="1"/>
    <x:xf numFmtId="203" fontId="5" fillId="0" borderId="2" xfId="0" applyNumberFormat="1" applyFont="1" applyFill="1" applyBorder="1"/>
    <x:xf numFmtId="0" fontId="5" fillId="4" borderId="2" xfId="0" applyNumberFormat="1" applyFont="1" applyFill="1" applyBorder="1"/>
    <x:xf numFmtId="205" fontId="5" fillId="4" borderId="2" xfId="0" applyNumberFormat="1" applyFont="1" applyFill="1" applyBorder="1"/>
    <x:xf numFmtId="203" fontId="5" fillId="4" borderId="2" xfId="0" applyNumberFormat="1" applyFont="1" applyFill="1" applyBorder="1"/>
    <x:xf numFmtId="207" fontId="5" fillId="0" borderId="2" xfId="0" applyNumberFormat="1" applyFont="1" applyFill="1" applyBorder="1"/>
    <x:xf numFmtId="204" fontId="5" fillId="0" borderId="2" xfId="0" applyNumberFormat="1" applyFont="1" applyFill="1" applyBorder="1"/>
    <x:xf numFmtId="0" fontId="8" fillId="6" borderId="3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203" fontId="0" fillId="7" borderId="0" xfId="0" applyNumberFormat="1" applyFont="1" applyFill="1" applyBorder="1"/>
    <x:xf numFmtId="204" fontId="0" fillId="7" borderId="0" xfId="0" applyNumberFormat="1" applyFont="1" applyFill="1" applyBorder="1"/>
    <x:xf numFmtId="0" fontId="3" fillId="7" borderId="0" xfId="0" applyNumberFormat="1" applyFont="1" applyFill="1" applyBorder="1"/>
    <x:xf numFmtId="203" fontId="3" fillId="7" borderId="0" xfId="0" applyNumberFormat="1" applyFont="1" applyFill="1" applyBorder="1"/>
    <x:xf numFmtId="204" fontId="3" fillId="7" borderId="0" xfId="0" applyNumberFormat="1" applyFont="1" applyFill="1" applyBorder="1"/>
    <x:xf numFmtId="0" fontId="4" fillId="7" borderId="0" xfId="0" applyNumberFormat="1" applyFont="1" applyFill="1" applyBorder="1"/>
    <x:xf numFmtId="203" fontId="4" fillId="7" borderId="0" xfId="0" applyNumberFormat="1" applyFont="1" applyFill="1" applyBorder="1"/>
    <x:xf numFmtId="204" fontId="4" fillId="7" borderId="0" xfId="0" applyNumberFormat="1" applyFont="1" applyFill="1" applyBorder="1"/>
    <x:xf numFmtId="204" fontId="5" fillId="0" borderId="1" xfId="0" applyNumberFormat="1" applyFont="1" applyFill="1" applyBorder="1"/>
    <x:xf numFmtId="0" fontId="4" fillId="7" borderId="3" xfId="0" applyNumberFormat="1" applyFont="1" applyFill="1" applyBorder="1"/>
    <x:xf numFmtId="203" fontId="4" fillId="7" borderId="3" xfId="0" applyNumberFormat="1" applyFont="1" applyFill="1" applyBorder="1"/>
    <x:xf numFmtId="204" fontId="4" fillId="7" borderId="3" xfId="0" applyNumberFormat="1" applyFont="1" applyFill="1" applyBorder="1"/>
    <x:xf numFmtId="208" fontId="0" fillId="0" borderId="0" xfId="0" applyNumberFormat="1" applyFont="1" applyFill="1" applyBorder="1"/>
    <x:xf numFmtId="208" fontId="5" fillId="0" borderId="0" xfId="0" applyNumberFormat="1" applyFont="1" applyFill="1" applyBorder="1"/>
    <x:xf numFmtId="205" fontId="5" fillId="0" borderId="0" xfId="0" applyNumberFormat="1" applyFont="1" applyFill="1" applyBorder="1"/>
    <x:xf numFmtId="207" fontId="5" fillId="0" borderId="1" xfId="0" applyNumberFormat="1" applyFont="1" applyFill="1" applyBorder="1"/>
    <x:xf numFmtId="208" fontId="5" fillId="0" borderId="1" xfId="0" applyNumberFormat="1" applyFont="1" applyFill="1" applyBorder="1"/>
    <x:xf numFmtId="205" fontId="5" fillId="0" borderId="1" xfId="0" applyNumberFormat="1" applyFont="1" applyFill="1" applyBorder="1"/>
    <x:xf numFmtId="208" fontId="5" fillId="0" borderId="2" xfId="0" applyNumberFormat="1" applyFont="1" applyFill="1" applyBorder="1"/>
    <x:xf numFmtId="205" fontId="5" fillId="0" borderId="2" xfId="0" applyNumberFormat="1" applyFont="1" applyFill="1" applyBorder="1"/>
    <x:xf numFmtId="207" fontId="5" fillId="0" borderId="3" xfId="0" applyNumberFormat="1" applyFont="1" applyFill="1" applyBorder="1"/>
    <x:xf numFmtId="203" fontId="5" fillId="0" borderId="3" xfId="0" applyNumberFormat="1" applyFont="1" applyFill="1" applyBorder="1"/>
    <x:xf numFmtId="208" fontId="5" fillId="0" borderId="3" xfId="0" applyNumberFormat="1" applyFont="1" applyFill="1" applyBorder="1"/>
    <x:xf numFmtId="205" fontId="5" fillId="0" borderId="3" xfId="0" applyNumberFormat="1" applyFont="1" applyFill="1" applyBorder="1"/>
    <x:xf numFmtId="204" fontId="5" fillId="0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209" fontId="0" fillId="0" borderId="0" xfId="0" applyNumberFormat="1" applyFont="1" applyFill="1" applyBorder="1"/>
    <x:xf numFmtId="209" fontId="5" fillId="0" borderId="0" xfId="0" applyNumberFormat="1" applyFont="1" applyFill="1" applyBorder="1"/>
    <x:xf numFmtId="209" fontId="5" fillId="0" borderId="3" xfId="0" applyNumberFormat="1" applyFont="1" applyFill="1" applyBorder="1"/>
    <x:xf numFmtId="201" fontId="9" fillId="0" borderId="0" xfId="0" applyNumberFormat="1" applyFont="1" applyFill="1" applyBorder="1"/>
    <x:xf numFmtId="202" fontId="9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2" xfId="0" applyNumberFormat="1" applyFont="1" applyFill="1" applyBorder="1"/>
    <x:xf numFmtId="0" fontId="9" fillId="0" borderId="0" xfId="0" applyNumberFormat="1" applyFont="1" applyFill="1" applyBorder="1"/>
    <x:xf numFmtId="210" fontId="9" fillId="0" borderId="0" xfId="0" applyNumberFormat="1" applyFont="1" applyFill="1" applyBorder="1"/>
    <x:xf numFmtId="206" fontId="9" fillId="0" borderId="0" xfId="0" applyNumberFormat="1" applyFont="1" applyFill="1" applyBorder="1"/>
    <x:xf numFmtId="211" fontId="0" fillId="0" borderId="0" xfId="0" applyNumberFormat="1" applyFont="1" applyFill="1" applyBorder="1"/>
    <x:xf numFmtId="210" fontId="5" fillId="0" borderId="0" xfId="0" applyNumberFormat="1" applyFont="1" applyFill="1" applyBorder="1"/>
    <x:xf numFmtId="211" fontId="5" fillId="0" borderId="0" xfId="0" applyNumberFormat="1" applyFont="1" applyFill="1" applyBorder="1"/>
    <x:xf numFmtId="206" fontId="5" fillId="0" borderId="0" xfId="0" applyNumberFormat="1" applyFont="1" applyFill="1" applyBorder="1"/>
    <x:xf numFmtId="210" fontId="5" fillId="0" borderId="1" xfId="0" applyNumberFormat="1" applyFont="1" applyFill="1" applyBorder="1"/>
    <x:xf numFmtId="211" fontId="5" fillId="0" borderId="1" xfId="0" applyNumberFormat="1" applyFont="1" applyFill="1" applyBorder="1"/>
    <x:xf numFmtId="206" fontId="5" fillId="0" borderId="2" xfId="0" applyNumberFormat="1" applyFont="1" applyFill="1" applyBorder="1"/>
    <x:xf numFmtId="211" fontId="5" fillId="0" borderId="2" xfId="0" applyNumberFormat="1" applyFont="1" applyFill="1" applyBorder="1"/>
    <x:xf numFmtId="210" fontId="5" fillId="0" borderId="2" xfId="0" applyNumberFormat="1" applyFont="1" applyFill="1" applyBorder="1"/>
    <x:xf numFmtId="210" fontId="0" fillId="0" borderId="0" xfId="0" applyNumberFormat="1" applyFont="1" applyFill="1" applyBorder="1"/>
    <x:xf numFmtId="210" fontId="0" fillId="7" borderId="0" xfId="0" applyNumberFormat="1" applyFont="1" applyFill="1" applyBorder="1"/>
    <x:xf numFmtId="206" fontId="0" fillId="7" borderId="0" xfId="0" applyNumberFormat="1" applyFont="1" applyFill="1" applyBorder="1"/>
    <x:xf numFmtId="201" fontId="0" fillId="7" borderId="0" xfId="0" applyNumberFormat="1" applyFont="1" applyFill="1" applyBorder="1"/>
    <x:xf numFmtId="205" fontId="0" fillId="7" borderId="0" xfId="0" applyNumberFormat="1" applyFont="1" applyFill="1" applyBorder="1"/>
    <x:xf numFmtId="201" fontId="3" fillId="0" borderId="0" xfId="0" applyNumberFormat="1" applyFont="1" applyFill="1" applyBorder="1"/>
    <x:xf numFmtId="201" fontId="3" fillId="7" borderId="0" xfId="0" applyNumberFormat="1" applyFont="1" applyFill="1" applyBorder="1"/>
    <x:xf numFmtId="0" fontId="5" fillId="7" borderId="0" xfId="0" applyNumberFormat="1" applyFont="1" applyFill="1" applyBorder="1"/>
    <x:xf numFmtId="210" fontId="5" fillId="7" borderId="0" xfId="0" applyNumberFormat="1" applyFont="1" applyFill="1" applyBorder="1"/>
    <x:xf numFmtId="206" fontId="5" fillId="7" borderId="0" xfId="0" applyNumberFormat="1" applyFont="1" applyFill="1" applyBorder="1"/>
    <x:xf numFmtId="201" fontId="5" fillId="7" borderId="0" xfId="0" applyNumberFormat="1" applyFont="1" applyFill="1" applyBorder="1"/>
    <x:xf numFmtId="201" fontId="4" fillId="7" borderId="0" xfId="0" applyNumberFormat="1" applyFont="1" applyFill="1" applyBorder="1"/>
    <x:xf numFmtId="205" fontId="5" fillId="7" borderId="0" xfId="0" applyNumberFormat="1" applyFont="1" applyFill="1" applyBorder="1"/>
    <x:xf numFmtId="206" fontId="5" fillId="0" borderId="1" xfId="0" applyNumberFormat="1" applyFont="1" applyFill="1" applyBorder="1"/>
    <x:xf numFmtId="0" fontId="5" fillId="7" borderId="2" xfId="0" applyNumberFormat="1" applyFont="1" applyFill="1" applyBorder="1"/>
    <x:xf numFmtId="210" fontId="5" fillId="7" borderId="2" xfId="0" applyNumberFormat="1" applyFont="1" applyFill="1" applyBorder="1"/>
    <x:xf numFmtId="206" fontId="5" fillId="7" borderId="2" xfId="0" applyNumberFormat="1" applyFont="1" applyFill="1" applyBorder="1"/>
    <x:xf numFmtId="201" fontId="5" fillId="7" borderId="2" xfId="0" applyNumberFormat="1" applyFont="1" applyFill="1" applyBorder="1"/>
    <x:xf numFmtId="201" fontId="4" fillId="7" borderId="2" xfId="0" applyNumberFormat="1" applyFont="1" applyFill="1" applyBorder="1"/>
    <x:xf numFmtId="205" fontId="5" fillId="7" borderId="2" xfId="0" applyNumberFormat="1" applyFont="1" applyFill="1" applyBorder="1"/>
    <x:xf numFmtId="210" fontId="5" fillId="0" borderId="3" xfId="0" applyNumberFormat="1" applyFont="1" applyFill="1" applyBorder="1"/>
    <x:xf numFmtId="206" fontId="5" fillId="0" borderId="3" xfId="0" applyNumberFormat="1" applyFont="1" applyFill="1" applyBorder="1"/>
    <x:xf numFmtId="201" fontId="5" fillId="0" borderId="3" xfId="0" applyNumberFormat="1" applyFont="1" applyFill="1" applyBorder="1"/>
    <x:xf numFmtId="201" fontId="4" fillId="0" borderId="3" xfId="0" applyNumberFormat="1" applyFont="1" applyFill="1" applyBorder="1"/>
    <x:xf numFmtId="201" fontId="5" fillId="0" borderId="2" xfId="0" applyNumberFormat="1" applyFont="1" applyFill="1" applyBorder="1"/>
    <x:xf numFmtId="212" fontId="0" fillId="0" borderId="0" xfId="0" applyNumberFormat="1" applyFont="1" applyFill="1" applyBorder="1"/>
    <x:xf numFmtId="212" fontId="5" fillId="0" borderId="0" xfId="0" applyNumberFormat="1" applyFont="1" applyFill="1" applyBorder="1"/>
    <x:xf numFmtId="212" fontId="5" fillId="0" borderId="1" xfId="0" applyNumberFormat="1" applyFont="1" applyFill="1" applyBorder="1"/>
    <x:xf numFmtId="212" fontId="5" fillId="0" borderId="2" xfId="0" applyNumberFormat="1" applyFont="1" applyFill="1" applyBorder="1"/>
    <x:xf numFmtId="212" fontId="5" fillId="0" borderId="3" xfId="0" applyNumberFormat="1" applyFont="1" applyFill="1" applyBorder="1"/>
    <x:xf numFmtId="213" fontId="0" fillId="0" borderId="0" xfId="0" applyNumberFormat="1" applyFont="1" applyFill="1" applyBorder="1"/>
    <x:xf numFmtId="0" fontId="10" fillId="0" borderId="0" xfId="0" applyNumberFormat="1" applyFont="1" applyFill="1" applyBorder="1"/>
    <x:xf numFmtId="213" fontId="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213" fontId="5" fillId="0" borderId="0" xfId="0" applyNumberFormat="1" applyFont="1" applyFill="1" applyBorder="1" applyAlignment="1">
      <x:alignment wrapText="1"/>
    </x:xf>
    <x:xf numFmtId="213" fontId="5" fillId="0" borderId="1" xfId="0" applyNumberFormat="1" applyFont="1" applyFill="1" applyBorder="1" applyAlignment="1">
      <x:alignment wrapText="1"/>
    </x:xf>
    <x:xf numFmtId="213" fontId="5" fillId="0" borderId="2" xfId="0" applyNumberFormat="1" applyFont="1" applyFill="1" applyBorder="1" applyAlignment="1">
      <x:alignment wrapText="1"/>
    </x:xf>
    <x:xf numFmtId="213" fontId="5" fillId="0" borderId="3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831394d62f4d98" /><Relationship Type="http://schemas.openxmlformats.org/officeDocument/2006/relationships/theme" Target="/xl/theme/theme1.xml" Id="Rdc4814299a224fc9" /><Relationship Type="http://schemas.openxmlformats.org/officeDocument/2006/relationships/sharedStrings" Target="/xl/sharedStrings.xml" Id="Re29edfa540034b68" /><Relationship Type="http://schemas.openxmlformats.org/officeDocument/2006/relationships/worksheet" Target="/xl/worksheets/sheet1.xml" Id="Ra797a8eea09449a2" /><Relationship Type="http://schemas.openxmlformats.org/officeDocument/2006/relationships/worksheet" Target="/xl/worksheets/sheet2.xml" Id="R28638ecb15574315" /><Relationship Type="http://schemas.openxmlformats.org/officeDocument/2006/relationships/worksheet" Target="/xl/worksheets/sheet3.xml" Id="R8358fbe7371d4223" /><Relationship Type="http://schemas.openxmlformats.org/officeDocument/2006/relationships/worksheet" Target="/xl/worksheets/sheet4.xml" Id="Rbe9ac183e2404309" /><Relationship Type="http://schemas.openxmlformats.org/officeDocument/2006/relationships/worksheet" Target="/xl/worksheets/sheet5.xml" Id="R554a68f6cdc3498f" /><Relationship Type="http://schemas.openxmlformats.org/officeDocument/2006/relationships/worksheet" Target="/xl/worksheets/sheet6.xml" Id="Ra8bb3e828d9545cd" /><Relationship Type="http://schemas.openxmlformats.org/officeDocument/2006/relationships/worksheet" Target="/xl/worksheets/sheet7.xml" Id="R78c7d95657fe44cc" /><Relationship Type="http://schemas.openxmlformats.org/officeDocument/2006/relationships/worksheet" Target="/xl/worksheets/sheet8.xml" Id="R45701c0ec46c4c6f" /><Relationship Type="http://schemas.microsoft.com/office/2017/10/relationships/person" Target="/xl/persons/person.xml" Id="R8077a50e6c374cc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0bce215ada344ef" /><Relationship Type="http://schemas.openxmlformats.org/officeDocument/2006/relationships/chart" Target="/xl/drawings/charts/chart2.xml" Id="R7063beaf9d184d9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2026H1收入结构（RMB bn）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收入</c:v>
          </c:tx>
          <c:spPr>
            <a:solidFill xmlns:a="http://schemas.openxmlformats.org/drawingml/2006/main">
              <a:srgbClr val="1F4E78"/>
            </a:solidFill>
          </c:spPr>
          <c:cat>
            <c:strRef>
              <c:f>'Operations'!$A$4:$A$7</c:f>
              <c:strCache>
                <c:ptCount val="0"/>
              </c:strCache>
            </c:strRef>
          </c:cat>
          <c:val>
            <c:numRef>
              <c:f>'Operations'!$B$4:$B$7</c:f>
              <c:numCache>
                <c:formatCode>0" bn"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2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&quot; bn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情景价值与当前股价（RMB/股）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情景价值</c:v>
          </c:tx>
          <c:spPr>
            <a:solidFill xmlns:a="http://schemas.openxmlformats.org/drawingml/2006/main">
              <a:srgbClr val="17365D"/>
            </a:solidFill>
          </c:spPr>
          <c:cat>
            <c:strRef>
              <c:f>'Valuation'!$A$5:$A$7</c:f>
              <c:strCache>
                <c:ptCount val="0"/>
              </c:strCache>
            </c:strRef>
          </c:cat>
          <c:val>
            <c:numRef>
              <c:f>'Valuation'!$H$5:$H$7</c:f>
              <c:numCache>
                <c:formatCode>"RMB "0</c:formatCode>
                <c:ptCount val="0"/>
              </c:numCache>
            </c:numRef>
          </c:val>
        </c:ser>
        <c:ser>
          <c:idx val="1"/>
          <c:order val="1"/>
          <c:tx>
            <c:v>当前股价</c:v>
          </c:tx>
          <c:spPr>
            <a:solidFill xmlns:a="http://schemas.openxmlformats.org/drawingml/2006/main">
              <a:srgbClr val="C9A227"/>
            </a:solidFill>
          </c:spPr>
          <c:cat>
            <c:strRef>
              <c:f>'Valuation'!$A$5:$A$7</c:f>
              <c:strCache>
                <c:ptCount val="0"/>
              </c:strCache>
            </c:strRef>
          </c:cat>
          <c:val>
            <c:numRef>
              <c:f>'Cover'!$J$3:$J$5</c:f>
              <c:numCache>
                <c:formatCode>"RMB "0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4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MB &quot;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bce215ada344ef"/>
        </a:graphicData>
      </a:graphic>
    </xdr:graphicFrame>
    <xdr:clientData/>
  </xdr:twoCellAnchor>
  <xdr:twoCellAnchor>
    <xdr:from>
      <xdr:col>3</xdr:col>
      <xdr:colOff>0</xdr:colOff>
      <xdr:row>13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63beaf9d184d9e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Equity Research" id="{E296DA64-2EB2-416A-AF42-6C8D6F4E1E35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9-02T06:42:54.692" personId="{E296DA64-2EB2-416A-AF42-6C8D6F4E1E35}" id="{39AF2606-F9D1-4464-9DCE-F699B2134C93}">
    <xltc:text>Source M1: 2026-09-01 close RMB24.37; secondary market data.</xltc:text>
  </xltc:threadedComment>
  <xltc:threadedComment ref="B5" dT="2026-09-02T06:42:54.693" personId="{E296DA64-2EB2-416A-AF42-6C8D6F4E1E35}" id="{B06A7396-7C6A-4D3F-A975-D789FBAE2FDC}">
    <xltc:text>Source S1: total issued shares 7,333,360,000 at 2026H1.</xltc:text>
  </xltc:threadedComment>
  <xltc:threadedComment ref="B6" dT="2026-09-02T06:42:54.693" personId="{E296DA64-2EB2-416A-AF42-6C8D6F4E1E35}" id="{7B093977-F6CD-4C9E-8C03-98311016F8E8}">
    <xltc:text>Source S1: repurchase account shares 60,597,200; excluded from economic shares.</xltc:text>
  </xltc:threadedComment>
  <xltc:threadedComment ref="C15" dT="2026-09-02T06:42:54.693" personId="{E296DA64-2EB2-416A-AF42-6C8D6F4E1E35}" id="{66BA67E8-F0D6-4A05-9002-DE07A1A33D5B}">
    <xltc:text>Analyst assumption: base 2026E recurring attributable profit RMB18.5bn; not consensus or guidance.</xltc:text>
  </xltc:threadedComment>
  <xltc:threadedComment ref="C16" dT="2026-09-02T06:42:54.693" personId="{E296DA64-2EB2-416A-AF42-6C8D6F4E1E35}" id="{32C0DE0F-4C56-462E-8A3F-C98C09F39584}">
    <xltc:text>Analyst assumption: 12x base P/E balances cost leadership against commodity cyclicality.</xltc:text>
  </xltc:threadedComment>
  <xltc:threadedComment ref="C17" dT="2026-09-02T06:42:54.693" personId="{E296DA64-2EB2-416A-AF42-6C8D6F4E1E35}" id="{A96E75FC-39B1-464A-807D-326BD96EEF19}">
    <xltc:text>Analyst assumption: base 2026E EBITDA RMB28bn; does not directly annualize H1.</xltc:text>
  </xltc:threadedComment>
  <xltc:threadedComment ref="C18" dT="2026-09-02T06:42:54.693" personId="{E296DA64-2EB2-416A-AF42-6C8D6F4E1E35}" id="{DA4B54D4-B8E6-480E-9F98-B62BFED68257}">
    <xltc:text>Analyst assumption: 8x base EV/EBITDA includes capital intensity and broad net debt.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921d13e405d4d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1.xml" Id="R0982a29657164238" /><Relationship Type="http://schemas.openxmlformats.org/officeDocument/2006/relationships/vmlDrawing" Target="/xl/drawings/vmldrawing.vml" Id="R6399852a12e64fe7" /><Relationship Type="http://schemas.microsoft.com/office/2017/10/relationships/threadedComment" Target="/xl/threadedcomments/threadedcomment.xml" Id="Rc112bb2b21534c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9" hidden="0" customWidth="1"/>
    <x:col min="3" max="3" width="42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0" customHeight="1">
      <x:c r="A1" s="3" t="str">
        <x:v>宝丰能源（600989.SH）基本面与估值模型</x:v>
      </x:c>
      <x:c r="B1" s="3" t="str">
        <x:v>宝丰能源（600989.SH）基本面与估值模型</x:v>
      </x:c>
      <x:c r="C1" s="3" t="str">
        <x:v>宝丰能源（600989.SH）基本面与估值模型</x:v>
      </x:c>
      <x:c r="D1" s="3" t="str">
        <x:v>宝丰能源（600989.SH）基本面与估值模型</x:v>
      </x:c>
      <x:c r="E1" s="3" t="str">
        <x:v>宝丰能源（600989.SH）基本面与估值模型</x:v>
      </x:c>
      <x:c r="F1" s="3" t="str">
        <x:v>宝丰能源（600989.SH）基本面与估值模型</x:v>
      </x:c>
      <x:c r="G1" s="3" t="str">
        <x:v>宝丰能源（600989.SH）基本面与估值模型</x:v>
      </x:c>
      <x:c r="H1" s="3" t="str">
        <x:v>宝丰能源（600989.SH）基本面与估值模型</x:v>
      </x:c>
    </x:row>
    <x:row r="2">
      <x:c r="J2" t="str">
        <x:v>当前价格</x:v>
      </x:c>
    </x:row>
    <x:row r="3">
      <x:c r="A3" s="10" t="str">
        <x:v>公司</x:v>
      </x:c>
      <x:c r="B3" s="11" t="str">
        <x:v>宁夏宝丰能源集团股份有限公司</x:v>
      </x:c>
      <x:c r="J3" t="n">
        <x:f>'Assumptions'!B4</x:f>
        <x:v>24.37</x:v>
      </x:c>
    </x:row>
    <x:row r="4">
      <x:c r="A4" s="12" t="str">
        <x:v>价格基准</x:v>
      </x:c>
      <x:c r="B4" s="13" t="n">
        <x:v>46266</x:v>
      </x:c>
      <x:c r="J4" t="n">
        <x:f>'Assumptions'!B4</x:f>
        <x:v>24.37</x:v>
      </x:c>
    </x:row>
    <x:row r="5">
      <x:c r="A5" s="12" t="str">
        <x:v>资料截止</x:v>
      </x:c>
      <x:c r="B5" s="14" t="str">
        <x:v>2026-09-02</x:v>
      </x:c>
      <x:c r="J5" t="n">
        <x:f>'Assumptions'!B4</x:f>
        <x:v>24.37</x:v>
      </x:c>
    </x:row>
    <x:row r="6">
      <x:c r="A6" s="12" t="str">
        <x:v>报告货币</x:v>
      </x:c>
      <x:c r="B6" s="14" t="str">
        <x:v>人民币十亿元；每股价值为人民币</x:v>
      </x:c>
    </x:row>
    <x:row r="7">
      <x:c r="A7" s="12" t="str">
        <x:v>模型版本</x:v>
      </x:c>
      <x:c r="B7" s="14" t="str">
        <x:v>首次建档 / 2026H1 v1.0</x:v>
      </x:c>
    </x:row>
    <x:row r="8">
      <x:c r="A8" s="12" t="str">
        <x:v>估值框架</x:v>
      </x:c>
      <x:c r="B8" s="14" t="str">
        <x:v>70% 正常化扣非P/E + 30% EV/EBITDA</x:v>
      </x:c>
    </x:row>
    <x:row r="9">
      <x:c r="A9" s="12" t="str">
        <x:v>模型状态</x:v>
      </x:c>
      <x:c r="B9" s="12" t="str">
        <x:f>'Checks'!F2</x:f>
        <x:v>OK</x:v>
      </x:c>
    </x:row>
    <x:row r="10">
      <x:c r="A10" s="15" t="str">
        <x:v>当前判断</x:v>
      </x:c>
      <x:c r="B10" s="16" t="str">
        <x:v>谨慎积极；业务质量高，盈利可见度中</x:v>
      </x:c>
    </x:row>
    <x:row r="12">
      <x:c r="A12" s="19" t="str">
        <x:v>关键输出</x:v>
      </x:c>
      <x:c r="B12" s="20" t="str">
        <x:v>数值</x:v>
      </x:c>
      <x:c r="C12" s="21" t="str">
        <x:v>说明</x:v>
      </x:c>
    </x:row>
    <x:row r="13">
      <x:c r="A13" s="11" t="str">
        <x:v>当前股价</x:v>
      </x:c>
      <x:c r="B13" s="40" t="n">
        <x:f>'Assumptions'!B4</x:f>
        <x:v>24.37</x:v>
      </x:c>
      <x:c r="C13" s="11" t="str">
        <x:v>2026-09-01 收盘</x:v>
      </x:c>
    </x:row>
    <x:row r="14">
      <x:c r="A14" s="14" t="str">
        <x:v>经济股数</x:v>
      </x:c>
      <x:c r="B14" s="41" t="n">
        <x:f>'Assumptions'!B8</x:f>
        <x:v>7.2727628</x:v>
      </x:c>
      <x:c r="C14" s="14" t="str">
        <x:v>总股本减回购专户</x:v>
      </x:c>
    </x:row>
    <x:row r="15">
      <x:c r="A15" s="14" t="str">
        <x:v>经济市值</x:v>
      </x:c>
      <x:c r="B15" s="42" t="n">
        <x:f>'Assumptions'!B9</x:f>
        <x:v>177.237229436</x:v>
      </x:c>
      <x:c r="C15" s="14" t="str">
        <x:v>价格×经济股数</x:v>
      </x:c>
    </x:row>
    <x:row r="16">
      <x:c r="A16" s="14" t="str">
        <x:v>2026H1扣非净利润</x:v>
      </x:c>
      <x:c r="B16" s="42" t="n">
        <x:f>'Historical'!F6</x:f>
        <x:v>9.209887</x:v>
      </x:c>
      <x:c r="C16" s="14" t="str">
        <x:v>优先经营口径</x:v>
      </x:c>
    </x:row>
    <x:row r="17">
      <x:c r="A17" s="14" t="str">
        <x:v>2026H1 CFO/扣非利润</x:v>
      </x:c>
      <x:c r="B17" s="43" t="n">
        <x:f>'Historical'!F12</x:f>
        <x:v>1.2990754392534891</x:v>
      </x:c>
      <x:c r="C17" s="14" t="str">
        <x:v>单期受结算影响</x:v>
      </x:c>
    </x:row>
    <x:row r="18">
      <x:c r="A18" s="14" t="str">
        <x:v>2026H1烯烃收入占比</x:v>
      </x:c>
      <x:c r="B18" s="43" t="n">
        <x:f>'Operations'!C4</x:f>
        <x:v>0.7983438413462796</x:v>
      </x:c>
      <x:c r="C18" s="14" t="str">
        <x:v>周期暴露</x:v>
      </x:c>
    </x:row>
    <x:row r="19">
      <x:c r="A19" s="14" t="str">
        <x:v>广义净债务</x:v>
      </x:c>
      <x:c r="B19" s="42" t="n">
        <x:f>'Balance &amp; Cash'!B20</x:f>
        <x:v>25.716656</x:v>
      </x:c>
      <x:c r="C19" s="14" t="str">
        <x:v>含租赁和长期应付款</x:v>
      </x:c>
    </x:row>
    <x:row r="20">
      <x:c r="A20" s="14" t="str">
        <x:v>Bear价值</x:v>
      </x:c>
      <x:c r="B20" s="44" t="n">
        <x:f>'Valuation'!H5</x:f>
        <x:v>19.502217671666674</x:v>
      </x:c>
      <x:c r="C20" s="14" t="str">
        <x:v>价差快速回落</x:v>
      </x:c>
    </x:row>
    <x:row r="21">
      <x:c r="A21" s="14" t="str">
        <x:v>Base价值</x:v>
      </x:c>
      <x:c r="B21" s="44" t="n">
        <x:f>'Valuation'!H6</x:f>
        <x:v>29.546543605134488</x:v>
      </x:c>
      <x:c r="C21" s="14" t="str">
        <x:v>价差部分维持</x:v>
      </x:c>
    </x:row>
    <x:row r="22">
      <x:c r="A22" s="14" t="str">
        <x:v>Bull价值</x:v>
      </x:c>
      <x:c r="B22" s="44" t="n">
        <x:f>'Valuation'!H7</x:f>
        <x:v>41.405860672370615</x:v>
      </x:c>
      <x:c r="C22" s="14" t="str">
        <x:v>高价差与四期兑现</x:v>
      </x:c>
    </x:row>
    <x:row r="23">
      <x:c r="A23" s="14" t="str">
        <x:v>Base相对现价</x:v>
      </x:c>
      <x:c r="B23" s="45" t="n">
        <x:f>'Valuation'!I6</x:f>
        <x:v>0.212414591921809</x:v>
      </x:c>
      <x:c r="C23" s="14" t="str">
        <x:v>情景差异，不是收益保证</x:v>
      </x:c>
    </x:row>
    <x:row r="24">
      <x:c r="A24" s="16" t="str">
        <x:v>Base隐含扣非P/E</x:v>
      </x:c>
      <x:c r="B24" s="46" t="n">
        <x:f>'Assumptions'!B9/'Assumptions'!C15</x:f>
        <x:v>9.580390780324326</x:v>
      </x:c>
      <x:c r="C24" s="16" t="str">
        <x:v>经济市值/基准利润</x:v>
      </x:c>
    </x:row>
    <x:row r="27">
      <x:c r="A27" s="19" t="str">
        <x:v>研究结论</x:v>
      </x:c>
      <x:c r="B27" s="20" t="str">
        <x:v>研究结论</x:v>
      </x:c>
      <x:c r="C27" s="20" t="str">
        <x:v>研究结论</x:v>
      </x:c>
      <x:c r="D27" s="20" t="str">
        <x:v>研究结论</x:v>
      </x:c>
      <x:c r="E27" s="20" t="str">
        <x:v>研究结论</x:v>
      </x:c>
      <x:c r="F27" s="20" t="str">
        <x:v>研究结论</x:v>
      </x:c>
      <x:c r="G27" s="20" t="str">
        <x:v>研究结论</x:v>
      </x:c>
      <x:c r="H27" s="21" t="str">
        <x:v>研究结论</x:v>
      </x:c>
    </x:row>
    <x:row r="28" ht="24" customHeight="1">
      <x:c r="A28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B28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C28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D28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E28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F28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G28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H28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</x:row>
    <x:row r="29" ht="24" customHeight="1">
      <x:c r="A29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B29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C29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D29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E29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F29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G29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H29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</x:row>
    <x:row r="30" ht="24" customHeight="1">
      <x:c r="A30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B30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C30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D30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E30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F30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G30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H30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</x:row>
    <x:row r="31" ht="24" customHeight="1">
      <x:c r="A31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B31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C31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D31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E31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F31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G31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H31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</x:row>
    <x:row r="32" ht="24" customHeight="1">
      <x:c r="A32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B32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C32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D32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E32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F32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G32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H32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</x:row>
    <x:row r="33" ht="24" customHeight="1">
      <x:c r="A33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B33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C33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D33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E33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F33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G33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H33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</x:row>
    <x:row r="34" ht="24" customHeight="1">
      <x:c r="A34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B34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C34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D34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E34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F34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G34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  <x:c r="H34" s="49" t="str">
        <x:v>2026H1收入301.98亿元、扣非归母净利润92.10亿元；内蒙古项目放量叠加价差扩张，使综合毛利率升至43.56%。公司一体化和规模优势真实，但标准化烯烃缺乏定价权，不能把H1高毛利机械年化。模型采用70%正常化扣非P/E与30% EV/EBITDA，Bear/Base/Bull为19.50/29.55/41.41元。24.37元对应基准上行21.2%，结论谨慎积极；重点跟踪油煤价差、装置负荷、宁东四期资本开支与广义净债务。</x:v>
      </x:c>
    </x:row>
  </x:sheetData>
  <x:mergeCells>
    <x:mergeCell ref="A1:H1"/>
    <x:mergeCell ref="A27:H27"/>
    <x:mergeCell ref="A28:H34"/>
  </x:mergeCells>
  <x:pageMargins left="0.7" right="0.7" top="0.75" bottom="0.75" header="0.3" footer="0.3"/>
  <x:drawing xmlns:r="http://schemas.openxmlformats.org/officeDocument/2006/relationships" r:id="R2921d13e405d4dd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3" t="str">
        <x:v>历史财务、季度拆分与盈利质量</x:v>
      </x:c>
      <x:c r="B1" s="3" t="str">
        <x:v>历史财务、季度拆分与盈利质量</x:v>
      </x:c>
      <x:c r="C1" s="3" t="str">
        <x:v>历史财务、季度拆分与盈利质量</x:v>
      </x:c>
      <x:c r="D1" s="3" t="str">
        <x:v>历史财务、季度拆分与盈利质量</x:v>
      </x:c>
      <x:c r="E1" s="3" t="str">
        <x:v>历史财务、季度拆分与盈利质量</x:v>
      </x:c>
      <x:c r="F1" s="3" t="str">
        <x:v>历史财务、季度拆分与盈利质量</x:v>
      </x:c>
      <x:c r="G1" s="3" t="str">
        <x:v>历史财务、季度拆分与盈利质量</x:v>
      </x:c>
    </x:row>
    <x:row r="3">
      <x:c r="A3" s="52" t="str">
        <x:v>指标（RMB bn，除注明外）</x:v>
      </x:c>
      <x:c r="B3" s="53" t="str">
        <x:v>2023A</x:v>
      </x:c>
      <x:c r="C3" s="53" t="str">
        <x:v>2024A</x:v>
      </x:c>
      <x:c r="D3" s="53" t="str">
        <x:v>2025A</x:v>
      </x:c>
      <x:c r="E3" s="53" t="str">
        <x:v>2026Q1</x:v>
      </x:c>
      <x:c r="F3" s="53" t="str">
        <x:v>2026H1</x:v>
      </x:c>
      <x:c r="G3" s="54" t="str">
        <x:v>2026Q2 计算</x:v>
      </x:c>
    </x:row>
    <x:row r="4">
      <x:c r="A4" s="11" t="str">
        <x:v>营业收入</x:v>
      </x:c>
      <x:c r="B4" s="68" t="n">
        <x:v>29.135511</x:v>
      </x:c>
      <x:c r="C4" s="68" t="n">
        <x:v>32.98289</x:v>
      </x:c>
      <x:c r="D4" s="68" t="n">
        <x:v>48.037593</x:v>
      </x:c>
      <x:c r="E4" s="68" t="n">
        <x:v>13.236777</x:v>
      </x:c>
      <x:c r="F4" s="68" t="n">
        <x:v>30.197584</x:v>
      </x:c>
      <x:c r="G4" s="68" t="n">
        <x:f>F4-E4</x:f>
        <x:v>16.960807</x:v>
      </x:c>
    </x:row>
    <x:row r="5">
      <x:c r="A5" s="14" t="str">
        <x:v>归母净利润</x:v>
      </x:c>
      <x:c r="B5" s="69" t="n">
        <x:v>5.650615</x:v>
      </x:c>
      <x:c r="C5" s="69" t="n">
        <x:v>6.337676</x:v>
      </x:c>
      <x:c r="D5" s="69" t="n">
        <x:v>11.350296</x:v>
      </x:c>
      <x:c r="E5" s="69" t="n">
        <x:v>3.660675</x:v>
      </x:c>
      <x:c r="F5" s="69" t="n">
        <x:v>9.727819</x:v>
      </x:c>
      <x:c r="G5" s="69" t="n">
        <x:f>F5-E5</x:f>
        <x:v>6.067144000000001</x:v>
      </x:c>
    </x:row>
    <x:row r="6">
      <x:c r="A6" s="14" t="str">
        <x:v>扣非归母净利润</x:v>
      </x:c>
      <x:c r="B6" s="69" t="n">
        <x:v>5.948883</x:v>
      </x:c>
      <x:c r="C6" s="69" t="n">
        <x:v>6.780002</x:v>
      </x:c>
      <x:c r="D6" s="69" t="n">
        <x:v>11.519984</x:v>
      </x:c>
      <x:c r="E6" s="69" t="n">
        <x:v>3.400166</x:v>
      </x:c>
      <x:c r="F6" s="69" t="n">
        <x:v>9.209887</x:v>
      </x:c>
      <x:c r="G6" s="69" t="n">
        <x:f>F6-E6</x:f>
        <x:v>5.809721</x:v>
      </x:c>
    </x:row>
    <x:row r="7">
      <x:c r="A7" s="14" t="str">
        <x:v>经营现金流</x:v>
      </x:c>
      <x:c r="B7" s="69" t="n">
        <x:v>8.692624</x:v>
      </x:c>
      <x:c r="C7" s="69" t="n">
        <x:v>8.897635</x:v>
      </x:c>
      <x:c r="D7" s="69" t="n">
        <x:v>16.851078</x:v>
      </x:c>
      <x:c r="E7" s="69" t="n">
        <x:v>5.563195</x:v>
      </x:c>
      <x:c r="F7" s="69" t="n">
        <x:v>11.964338</x:v>
      </x:c>
      <x:c r="G7" s="69" t="n">
        <x:f>F7-E7</x:f>
        <x:v>6.401142999999999</x:v>
      </x:c>
    </x:row>
    <x:row r="8">
      <x:c r="A8" s="14" t="str">
        <x:v>营业成本</x:v>
      </x:c>
      <x:c r="B8" s="69"/>
      <x:c r="C8" s="69"/>
      <x:c r="D8" s="69" t="n">
        <x:v>30.784449</x:v>
      </x:c>
      <x:c r="E8" s="69" t="n">
        <x:v>8.285655</x:v>
      </x:c>
      <x:c r="F8" s="69" t="n">
        <x:v>17.04254</x:v>
      </x:c>
      <x:c r="G8" s="69" t="n">
        <x:f>F8-E8</x:f>
        <x:v>8.756884999999999</x:v>
      </x:c>
    </x:row>
    <x:row r="9">
      <x:c r="A9" s="70" t="str">
        <x:v>综合毛利率</x:v>
      </x:c>
      <x:c r="B9" s="71"/>
      <x:c r="C9" s="71"/>
      <x:c r="D9" s="71" t="n">
        <x:f>1-D8/D4</x:f>
        <x:v>0.35915921099543857</x:v>
      </x:c>
      <x:c r="E9" s="71" t="n">
        <x:f>1-E8/E4</x:f>
        <x:v>0.3740428655706748</x:v>
      </x:c>
      <x:c r="F9" s="71" t="n">
        <x:f>1-F8/F4</x:f>
        <x:v>0.4356323340304311</x:v>
      </x:c>
      <x:c r="G9" s="71" t="n">
        <x:f>1-G8/G4</x:f>
        <x:v>0.48369880041674906</x:v>
      </x:c>
    </x:row>
    <x:row r="10">
      <x:c r="A10" s="70" t="str">
        <x:v>归母净利率</x:v>
      </x:c>
      <x:c r="B10" s="71" t="n">
        <x:f>B5/B4</x:f>
        <x:v>0.19394253974127998</x:v>
      </x:c>
      <x:c r="C10" s="71" t="n">
        <x:f>C5/C4</x:f>
        <x:v>0.19215041495757348</x:v>
      </x:c>
      <x:c r="D10" s="71" t="n">
        <x:f>D5/D4</x:f>
        <x:v>0.23627944888912314</x:v>
      </x:c>
      <x:c r="E10" s="71" t="n">
        <x:f>E5/E4</x:f>
        <x:v>0.2765533482961902</x:v>
      </x:c>
      <x:c r="F10" s="71" t="n">
        <x:f>F5/F4</x:f>
        <x:v>0.32213898303917293</x:v>
      </x:c>
      <x:c r="G10" s="71" t="n">
        <x:f>G5/G4</x:f>
        <x:v>0.3577155261539148</x:v>
      </x:c>
    </x:row>
    <x:row r="11">
      <x:c r="A11" s="70" t="str">
        <x:v>扣非净利率</x:v>
      </x:c>
      <x:c r="B11" s="71" t="n">
        <x:f>B6/B4</x:f>
        <x:v>0.20417980655976825</x:v>
      </x:c>
      <x:c r="C11" s="71" t="n">
        <x:f>C6/C4</x:f>
        <x:v>0.20556118642120202</x:v>
      </x:c>
      <x:c r="D11" s="71" t="n">
        <x:f>D6/D4</x:f>
        <x:v>0.23981184902415903</x:v>
      </x:c>
      <x:c r="E11" s="71" t="n">
        <x:f>E6/E4</x:f>
        <x:v>0.2568726510992819</x:v>
      </x:c>
      <x:c r="F11" s="71" t="n">
        <x:f>F6/F4</x:f>
        <x:v>0.3049875446989402</x:v>
      </x:c>
      <x:c r="G11" s="71" t="n">
        <x:f>G6/G4</x:f>
        <x:v>0.3425380054144829</x:v>
      </x:c>
    </x:row>
    <x:row r="12">
      <x:c r="A12" s="70" t="str">
        <x:v>CFO/扣非净利润</x:v>
      </x:c>
      <x:c r="B12" s="71" t="n">
        <x:f>B7/B6</x:f>
        <x:v>1.4612195264220191</x:v>
      </x:c>
      <x:c r="C12" s="71" t="n">
        <x:f>C7/C6</x:f>
        <x:v>1.312335158603198</x:v>
      </x:c>
      <x:c r="D12" s="71" t="n">
        <x:f>D7/D6</x:f>
        <x:v>1.4627692191239157</x:v>
      </x:c>
      <x:c r="E12" s="71" t="n">
        <x:f>E7/E6</x:f>
        <x:v>1.636153940719365</x:v>
      </x:c>
      <x:c r="F12" s="71" t="n">
        <x:f>F7/F6</x:f>
        <x:v>1.2990754392534891</x:v>
      </x:c>
      <x:c r="G12" s="71" t="n">
        <x:f>G7/G6</x:f>
        <x:v>1.1017986922263565</x:v>
      </x:c>
    </x:row>
    <x:row r="13">
      <x:c r="A13" s="70" t="str">
        <x:v>非经常损益</x:v>
      </x:c>
      <x:c r="B13" s="72" t="n">
        <x:f>B5-B6</x:f>
        <x:v>-0.2982680000000002</x:v>
      </x:c>
      <x:c r="C13" s="72" t="n">
        <x:f>C5-C6</x:f>
        <x:v>-0.44232599999999955</x:v>
      </x:c>
      <x:c r="D13" s="72" t="n">
        <x:f>D5-D6</x:f>
        <x:v>-0.16968799999999895</x:v>
      </x:c>
      <x:c r="E13" s="72" t="n">
        <x:f>E5-E6</x:f>
        <x:v>0.2605089999999999</x:v>
      </x:c>
      <x:c r="F13" s="72" t="n">
        <x:f>F5-F6</x:f>
        <x:v>0.5179320000000001</x:v>
      </x:c>
      <x:c r="G13" s="72" t="n">
        <x:f>G5-G6</x:f>
        <x:v>0.25742300000000107</x:v>
      </x:c>
    </x:row>
    <x:row r="14">
      <x:c r="A14" s="14" t="str">
        <x:v>资本开支现金支出</x:v>
      </x:c>
      <x:c r="B14" s="69"/>
      <x:c r="C14" s="69"/>
      <x:c r="D14" s="69"/>
      <x:c r="E14" s="69"/>
      <x:c r="F14" s="69" t="n">
        <x:v>4.602989</x:v>
      </x:c>
      <x:c r="G14" s="69"/>
    </x:row>
    <x:row r="15">
      <x:c r="A15" s="14" t="str">
        <x:v>简化自由现金流</x:v>
      </x:c>
      <x:c r="B15" s="69"/>
      <x:c r="C15" s="69"/>
      <x:c r="D15" s="69"/>
      <x:c r="E15" s="69"/>
      <x:c r="F15" s="69" t="n">
        <x:f>F7-F14</x:f>
        <x:v>7.361349</x:v>
      </x:c>
      <x:c r="G15" s="69"/>
    </x:row>
    <x:row r="16">
      <x:c r="A16" s="14" t="str">
        <x:v>EPS</x:v>
      </x:c>
      <x:c r="B16" s="73" t="n">
        <x:v>0.77</x:v>
      </x:c>
      <x:c r="C16" s="73" t="n">
        <x:v>0.87</x:v>
      </x:c>
      <x:c r="D16" s="73" t="n">
        <x:v>1.56</x:v>
      </x:c>
      <x:c r="E16" s="73" t="n">
        <x:v>0.5</x:v>
      </x:c>
      <x:c r="F16" s="73" t="n">
        <x:v>1.33</x:v>
      </x:c>
      <x:c r="G16" s="73"/>
    </x:row>
    <x:row r="17">
      <x:c r="A17" s="14" t="str">
        <x:v>ROE</x:v>
      </x:c>
      <x:c r="B17" s="74" t="n">
        <x:v>0.1572</x:v>
      </x:c>
      <x:c r="C17" s="74" t="n">
        <x:v>0.1555</x:v>
      </x:c>
      <x:c r="D17" s="74" t="n">
        <x:v>0.2484</x:v>
      </x:c>
      <x:c r="E17" s="74"/>
      <x:c r="F17" s="74" t="n">
        <x:v>0.1861</x:v>
      </x:c>
      <x:c r="G17" s="74"/>
    </x:row>
    <x:row r="18">
      <x:c r="A18" s="75" t="str">
        <x:v>资料口径</x:v>
      </x:c>
      <x:c r="B18" s="75" t="str">
        <x:v>经审计年报</x:v>
      </x:c>
      <x:c r="C18" s="75" t="str">
        <x:v>经审计年报</x:v>
      </x:c>
      <x:c r="D18" s="75" t="str">
        <x:v>经审计年报</x:v>
      </x:c>
      <x:c r="E18" s="75" t="str">
        <x:v>未经审计</x:v>
      </x:c>
      <x:c r="F18" s="75" t="str">
        <x:v>未经审计</x:v>
      </x:c>
      <x:c r="G18" s="75" t="str">
        <x:v>H1-Q1研究计算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7" hidden="0" customWidth="1"/>
    <x:col min="9" max="9" width="24" hidden="0" customWidth="1"/>
    <x:col min="10" max="10" width="24" hidden="0" customWidth="1"/>
  </x:cols>
  <x:sheetData>
    <x:row r="1" ht="30" customHeight="1">
      <x:c r="A1" s="3" t="str">
        <x:v>分部、产品量价与项目进度</x:v>
      </x:c>
      <x:c r="B1" s="3" t="str">
        <x:v>分部、产品量价与项目进度</x:v>
      </x:c>
      <x:c r="C1" s="3" t="str">
        <x:v>分部、产品量价与项目进度</x:v>
      </x:c>
      <x:c r="D1" s="3" t="str">
        <x:v>分部、产品量价与项目进度</x:v>
      </x:c>
      <x:c r="E1" s="3" t="str">
        <x:v>分部、产品量价与项目进度</x:v>
      </x:c>
      <x:c r="F1" s="3" t="str">
        <x:v>分部、产品量价与项目进度</x:v>
      </x:c>
      <x:c r="G1" s="3" t="str">
        <x:v>分部、产品量价与项目进度</x:v>
      </x:c>
      <x:c r="H1" s="3" t="str">
        <x:v>分部、产品量价与项目进度</x:v>
      </x:c>
      <x:c r="I1" s="3" t="str">
        <x:v>分部、产品量价与项目进度</x:v>
      </x:c>
      <x:c r="J1" s="3" t="str">
        <x:v>分部、产品量价与项目进度</x:v>
      </x:c>
    </x:row>
    <x:row r="3">
      <x:c r="A3" s="19" t="str">
        <x:v>分部</x:v>
      </x:c>
      <x:c r="B3" s="20" t="str">
        <x:v>2026H1收入</x:v>
      </x:c>
      <x:c r="C3" s="20" t="str">
        <x:v>收入占比</x:v>
      </x:c>
      <x:c r="D3" s="20" t="str">
        <x:v>2026H1成本</x:v>
      </x:c>
      <x:c r="E3" s="20" t="str">
        <x:v>毛利率</x:v>
      </x:c>
      <x:c r="F3" s="21" t="str">
        <x:v>2025A毛利率</x:v>
      </x:c>
    </x:row>
    <x:row r="4">
      <x:c r="A4" s="11" t="str">
        <x:v>烯烃</x:v>
      </x:c>
      <x:c r="B4" s="68" t="n">
        <x:v>24.10806</x:v>
      </x:c>
      <x:c r="C4" s="85" t="n">
        <x:f>B4/SUM($B$4:$B$7)</x:f>
        <x:v>0.7983438413462796</x:v>
      </x:c>
      <x:c r="D4" s="68" t="n">
        <x:v>13.04795</x:v>
      </x:c>
      <x:c r="E4" s="85" t="n">
        <x:f>(B4-D4)/B4</x:f>
        <x:v>0.45877229441108075</x:v>
      </x:c>
      <x:c r="F4" s="85" t="n">
        <x:v>0.3816</x:v>
      </x:c>
    </x:row>
    <x:row r="5">
      <x:c r="A5" s="14" t="str">
        <x:v>焦化</x:v>
      </x:c>
      <x:c r="B5" s="69" t="n">
        <x:v>4.423</x:v>
      </x:c>
      <x:c r="C5" s="74" t="n">
        <x:f>B5/SUM($B$4:$B$7)</x:f>
        <x:v>0.14646864203401663</x:v>
      </x:c>
      <x:c r="D5" s="69" t="n">
        <x:v>2.82979</x:v>
      </x:c>
      <x:c r="E5" s="74" t="n">
        <x:f>(B5-D5)/B5</x:f>
        <x:v>0.3602102645263396</x:v>
      </x:c>
      <x:c r="F5" s="74" t="n">
        <x:v>0.3035</x:v>
      </x:c>
    </x:row>
    <x:row r="6">
      <x:c r="A6" s="14" t="str">
        <x:v>精细化工</x:v>
      </x:c>
      <x:c r="B6" s="69" t="n">
        <x:v>1.56088</x:v>
      </x:c>
      <x:c r="C6" s="74" t="n">
        <x:f>B6/SUM($B$4:$B$7)</x:f>
        <x:v>0.051688893054048356</x:v>
      </x:c>
      <x:c r="D6" s="69" t="n">
        <x:v>1.09314</x:v>
      </x:c>
      <x:c r="E6" s="74" t="n">
        <x:f>(B6-D6)/B6</x:f>
        <x:v>0.2996642919378812</x:v>
      </x:c>
      <x:c r="F6" s="74" t="n">
        <x:v>0.2004</x:v>
      </x:c>
    </x:row>
    <x:row r="7">
      <x:c r="A7" s="14" t="str">
        <x:v>总部及其他</x:v>
      </x:c>
      <x:c r="B7" s="69" t="n">
        <x:v>0.10565</x:v>
      </x:c>
      <x:c r="C7" s="74" t="n">
        <x:f>B7/SUM($B$4:$B$7)</x:f>
        <x:v>0.003498623565655405</x:v>
      </x:c>
      <x:c r="D7" s="69" t="n">
        <x:v>0.07165</x:v>
      </x:c>
      <x:c r="E7" s="74" t="n">
        <x:f>(B7-D7)/B7</x:f>
        <x:v>0.3218173213440605</x:v>
      </x:c>
      <x:c r="F7" s="74"/>
    </x:row>
    <x:row r="8">
      <x:c r="A8" s="86" t="str">
        <x:v>合计</x:v>
      </x:c>
      <x:c r="B8" s="87" t="n">
        <x:f>SUM(B4:B7)</x:f>
        <x:v>30.197589999999998</x:v>
      </x:c>
      <x:c r="C8" s="88" t="n">
        <x:f>SUM(C4:C7)</x:f>
        <x:v>1</x:v>
      </x:c>
      <x:c r="D8" s="87" t="n">
        <x:f>SUM(D4:D7)</x:f>
        <x:v>17.042530000000003</x:v>
      </x:c>
      <x:c r="E8" s="88" t="n">
        <x:f>(B8-D8)/B8</x:f>
        <x:v>0.43563277731766</x:v>
      </x:c>
      <x:c r="F8" s="88"/>
    </x:row>
    <x:row r="11">
      <x:c r="A11" s="19" t="str">
        <x:v>产品</x:v>
      </x:c>
      <x:c r="B11" s="20" t="str">
        <x:v>产量(万吨)</x:v>
      </x:c>
      <x:c r="C11" s="20" t="str">
        <x:v>销量(万吨)</x:v>
      </x:c>
      <x:c r="D11" s="20" t="str">
        <x:v>收入(RMB bn)</x:v>
      </x:c>
      <x:c r="E11" s="20" t="str">
        <x:v>均价(元/吨)</x:v>
      </x:c>
      <x:c r="F11" s="20" t="str">
        <x:v>均价同比</x:v>
      </x:c>
      <x:c r="G11" s="20" t="str">
        <x:v>2025产量(万吨)</x:v>
      </x:c>
      <x:c r="H11" s="21" t="str">
        <x:v>观察</x:v>
      </x:c>
    </x:row>
    <x:row r="12">
      <x:c r="A12" s="11" t="str">
        <x:v>PE</x:v>
      </x:c>
      <x:c r="B12" s="92" t="n">
        <x:v>144.53</x:v>
      </x:c>
      <x:c r="C12" s="92" t="n">
        <x:v>143.45</x:v>
      </x:c>
      <x:c r="D12" s="68" t="n">
        <x:v>9.78986</x:v>
      </x:c>
      <x:c r="E12" s="93" t="n">
        <x:v>6824.69</x:v>
      </x:c>
      <x:c r="F12" s="94" t="n">
        <x:v>0.014</x:v>
      </x:c>
      <x:c r="G12" s="92" t="n">
        <x:v>254.92</x:v>
      </x:c>
      <x:c r="H12" s="11" t="str">
        <x:v>价格相对稳定</x:v>
      </x:c>
    </x:row>
    <x:row r="13">
      <x:c r="A13" s="14" t="str">
        <x:v>PP</x:v>
      </x:c>
      <x:c r="B13" s="73" t="n">
        <x:v>139.25</x:v>
      </x:c>
      <x:c r="C13" s="73" t="n">
        <x:v>139.15</x:v>
      </x:c>
      <x:c r="D13" s="69" t="n">
        <x:v>9.91171</x:v>
      </x:c>
      <x:c r="E13" s="95" t="n">
        <x:v>7122.95</x:v>
      </x:c>
      <x:c r="F13" s="96" t="n">
        <x:v>0.1089</x:v>
      </x:c>
      <x:c r="G13" s="73" t="n">
        <x:v>247.52</x:v>
      </x:c>
      <x:c r="H13" s="14" t="str">
        <x:v>价差贡献最强</x:v>
      </x:c>
    </x:row>
    <x:row r="14">
      <x:c r="A14" s="14" t="str">
        <x:v>EVA/LDPE</x:v>
      </x:c>
      <x:c r="B14" s="73" t="n">
        <x:v>13.56</x:v>
      </x:c>
      <x:c r="C14" s="73" t="n">
        <x:v>13.64</x:v>
      </x:c>
      <x:c r="D14" s="69" t="n">
        <x:v>1.15319</x:v>
      </x:c>
      <x:c r="E14" s="95" t="n">
        <x:v>8454.43</x:v>
      </x:c>
      <x:c r="F14" s="96" t="n">
        <x:v>-0.0458</x:v>
      </x:c>
      <x:c r="G14" s="73" t="n">
        <x:v>23.01</x:v>
      </x:c>
      <x:c r="H14" s="14" t="str">
        <x:v>价格同比下跌</x:v>
      </x:c>
    </x:row>
    <x:row r="15">
      <x:c r="A15" s="14" t="str">
        <x:v>焦炭</x:v>
      </x:c>
      <x:c r="B15" s="73" t="n">
        <x:v>346.81</x:v>
      </x:c>
      <x:c r="C15" s="73" t="n">
        <x:v>344.51</x:v>
      </x:c>
      <x:c r="D15" s="69" t="n">
        <x:v>3.88953</x:v>
      </x:c>
      <x:c r="E15" s="95" t="n">
        <x:v>1129</x:v>
      </x:c>
      <x:c r="F15" s="96" t="n">
        <x:v>0.1174</x:v>
      </x:c>
      <x:c r="G15" s="73" t="n">
        <x:v>696.07</x:v>
      </x:c>
      <x:c r="H15" s="14" t="str">
        <x:v>售价改善</x:v>
      </x:c>
    </x:row>
    <x:row r="16">
      <x:c r="A16" s="14" t="str">
        <x:v>焦化苯</x:v>
      </x:c>
      <x:c r="B16" s="73" t="n">
        <x:v>4.57</x:v>
      </x:c>
      <x:c r="C16" s="73" t="n">
        <x:v>1.74</x:v>
      </x:c>
      <x:c r="D16" s="69" t="n">
        <x:v>0.08757</x:v>
      </x:c>
      <x:c r="E16" s="95" t="n">
        <x:v>5022.37</x:v>
      </x:c>
      <x:c r="F16" s="96" t="n">
        <x:v>-0.1181</x:v>
      </x:c>
      <x:c r="G16" s="73"/>
      <x:c r="H16" s="14" t="str">
        <x:v>价格承压</x:v>
      </x:c>
    </x:row>
    <x:row r="17">
      <x:c r="A17" s="14" t="str">
        <x:v>改质沥青</x:v>
      </x:c>
      <x:c r="B17" s="73" t="n">
        <x:v>7.56</x:v>
      </x:c>
      <x:c r="C17" s="73" t="n">
        <x:v>7.28</x:v>
      </x:c>
      <x:c r="D17" s="69" t="n">
        <x:v>0.31194</x:v>
      </x:c>
      <x:c r="E17" s="95" t="n">
        <x:v>4284.64</x:v>
      </x:c>
      <x:c r="F17" s="96" t="n">
        <x:v>0.2048</x:v>
      </x:c>
      <x:c r="G17" s="73"/>
      <x:c r="H17" s="14" t="str">
        <x:v>售价强</x:v>
      </x:c>
    </x:row>
    <x:row r="18">
      <x:c r="A18" s="16" t="str">
        <x:v>MTBE</x:v>
      </x:c>
      <x:c r="B18" s="97" t="n">
        <x:v>6.17</x:v>
      </x:c>
      <x:c r="C18" s="97" t="n">
        <x:v>6.13</x:v>
      </x:c>
      <x:c r="D18" s="98" t="n">
        <x:v>0.31187</x:v>
      </x:c>
      <x:c r="E18" s="99" t="n">
        <x:v>5085.65</x:v>
      </x:c>
      <x:c r="F18" s="100" t="n">
        <x:v>0.0274</x:v>
      </x:c>
      <x:c r="G18" s="97"/>
      <x:c r="H18" s="16" t="str">
        <x:v>温和改善</x:v>
      </x:c>
    </x:row>
    <x:row r="21">
      <x:c r="A21" s="19" t="str">
        <x:v>原料</x:v>
      </x:c>
      <x:c r="B21" s="20" t="str">
        <x:v>2026H1均价(元/吨)</x:v>
      </x:c>
      <x:c r="C21" s="20" t="str">
        <x:v>同比</x:v>
      </x:c>
      <x:c r="D21" s="21" t="str">
        <x:v>敏感性</x:v>
      </x:c>
      <x:c r="F21" s="19" t="str">
        <x:v>项目</x:v>
      </x:c>
      <x:c r="G21" s="20" t="str">
        <x:v>规模</x:v>
      </x:c>
      <x:c r="H21" s="20" t="str">
        <x:v>状态</x:v>
      </x:c>
      <x:c r="I21" s="20" t="str">
        <x:v>时间口径</x:v>
      </x:c>
      <x:c r="J21" s="21" t="str">
        <x:v>估值处理</x:v>
      </x:c>
    </x:row>
    <x:row r="22" ht="48" customHeight="1">
      <x:c r="A22" s="11" t="str">
        <x:v>气化原料煤</x:v>
      </x:c>
      <x:c r="B22" s="93" t="n">
        <x:v>491.01</x:v>
      </x:c>
      <x:c r="C22" s="85" t="n">
        <x:v>0.0988</x:v>
      </x:c>
      <x:c r="D22" s="11" t="str">
        <x:v>烯烃核心原料</x:v>
      </x:c>
      <x:c r="F22" s="104" t="str">
        <x:v>内蒙古一期</x:v>
      </x:c>
      <x:c r="G22" s="104" t="str">
        <x:v>260万吨煤制烯烃+40万吨绿氢耦合</x:v>
      </x:c>
      <x:c r="H22" s="104" t="str">
        <x:v>2025年4月全面达产</x:v>
      </x:c>
      <x:c r="I22" s="104" t="str">
        <x:v>公司披露</x:v>
      </x:c>
      <x:c r="J22" s="104" t="str">
        <x:v>已进入历史与预测基数</x:v>
      </x:c>
    </x:row>
    <x:row r="23" ht="48" customHeight="1">
      <x:c r="A23" s="14" t="str">
        <x:v>焦精煤</x:v>
      </x:c>
      <x:c r="B23" s="95" t="n">
        <x:v>812.65</x:v>
      </x:c>
      <x:c r="C23" s="74" t="n">
        <x:v>0.0653</x:v>
      </x:c>
      <x:c r="D23" s="14" t="str">
        <x:v>焦化核心原料</x:v>
      </x:c>
      <x:c r="F23" s="105" t="str">
        <x:v>宁东三期</x:v>
      </x:c>
      <x:c r="G23" s="105" t="str">
        <x:v>50万吨PP+40万吨PE+25万吨EVA</x:v>
      </x:c>
      <x:c r="H23" s="105" t="str">
        <x:v>已投产</x:v>
      </x:c>
      <x:c r="I23" s="105" t="str">
        <x:v>公司披露</x:v>
      </x:c>
      <x:c r="J23" s="105" t="str">
        <x:v>已进入基数</x:v>
      </x:c>
    </x:row>
    <x:row r="24" ht="48" customHeight="1">
      <x:c r="A24" s="16" t="str">
        <x:v>动力煤</x:v>
      </x:c>
      <x:c r="B24" s="99" t="n">
        <x:v>350.83</x:v>
      </x:c>
      <x:c r="C24" s="101" t="n">
        <x:v>0.094</x:v>
      </x:c>
      <x:c r="D24" s="16" t="str">
        <x:v>能源成本</x:v>
      </x:c>
      <x:c r="F24" s="106" t="str">
        <x:v>宁东四期</x:v>
      </x:c>
      <x:c r="G24" s="106" t="str">
        <x:v>第二套50万吨/年煤制烯烃</x:v>
      </x:c>
      <x:c r="H24" s="106" t="str">
        <x:v>在建</x:v>
      </x:c>
      <x:c r="I24" s="106" t="str">
        <x:v>计划2026年末前后</x:v>
      </x:c>
      <x:c r="J24" s="106" t="str">
        <x:v>2026不计完整贡献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0" hidden="0" customWidth="1"/>
    <x:col min="3" max="3" width="20" hidden="0" customWidth="1"/>
    <x:col min="4" max="4" width="34" hidden="0" customWidth="1"/>
    <x:col min="5" max="5" width="34" hidden="0" customWidth="1"/>
    <x:col min="6" max="6" width="34" hidden="0" customWidth="1"/>
  </x:cols>
  <x:sheetData>
    <x:row r="1" ht="30" customHeight="1">
      <x:c r="A1" s="3" t="str">
        <x:v>资产负债表、现金流与债务桥</x:v>
      </x:c>
      <x:c r="B1" s="3" t="str">
        <x:v>资产负债表、现金流与债务桥</x:v>
      </x:c>
      <x:c r="C1" s="3" t="str">
        <x:v>资产负债表、现金流与债务桥</x:v>
      </x:c>
      <x:c r="D1" s="3" t="str">
        <x:v>资产负债表、现金流与债务桥</x:v>
      </x:c>
      <x:c r="E1" s="3" t="str">
        <x:v>资产负债表、现金流与债务桥</x:v>
      </x:c>
      <x:c r="F1" s="3" t="str">
        <x:v>资产负债表、现金流与债务桥</x:v>
      </x:c>
    </x:row>
    <x:row r="3">
      <x:c r="A3" s="19" t="str">
        <x:v>资产负债表（RMB bn）</x:v>
      </x:c>
      <x:c r="B3" s="20" t="str">
        <x:v>2025-12-31</x:v>
      </x:c>
      <x:c r="C3" s="20" t="str">
        <x:v>2026-06-30</x:v>
      </x:c>
      <x:c r="D3" s="21" t="str">
        <x:v>变化</x:v>
      </x:c>
    </x:row>
    <x:row r="4">
      <x:c r="A4" s="11" t="str">
        <x:v>总资产</x:v>
      </x:c>
      <x:c r="B4" s="68" t="n">
        <x:v>90.152489</x:v>
      </x:c>
      <x:c r="C4" s="68" t="n">
        <x:v>94.913197</x:v>
      </x:c>
      <x:c r="D4" s="94" t="n">
        <x:f>IF(B4=0,"",C4/B4-1)</x:f>
        <x:v>0.052807283002469285</x:v>
      </x:c>
    </x:row>
    <x:row r="5">
      <x:c r="A5" s="14" t="str">
        <x:v>归母净资产</x:v>
      </x:c>
      <x:c r="B5" s="69" t="n">
        <x:v>48.38992</x:v>
      </x:c>
      <x:c r="C5" s="69" t="n">
        <x:v>55.205181</x:v>
      </x:c>
      <x:c r="D5" s="96" t="n">
        <x:f>IF(B5=0,"",C5/B5-1)</x:f>
        <x:v>0.1408405097590575</x:v>
      </x:c>
    </x:row>
    <x:row r="6">
      <x:c r="A6" s="14" t="str">
        <x:v>总负债</x:v>
      </x:c>
      <x:c r="B6" s="69"/>
      <x:c r="C6" s="69" t="n">
        <x:v>39.708016</x:v>
      </x:c>
      <x:c r="D6" s="96" t="str">
        <x:f>IF(B6=0,"",C6/B6-1)</x:f>
      </x:c>
    </x:row>
    <x:row r="7">
      <x:c r="A7" s="14" t="str">
        <x:v>货币资金</x:v>
      </x:c>
      <x:c r="B7" s="69"/>
      <x:c r="C7" s="69" t="n">
        <x:v>2.639965</x:v>
      </x:c>
      <x:c r="D7" s="96" t="str">
        <x:f>IF(B7=0,"",C7/B7-1)</x:f>
      </x:c>
    </x:row>
    <x:row r="8">
      <x:c r="A8" s="14" t="str">
        <x:v>应收账款</x:v>
      </x:c>
      <x:c r="B8" s="69"/>
      <x:c r="C8" s="69" t="n">
        <x:v>0.036485</x:v>
      </x:c>
      <x:c r="D8" s="96" t="str">
        <x:f>IF(B8=0,"",C8/B8-1)</x:f>
      </x:c>
    </x:row>
    <x:row r="9">
      <x:c r="A9" s="14" t="str">
        <x:v>存货</x:v>
      </x:c>
      <x:c r="B9" s="69"/>
      <x:c r="C9" s="69" t="n">
        <x:v>1.961575</x:v>
      </x:c>
      <x:c r="D9" s="96" t="str">
        <x:f>IF(B9=0,"",C9/B9-1)</x:f>
      </x:c>
    </x:row>
    <x:row r="10">
      <x:c r="A10" s="14" t="str">
        <x:v>固定资产</x:v>
      </x:c>
      <x:c r="B10" s="69"/>
      <x:c r="C10" s="69" t="n">
        <x:v>65.26097</x:v>
      </x:c>
      <x:c r="D10" s="96" t="str">
        <x:f>IF(B10=0,"",C10/B10-1)</x:f>
      </x:c>
    </x:row>
    <x:row r="11">
      <x:c r="A11" s="14" t="str">
        <x:v>在建工程</x:v>
      </x:c>
      <x:c r="B11" s="69"/>
      <x:c r="C11" s="69" t="n">
        <x:v>6.929786</x:v>
      </x:c>
      <x:c r="D11" s="96" t="str">
        <x:f>IF(B11=0,"",C11/B11-1)</x:f>
      </x:c>
    </x:row>
    <x:row r="12">
      <x:c r="A12" s="14" t="str">
        <x:v>其他非流动金融资产</x:v>
      </x:c>
      <x:c r="B12" s="69"/>
      <x:c r="C12" s="69" t="n">
        <x:v>1.462658</x:v>
      </x:c>
      <x:c r="D12" s="96" t="str">
        <x:f>IF(B12=0,"",C12/B12-1)</x:f>
      </x:c>
    </x:row>
    <x:row r="13">
      <x:c r="A13" s="14" t="str">
        <x:v>短期借款</x:v>
      </x:c>
      <x:c r="B13" s="69"/>
      <x:c r="C13" s="69" t="n">
        <x:v>0.500333</x:v>
      </x:c>
      <x:c r="D13" s="96" t="str">
        <x:f>IF(B13=0,"",C13/B13-1)</x:f>
      </x:c>
    </x:row>
    <x:row r="14">
      <x:c r="A14" s="14" t="str">
        <x:v>一年内到期非流动负债</x:v>
      </x:c>
      <x:c r="B14" s="69"/>
      <x:c r="C14" s="69" t="n">
        <x:v>4.423383</x:v>
      </x:c>
      <x:c r="D14" s="96" t="str">
        <x:f>IF(B14=0,"",C14/B14-1)</x:f>
      </x:c>
    </x:row>
    <x:row r="15">
      <x:c r="A15" s="14" t="str">
        <x:v>长期借款</x:v>
      </x:c>
      <x:c r="B15" s="69"/>
      <x:c r="C15" s="69" t="n">
        <x:v>18.56</x:v>
      </x:c>
      <x:c r="D15" s="96" t="str">
        <x:f>IF(B15=0,"",C15/B15-1)</x:f>
      </x:c>
    </x:row>
    <x:row r="16">
      <x:c r="A16" s="16" t="str">
        <x:v>租赁负债</x:v>
      </x:c>
      <x:c r="B16" s="98"/>
      <x:c r="C16" s="98" t="n">
        <x:v>3.757285</x:v>
      </x:c>
      <x:c r="D16" s="100" t="str">
        <x:f>IF(B16=0,"",C16/B16-1)</x:f>
      </x:c>
    </x:row>
    <x:row r="19">
      <x:c r="A19" s="19" t="str">
        <x:v>债务桥（2026-06-30）</x:v>
      </x:c>
      <x:c r="B19" s="20" t="str">
        <x:v>数值</x:v>
      </x:c>
      <x:c r="C19" s="20" t="str">
        <x:v>单位</x:v>
      </x:c>
      <x:c r="D19" s="21" t="str">
        <x:v>说明</x:v>
      </x:c>
    </x:row>
    <x:row r="20">
      <x:c r="A20" s="11" t="str">
        <x:v>广义净债务</x:v>
      </x:c>
      <x:c r="B20" s="68" t="n">
        <x:f>C13+C14+C15+C16+1.115620-C7</x:f>
        <x:v>25.716656</x:v>
      </x:c>
      <x:c r="C20" s="11" t="str">
        <x:v>RMB bn</x:v>
      </x:c>
      <x:c r="D20" s="11" t="str">
        <x:v>含租赁负债和长期应付款</x:v>
      </x:c>
    </x:row>
    <x:row r="21">
      <x:c r="A21" s="14" t="str">
        <x:v>窄口径有息净债务</x:v>
      </x:c>
      <x:c r="B21" s="69" t="n">
        <x:f>C13+C14+C15-C7</x:f>
        <x:v>20.843751</x:v>
      </x:c>
      <x:c r="C21" s="14" t="str">
        <x:v>RMB bn</x:v>
      </x:c>
      <x:c r="D21" s="14" t="str">
        <x:v>仅借款口径</x:v>
      </x:c>
    </x:row>
    <x:row r="22">
      <x:c r="A22" s="14" t="str">
        <x:v>H1折旧摊销</x:v>
      </x:c>
      <x:c r="B22" s="69" t="n">
        <x:v>1.879371</x:v>
      </x:c>
      <x:c r="C22" s="14" t="str">
        <x:v>RMB bn</x:v>
      </x:c>
      <x:c r="D22" s="14" t="str">
        <x:v>固定资产+使用权+无形资产等</x:v>
      </x:c>
    </x:row>
    <x:row r="23">
      <x:c r="A23" s="14" t="str">
        <x:v>H1营业利润</x:v>
      </x:c>
      <x:c r="B23" s="69" t="n">
        <x:v>11.857666</x:v>
      </x:c>
      <x:c r="C23" s="14" t="str">
        <x:v>RMB bn</x:v>
      </x:c>
      <x:c r="D23" s="14" t="str">
        <x:v>报表口径</x:v>
      </x:c>
    </x:row>
    <x:row r="24">
      <x:c r="A24" s="14" t="str">
        <x:v>H1 EBITDA近似</x:v>
      </x:c>
      <x:c r="B24" s="69" t="n">
        <x:v>13.737037</x:v>
      </x:c>
      <x:c r="C24" s="14" t="str">
        <x:v>RMB bn</x:v>
      </x:c>
      <x:c r="D24" s="14" t="str">
        <x:v>营业利润+折旧摊销</x:v>
      </x:c>
    </x:row>
    <x:row r="25">
      <x:c r="A25" s="14" t="str">
        <x:v>H1公允价值收益</x:v>
      </x:c>
      <x:c r="B25" s="69" t="n">
        <x:v>0.94864</x:v>
      </x:c>
      <x:c r="C25" s="14" t="str">
        <x:v>RMB bn</x:v>
      </x:c>
      <x:c r="D25" s="14" t="str">
        <x:v>非核心利润噪音</x:v>
      </x:c>
    </x:row>
    <x:row r="26">
      <x:c r="A26" s="14" t="str">
        <x:v>H1核心EBITDA近似</x:v>
      </x:c>
      <x:c r="B26" s="69" t="n">
        <x:v>12.788397</x:v>
      </x:c>
      <x:c r="C26" s="14" t="str">
        <x:v>RMB bn</x:v>
      </x:c>
      <x:c r="D26" s="14" t="str">
        <x:v>扣除公允价值收益</x:v>
      </x:c>
    </x:row>
    <x:row r="27">
      <x:c r="A27" s="16" t="str">
        <x:v>Base净债务/EBITDA</x:v>
      </x:c>
      <x:c r="B27" s="109" t="n">
        <x:f>B20/'Assumptions'!C17</x:f>
        <x:v>0.918452</x:v>
      </x:c>
      <x:c r="C27" s="16" t="str">
        <x:v>x</x:v>
      </x:c>
      <x:c r="D27" s="16" t="str">
        <x:v>Base 2026E EBITDA</x:v>
      </x:c>
    </x:row>
    <x:row r="30">
      <x:c r="A30" s="19" t="str">
        <x:v>现金流（RMB bn）</x:v>
      </x:c>
      <x:c r="B30" s="20" t="str">
        <x:v>2026H1</x:v>
      </x:c>
      <x:c r="C30" s="20" t="str">
        <x:v>计算</x:v>
      </x:c>
      <x:c r="D30" s="21" t="str">
        <x:v>观察</x:v>
      </x:c>
    </x:row>
    <x:row r="31">
      <x:c r="A31" s="11" t="str">
        <x:v>经营现金流</x:v>
      </x:c>
      <x:c r="B31" s="68" t="n">
        <x:v>11.964338</x:v>
      </x:c>
      <x:c r="C31" s="11" t="str">
        <x:v>报表</x:v>
      </x:c>
      <x:c r="D31" s="11" t="str">
        <x:v>预收款模式有利</x:v>
      </x:c>
    </x:row>
    <x:row r="32">
      <x:c r="A32" s="14" t="str">
        <x:v>资本开支现金支出</x:v>
      </x:c>
      <x:c r="B32" s="69" t="n">
        <x:v>4.602989</x:v>
      </x:c>
      <x:c r="C32" s="14" t="str">
        <x:v>购建长期资产现金</x:v>
      </x:c>
      <x:c r="D32" s="14" t="str">
        <x:v>四期建设推升</x:v>
      </x:c>
    </x:row>
    <x:row r="33">
      <x:c r="A33" s="14" t="str">
        <x:v>简化自由现金流</x:v>
      </x:c>
      <x:c r="B33" s="69" t="n">
        <x:f>B31-B32</x:f>
        <x:v>7.361349</x:v>
      </x:c>
      <x:c r="C33" s="14" t="str">
        <x:v>CFO-Capex</x:v>
      </x:c>
      <x:c r="D33" s="14" t="str">
        <x:v>非公司披露指标</x:v>
      </x:c>
    </x:row>
    <x:row r="34">
      <x:c r="A34" s="14" t="str">
        <x:v>CFO/扣非净利润</x:v>
      </x:c>
      <x:c r="B34" s="74" t="n">
        <x:f>B31/'Historical'!F6</x:f>
        <x:v>1.2990754392534891</x:v>
      </x:c>
      <x:c r="C34" s="14" t="str">
        <x:v>现金转换</x:v>
      </x:c>
      <x:c r="D34" s="14" t="str">
        <x:v>不机械年化</x:v>
      </x:c>
    </x:row>
    <x:row r="35">
      <x:c r="A35" s="16" t="str">
        <x:v>中期分红</x:v>
      </x:c>
      <x:c r="B35" s="98" t="n">
        <x:v>3.05456</x:v>
      </x:c>
      <x:c r="C35" s="16" t="str">
        <x:v>0.42元/参与股</x:v>
      </x:c>
      <x:c r="D35" s="16" t="str">
        <x:v>与扩产、债务并行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6" hidden="0" customWidth="1"/>
  </x:cols>
  <x:sheetData>
    <x:row r="1" ht="30" customHeight="1">
      <x:c r="A1" s="3" t="str">
        <x:v>市场、股份、债务与情景假设</x:v>
      </x:c>
      <x:c r="B1" s="3" t="str">
        <x:v>市场、股份、债务与情景假设</x:v>
      </x:c>
      <x:c r="C1" s="3" t="str">
        <x:v>市场、股份、债务与情景假设</x:v>
      </x:c>
      <x:c r="D1" s="3" t="str">
        <x:v>市场、股份、债务与情景假设</x:v>
      </x:c>
      <x:c r="E1" s="3" t="str">
        <x:v>市场、股份、债务与情景假设</x:v>
      </x:c>
      <x:c r="F1" s="3" t="str">
        <x:v>市场、股份、债务与情景假设</x:v>
      </x:c>
    </x:row>
    <x:row r="3">
      <x:c r="A3" s="19" t="str">
        <x:v>市场与股份</x:v>
      </x:c>
      <x:c r="B3" s="20" t="str">
        <x:v>数值</x:v>
      </x:c>
      <x:c r="C3" s="21" t="str">
        <x:v>说明</x:v>
      </x:c>
    </x:row>
    <x:row r="4">
      <x:c r="A4" s="11" t="str">
        <x:v>A股收盘价</x:v>
      </x:c>
      <x:c r="B4" s="114" t="n">
        <x:v>24.37</x:v>
      </x:c>
      <x:c r="C4" s="11" t="str">
        <x:v>2026-09-01收盘</x:v>
      </x:c>
    </x:row>
    <x:row r="5">
      <x:c r="A5" s="14" t="str">
        <x:v>总股本</x:v>
      </x:c>
      <x:c r="B5" s="115" t="n">
        <x:v>7.33336</x:v>
      </x:c>
      <x:c r="C5" s="14" t="str">
        <x:v>十亿股</x:v>
      </x:c>
    </x:row>
    <x:row r="6">
      <x:c r="A6" s="14" t="str">
        <x:v>回购专户股份</x:v>
      </x:c>
      <x:c r="B6" s="115" t="n">
        <x:v>0.0605972</x:v>
      </x:c>
      <x:c r="C6" s="14" t="str">
        <x:v>十亿股</x:v>
      </x:c>
    </x:row>
    <x:row r="7">
      <x:c r="A7" s="14" t="str">
        <x:v>经济股数（披露换算）</x:v>
      </x:c>
      <x:c r="B7" s="115" t="n">
        <x:v>7.2727628</x:v>
      </x:c>
      <x:c r="C7" s="14" t="str">
        <x:v>总股本减回购专户</x:v>
      </x:c>
    </x:row>
    <x:row r="8">
      <x:c r="A8" s="14" t="str">
        <x:v>经济股数（公式复算）</x:v>
      </x:c>
      <x:c r="B8" s="115" t="n">
        <x:f>B5-B6</x:f>
        <x:v>7.2727628</x:v>
      </x:c>
      <x:c r="C8" s="14" t="str">
        <x:v>公式复算；十亿股</x:v>
      </x:c>
    </x:row>
    <x:row r="9">
      <x:c r="A9" s="14" t="str">
        <x:v>经济市值</x:v>
      </x:c>
      <x:c r="B9" s="69" t="n">
        <x:f>B4*B8</x:f>
        <x:v>177.237229436</x:v>
      </x:c>
      <x:c r="C9" s="14" t="str">
        <x:v>RMB bn</x:v>
      </x:c>
    </x:row>
    <x:row r="10">
      <x:c r="A10" s="14" t="str">
        <x:v>广义净债务</x:v>
      </x:c>
      <x:c r="B10" s="69" t="n">
        <x:f>'Balance &amp; Cash'!B20</x:f>
        <x:v>25.716656</x:v>
      </x:c>
      <x:c r="C10" s="14" t="str">
        <x:v>含租赁与长期应付款</x:v>
      </x:c>
    </x:row>
    <x:row r="11">
      <x:c r="A11" s="14" t="str">
        <x:v>2026H1扣非净利润</x:v>
      </x:c>
      <x:c r="B11" s="69" t="n">
        <x:f>'Historical'!F6</x:f>
        <x:v>9.209887</x:v>
      </x:c>
      <x:c r="C11" s="14" t="str">
        <x:v>RMB bn</x:v>
      </x:c>
    </x:row>
    <x:row r="12">
      <x:c r="A12" s="16" t="str">
        <x:v>2026H1 EBITDA近似</x:v>
      </x:c>
      <x:c r="B12" s="98" t="n">
        <x:v>13.737037</x:v>
      </x:c>
      <x:c r="C12" s="16" t="str">
        <x:v>营业利润+折旧摊销</x:v>
      </x:c>
    </x:row>
    <x:row r="14">
      <x:c r="A14" s="19" t="str">
        <x:v>情景</x:v>
      </x:c>
      <x:c r="B14" s="20" t="str">
        <x:v>Bear</x:v>
      </x:c>
      <x:c r="C14" s="20" t="str">
        <x:v>Base</x:v>
      </x:c>
      <x:c r="D14" s="20" t="str">
        <x:v>Bull</x:v>
      </x:c>
      <x:c r="E14" s="20" t="str">
        <x:v>单位</x:v>
      </x:c>
      <x:c r="F14" s="20" t="str">
        <x:v>权重</x:v>
      </x:c>
      <x:c r="G14" s="21" t="str">
        <x:v>逻辑</x:v>
      </x:c>
    </x:row>
    <x:row r="15">
      <x:c r="A15" s="11" t="str">
        <x:v>2026E扣非净利润</x:v>
      </x:c>
      <x:c r="B15" s="123" t="n">
        <x:v>16</x:v>
      </x:c>
      <x:c r="C15" s="123" t="n">
        <x:v>18.5</x:v>
      </x:c>
      <x:c r="D15" s="123" t="n">
        <x:v>21</x:v>
      </x:c>
      <x:c r="E15" s="11" t="str">
        <x:v>RMB bn</x:v>
      </x:c>
      <x:c r="F15" s="124" t="n">
        <x:v>0.7</x:v>
      </x:c>
      <x:c r="G15" s="11" t="str">
        <x:v>H2隐含6.79/9.29/11.79bn</x:v>
      </x:c>
    </x:row>
    <x:row r="16">
      <x:c r="A16" s="14" t="str">
        <x:v>P/E</x:v>
      </x:c>
      <x:c r="B16" s="125" t="n">
        <x:v>9</x:v>
      </x:c>
      <x:c r="C16" s="125" t="n">
        <x:v>12</x:v>
      </x:c>
      <x:c r="D16" s="125" t="n">
        <x:v>15</x:v>
      </x:c>
      <x:c r="E16" s="14" t="str">
        <x:v>x</x:v>
      </x:c>
      <x:c r="F16" s="126" t="n">
        <x:v>0.7</x:v>
      </x:c>
      <x:c r="G16" s="14" t="str">
        <x:v>周期股到成本龙头溢价</x:v>
      </x:c>
    </x:row>
    <x:row r="17">
      <x:c r="A17" s="14" t="str">
        <x:v>2026E EBITDA</x:v>
      </x:c>
      <x:c r="B17" s="127" t="n">
        <x:v>25</x:v>
      </x:c>
      <x:c r="C17" s="127" t="n">
        <x:v>28</x:v>
      </x:c>
      <x:c r="D17" s="127" t="n">
        <x:v>31</x:v>
      </x:c>
      <x:c r="E17" s="14" t="str">
        <x:v>RMB bn</x:v>
      </x:c>
      <x:c r="F17" s="126" t="n">
        <x:v>0.3</x:v>
      </x:c>
      <x:c r="G17" s="14" t="str">
        <x:v>不直接年化H1</x:v>
      </x:c>
    </x:row>
    <x:row r="18">
      <x:c r="A18" s="14" t="str">
        <x:v>EV/EBITDA</x:v>
      </x:c>
      <x:c r="B18" s="125" t="n">
        <x:v>6.5</x:v>
      </x:c>
      <x:c r="C18" s="125" t="n">
        <x:v>8</x:v>
      </x:c>
      <x:c r="D18" s="125" t="n">
        <x:v>9.5</x:v>
      </x:c>
      <x:c r="E18" s="14" t="str">
        <x:v>x</x:v>
      </x:c>
      <x:c r="F18" s="126" t="n">
        <x:v>0.3</x:v>
      </x:c>
      <x:c r="G18" s="14" t="str">
        <x:v>含资本强度与债务</x:v>
      </x:c>
    </x:row>
    <x:row r="19">
      <x:c r="A19" s="16" t="str">
        <x:v>情景说明</x:v>
      </x:c>
      <x:c r="B19" s="16" t="str">
        <x:v>价差回落/项目偏慢</x:v>
      </x:c>
      <x:c r="C19" s="16" t="str">
        <x:v>高盈利部分延续</x:v>
      </x:c>
      <x:c r="D19" s="16" t="str">
        <x:v>价差与四期均兑现</x:v>
      </x:c>
      <x:c r="E19" s="16" t="str">
        <x:v>研究判断</x:v>
      </x:c>
      <x:c r="F19" s="16"/>
      <x:c r="G19" s="16" t="str">
        <x:v>不是公司指引或一致预期</x:v>
      </x:c>
    </x:row>
  </x:sheetData>
  <x:mergeCells>
    <x:mergeCell ref="A1:F1"/>
  </x:mergeCells>
  <x:pageMargins left="0.7" right="0.7" top="0.75" bottom="0.75" header="0.3" footer="0.3"/>
  <x:legacyDrawing xmlns:r="http://schemas.openxmlformats.org/officeDocument/2006/relationships" r:id="R6399852a12e64fe7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3" t="str">
        <x:v>70% 正常化扣非P/E + 30% EV/EBITDA</x:v>
      </x:c>
      <x:c r="B1" s="3" t="str">
        <x:v>70% 正常化扣非P/E + 30% EV/EBITDA</x:v>
      </x:c>
      <x:c r="C1" s="3" t="str">
        <x:v>70% 正常化扣非P/E + 30% EV/EBITDA</x:v>
      </x:c>
      <x:c r="D1" s="3" t="str">
        <x:v>70% 正常化扣非P/E + 30% EV/EBITDA</x:v>
      </x:c>
      <x:c r="E1" s="3" t="str">
        <x:v>70% 正常化扣非P/E + 30% EV/EBITDA</x:v>
      </x:c>
      <x:c r="F1" s="3" t="str">
        <x:v>70% 正常化扣非P/E + 30% EV/EBITDA</x:v>
      </x:c>
      <x:c r="G1" s="3" t="str">
        <x:v>70% 正常化扣非P/E + 30% EV/EBITDA</x:v>
      </x:c>
      <x:c r="H1" s="3" t="str">
        <x:v>70% 正常化扣非P/E + 30% EV/EBITDA</x:v>
      </x:c>
      <x:c r="I1" s="3" t="str">
        <x:v>70% 正常化扣非P/E + 30% EV/EBITDA</x:v>
      </x:c>
    </x:row>
    <x:row r="3">
      <x:c r="A3" s="19" t="str">
        <x:v>情景</x:v>
      </x:c>
      <x:c r="B3" s="20" t="str">
        <x:v>扣非净利润</x:v>
      </x:c>
      <x:c r="C3" s="20" t="str">
        <x:v>P/E</x:v>
      </x:c>
      <x:c r="D3" s="20" t="str">
        <x:v>P/E价值/股</x:v>
      </x:c>
      <x:c r="E3" s="20" t="str">
        <x:v>EBITDA</x:v>
      </x:c>
      <x:c r="F3" s="20" t="str">
        <x:v>EV/EBITDA</x:v>
      </x:c>
      <x:c r="G3" s="20" t="str">
        <x:v>EV法价值/股</x:v>
      </x:c>
      <x:c r="H3" s="20" t="str">
        <x:v>加权价值/股</x:v>
      </x:c>
      <x:c r="I3" s="21" t="str">
        <x:v>相对现价</x:v>
      </x:c>
    </x:row>
    <x:row r="5">
      <x:c r="A5" s="11" t="str">
        <x:v>Bear</x:v>
      </x:c>
      <x:c r="B5" s="123" t="n">
        <x:f>'Assumptions'!B15</x:f>
        <x:v>16</x:v>
      </x:c>
      <x:c r="C5" s="141" t="n">
        <x:f>'Assumptions'!B16</x:f>
        <x:v>9</x:v>
      </x:c>
      <x:c r="D5" s="114" t="n">
        <x:f>B5*C5/'Assumptions'!$B$8</x:f>
        <x:v>19.79990327747249</x:v>
      </x:c>
      <x:c r="E5" s="123" t="n">
        <x:f>'Assumptions'!B17</x:f>
        <x:v>25</x:v>
      </x:c>
      <x:c r="F5" s="141" t="n">
        <x:f>'Assumptions'!B18</x:f>
        <x:v>6.5</x:v>
      </x:c>
      <x:c r="G5" s="114" t="n">
        <x:f>(E5*F5-'Assumptions'!$B$10)/'Assumptions'!$B$8</x:f>
        <x:v>18.807617924786438</x:v>
      </x:c>
      <x:c r="H5" s="40" t="n">
        <x:f>D5*70%+G5*30%</x:f>
        <x:v>19.502217671666674</x:v>
      </x:c>
      <x:c r="I5" s="94" t="n">
        <x:f>H5/'Assumptions'!$B$4-1</x:f>
        <x:v>-0.19974486369853617</x:v>
      </x:c>
    </x:row>
    <x:row r="6">
      <x:c r="A6" s="142" t="str">
        <x:v>Base</x:v>
      </x:c>
      <x:c r="B6" s="143" t="n">
        <x:f>'Assumptions'!C15</x:f>
        <x:v>18.5</x:v>
      </x:c>
      <x:c r="C6" s="144" t="n">
        <x:f>'Assumptions'!C16</x:f>
        <x:v>12</x:v>
      </x:c>
      <x:c r="D6" s="145" t="n">
        <x:f>B6*C6/'Assumptions'!$B$8</x:f>
        <x:v>30.524850886103422</x:v>
      </x:c>
      <x:c r="E6" s="143" t="n">
        <x:f>'Assumptions'!C17</x:f>
        <x:v>28</x:v>
      </x:c>
      <x:c r="F6" s="144" t="n">
        <x:f>'Assumptions'!C18</x:f>
        <x:v>8</x:v>
      </x:c>
      <x:c r="G6" s="145" t="n">
        <x:f>(E6*F6-'Assumptions'!$B$10)/'Assumptions'!$B$8</x:f>
        <x:v>27.26382661620698</x:v>
      </x:c>
      <x:c r="H6" s="146" t="n">
        <x:f>D6*70%+G6*30%</x:f>
        <x:v>29.546543605134488</x:v>
      </x:c>
      <x:c r="I6" s="147" t="n">
        <x:f>H6/'Assumptions'!$B$4-1</x:f>
        <x:v>0.212414591921809</x:v>
      </x:c>
    </x:row>
    <x:row r="7">
      <x:c r="A7" s="16" t="str">
        <x:v>Bull</x:v>
      </x:c>
      <x:c r="B7" s="148" t="n">
        <x:f>'Assumptions'!D15</x:f>
        <x:v>21</x:v>
      </x:c>
      <x:c r="C7" s="149" t="n">
        <x:f>'Assumptions'!D16</x:f>
        <x:v>15</x:v>
      </x:c>
      <x:c r="D7" s="150" t="n">
        <x:f>B7*C7/'Assumptions'!$B$8</x:f>
        <x:v>43.312288419471074</x:v>
      </x:c>
      <x:c r="E7" s="148" t="n">
        <x:f>'Assumptions'!D17</x:f>
        <x:v>31</x:v>
      </x:c>
      <x:c r="F7" s="149" t="n">
        <x:f>'Assumptions'!D18</x:f>
        <x:v>9.5</x:v>
      </x:c>
      <x:c r="G7" s="150" t="n">
        <x:f>(E7*F7-'Assumptions'!$B$10)/'Assumptions'!$B$8</x:f>
        <x:v>36.957529262469556</x:v>
      </x:c>
      <x:c r="H7" s="151" t="n">
        <x:f>D7*70%+G7*30%</x:f>
        <x:v>41.405860672370615</x:v>
      </x:c>
      <x:c r="I7" s="100" t="n">
        <x:f>H7/'Assumptions'!$B$4-1</x:f>
        <x:v>0.699050499481765</x:v>
      </x:c>
    </x:row>
    <x:row r="11">
      <x:c r="A11" s="19" t="str">
        <x:v>每股价值敏感性：扣非净利润与P/E（70% P/E部分；EV部分固定Base）</x:v>
      </x:c>
      <x:c r="B11" s="20" t="str">
        <x:v>每股价值敏感性：扣非净利润与P/E（70% P/E部分；EV部分固定Base）</x:v>
      </x:c>
      <x:c r="C11" s="20" t="str">
        <x:v>每股价值敏感性：扣非净利润与P/E（70% P/E部分；EV部分固定Base）</x:v>
      </x:c>
      <x:c r="D11" s="20" t="str">
        <x:v>每股价值敏感性：扣非净利润与P/E（70% P/E部分；EV部分固定Base）</x:v>
      </x:c>
      <x:c r="E11" s="20" t="str">
        <x:v>每股价值敏感性：扣非净利润与P/E（70% P/E部分；EV部分固定Base）</x:v>
      </x:c>
      <x:c r="F11" s="20" t="str">
        <x:v>每股价值敏感性：扣非净利润与P/E（70% P/E部分；EV部分固定Base）</x:v>
      </x:c>
      <x:c r="G11" s="21" t="str">
        <x:v>每股价值敏感性：扣非净利润与P/E（70% P/E部分；EV部分固定Base）</x:v>
      </x:c>
    </x:row>
    <x:row r="12">
      <x:c r="A12" s="52" t="str">
        <x:v>利润 \ P/E</x:v>
      </x:c>
      <x:c r="B12" s="53" t="n">
        <x:v>8</x:v>
      </x:c>
      <x:c r="C12" s="53" t="n">
        <x:v>10</x:v>
      </x:c>
      <x:c r="D12" s="53" t="n">
        <x:v>12</x:v>
      </x:c>
      <x:c r="E12" s="53" t="n">
        <x:v>14</x:v>
      </x:c>
      <x:c r="F12" s="53" t="n">
        <x:v>16</x:v>
      </x:c>
      <x:c r="G12" s="54" t="str">
        <x:v>说明</x:v>
      </x:c>
    </x:row>
    <x:row r="13">
      <x:c r="A13" s="123" t="n">
        <x:v>15</x:v>
      </x:c>
      <x:c r="B13" s="114" t="n">
        <x:f>($A13*B$12/'Assumptions'!$B$8)*70%+$G$6*30%</x:f>
        <x:v>19.729091563387712</x:v>
      </x:c>
      <x:c r="C13" s="114" t="n">
        <x:f>($A13*C$12/'Assumptions'!$B$8)*70%+$G$6*30%</x:f>
        <x:v>22.61657745801912</x:v>
      </x:c>
      <x:c r="D13" s="114" t="n">
        <x:f>($A13*D$12/'Assumptions'!$B$8)*70%+$G$6*30%</x:f>
        <x:v>25.504063352650522</x:v>
      </x:c>
      <x:c r="E13" s="114" t="n">
        <x:f>($A13*E$12/'Assumptions'!$B$8)*70%+$G$6*30%</x:f>
        <x:v>28.391549247281926</x:v>
      </x:c>
      <x:c r="F13" s="114" t="n">
        <x:f>($A13*F$12/'Assumptions'!$B$8)*70%+$G$6*30%</x:f>
        <x:v>31.27903514191333</x:v>
      </x:c>
      <x:c r="G13" s="11" t="str">
        <x:v>压力</x:v>
      </x:c>
    </x:row>
    <x:row r="14">
      <x:c r="A14" s="127" t="n">
        <x:v>17</x:v>
      </x:c>
      <x:c r="B14" s="152" t="n">
        <x:f>($A14*B$12/'Assumptions'!$B$8)*70%+$G$6*30%</x:f>
        <x:v>21.26908404052446</x:v>
      </x:c>
      <x:c r="C14" s="152" t="n">
        <x:f>($A14*C$12/'Assumptions'!$B$8)*70%+$G$6*30%</x:f>
        <x:v>24.541568054440056</x:v>
      </x:c>
      <x:c r="D14" s="152" t="n">
        <x:f>($A14*D$12/'Assumptions'!$B$8)*70%+$G$6*30%</x:f>
        <x:v>27.814052068355647</x:v>
      </x:c>
      <x:c r="E14" s="152" t="n">
        <x:f>($A14*E$12/'Assumptions'!$B$8)*70%+$G$6*30%</x:f>
        <x:v>31.086536082271238</x:v>
      </x:c>
      <x:c r="F14" s="152" t="n">
        <x:f>($A14*F$12/'Assumptions'!$B$8)*70%+$G$6*30%</x:f>
        <x:v>34.35902009618683</x:v>
      </x:c>
      <x:c r="G14" s="14" t="str">
        <x:v>偏弱</x:v>
      </x:c>
    </x:row>
    <x:row r="15">
      <x:c r="A15" s="127" t="n">
        <x:v>19</x:v>
      </x:c>
      <x:c r="B15" s="152" t="n">
        <x:f>($A15*B$12/'Assumptions'!$B$8)*70%+$G$6*30%</x:f>
        <x:v>22.80907651766121</x:v>
      </x:c>
      <x:c r="C15" s="152" t="n">
        <x:f>($A15*C$12/'Assumptions'!$B$8)*70%+$G$6*30%</x:f>
        <x:v>26.466558650860993</x:v>
      </x:c>
      <x:c r="D15" s="152" t="n">
        <x:f>($A15*D$12/'Assumptions'!$B$8)*70%+$G$6*30%</x:f>
        <x:v>30.12404078406077</x:v>
      </x:c>
      <x:c r="E15" s="152" t="n">
        <x:f>($A15*E$12/'Assumptions'!$B$8)*70%+$G$6*30%</x:f>
        <x:v>33.781522917260546</x:v>
      </x:c>
      <x:c r="F15" s="152" t="n">
        <x:f>($A15*F$12/'Assumptions'!$B$8)*70%+$G$6*30%</x:f>
        <x:v>37.439005050460324</x:v>
      </x:c>
      <x:c r="G15" s="14" t="str">
        <x:v>接近Base</x:v>
      </x:c>
    </x:row>
    <x:row r="16">
      <x:c r="A16" s="127" t="n">
        <x:v>21</x:v>
      </x:c>
      <x:c r="B16" s="152" t="n">
        <x:f>($A16*B$12/'Assumptions'!$B$8)*70%+$G$6*30%</x:f>
        <x:v>24.34906899479796</x:v>
      </x:c>
      <x:c r="C16" s="152" t="n">
        <x:f>($A16*C$12/'Assumptions'!$B$8)*70%+$G$6*30%</x:f>
        <x:v>28.391549247281926</x:v>
      </x:c>
      <x:c r="D16" s="152" t="n">
        <x:f>($A16*D$12/'Assumptions'!$B$8)*70%+$G$6*30%</x:f>
        <x:v>32.43402949976589</x:v>
      </x:c>
      <x:c r="E16" s="152" t="n">
        <x:f>($A16*E$12/'Assumptions'!$B$8)*70%+$G$6*30%</x:f>
        <x:v>36.47650975224986</x:v>
      </x:c>
      <x:c r="F16" s="152" t="n">
        <x:f>($A16*F$12/'Assumptions'!$B$8)*70%+$G$6*30%</x:f>
        <x:v>40.51899000473382</x:v>
      </x:c>
      <x:c r="G16" s="14" t="str">
        <x:v>偏强</x:v>
      </x:c>
    </x:row>
    <x:row r="17">
      <x:c r="A17" s="148" t="n">
        <x:v>23</x:v>
      </x:c>
      <x:c r="B17" s="150" t="n">
        <x:f>($A17*B$12/'Assumptions'!$B$8)*70%+$G$6*30%</x:f>
        <x:v>25.88906147193471</x:v>
      </x:c>
      <x:c r="C17" s="150" t="n">
        <x:f>($A17*C$12/'Assumptions'!$B$8)*70%+$G$6*30%</x:f>
        <x:v>30.316539843702863</x:v>
      </x:c>
      <x:c r="D17" s="150" t="n">
        <x:f>($A17*D$12/'Assumptions'!$B$8)*70%+$G$6*30%</x:f>
        <x:v>34.744018215471016</x:v>
      </x:c>
      <x:c r="E17" s="150" t="n">
        <x:f>($A17*E$12/'Assumptions'!$B$8)*70%+$G$6*30%</x:f>
        <x:v>39.171496587239176</x:v>
      </x:c>
      <x:c r="F17" s="150" t="n">
        <x:f>($A17*F$12/'Assumptions'!$B$8)*70%+$G$6*30%</x:f>
        <x:v>43.59897495900732</x:v>
      </x:c>
      <x:c r="G17" s="16" t="str">
        <x:v>强景气</x:v>
      </x:c>
    </x:row>
    <x:row r="20">
      <x:c r="A20" s="19" t="str">
        <x:v>估值限制</x:v>
      </x:c>
      <x:c r="B20" s="20" t="str">
        <x:v>估值限制</x:v>
      </x:c>
      <x:c r="C20" s="20" t="str">
        <x:v>估值限制</x:v>
      </x:c>
      <x:c r="D20" s="20" t="str">
        <x:v>估值限制</x:v>
      </x:c>
      <x:c r="E20" s="20" t="str">
        <x:v>估值限制</x:v>
      </x:c>
      <x:c r="F20" s="20" t="str">
        <x:v>估值限制</x:v>
      </x:c>
      <x:c r="G20" s="20" t="str">
        <x:v>估值限制</x:v>
      </x:c>
      <x:c r="H20" s="20" t="str">
        <x:v>估值限制</x:v>
      </x:c>
      <x:c r="I20" s="21" t="str">
        <x:v>估值限制</x:v>
      </x:c>
    </x:row>
    <x:row r="21">
      <x:c r="A21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B21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C21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D21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E21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F21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G21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H21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I21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</x:row>
    <x:row r="22">
      <x:c r="A22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B22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C22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D22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E22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F22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G22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H22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I22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</x:row>
    <x:row r="23">
      <x:c r="A23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B23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C23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D23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E23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F23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G23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H23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I23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</x:row>
    <x:row r="24">
      <x:c r="A24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B24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C24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D24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E24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F24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G24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H24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I24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</x:row>
    <x:row r="25">
      <x:c r="A25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B25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C25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D25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E25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F25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G25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H25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  <x:c r="I25" s="49" t="str">
        <x:v>情景利润、EBITDA与倍数均为分析假设，不是公司指引或一致预期。P/E使用扣非口径，EV/EBITDA使用广义净债务并纳入租赁负债和长期应付款。模型不把2026H1利润直接翻倍，也不提前资本化宁东四期完整产能；如果烯烃毛利率和煤价发生结构变化，情景输入需要整体重估。</x:v>
      </x:c>
    </x:row>
  </x:sheetData>
  <x:mergeCells>
    <x:mergeCell ref="A1:I1"/>
    <x:mergeCell ref="A11:G11"/>
    <x:mergeCell ref="A20:I20"/>
    <x:mergeCell ref="A21:I25"/>
  </x:mergeCells>
  <x:conditionalFormatting sqref="B13:F17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6" hidden="0" customWidth="1"/>
  </x:cols>
  <x:sheetData>
    <x:row r="1" ht="30" customHeight="1">
      <x:c r="A1" s="3" t="str">
        <x:v>模型检查</x:v>
      </x:c>
      <x:c r="B1" s="3" t="str">
        <x:v>模型检查</x:v>
      </x:c>
      <x:c r="C1" s="3" t="str">
        <x:v>模型检查</x:v>
      </x:c>
      <x:c r="D1" s="3" t="str">
        <x:v>模型检查</x:v>
      </x:c>
      <x:c r="E1" s="3" t="str">
        <x:v>模型检查</x:v>
      </x:c>
      <x:c r="F1" s="3" t="str">
        <x:v>模型检查</x:v>
      </x:c>
      <x:c r="G1" s="3" t="str">
        <x:v>模型检查</x:v>
      </x:c>
    </x:row>
    <x:row r="2">
      <x:c r="A2" t="str">
        <x:v>总体模型状态</x:v>
      </x:c>
      <x:c r="B2" t="str">
        <x:v>总体模型状态</x:v>
      </x:c>
      <x:c r="C2" t="str">
        <x:v>总体模型状态</x:v>
      </x:c>
      <x:c r="D2" t="str">
        <x:v>总体模型状态</x:v>
      </x:c>
      <x:c r="E2" t="str">
        <x:v>总体模型状态</x:v>
      </x:c>
      <x:c r="F2" t="str">
        <x:f>IF(COUNTIF(F5:F16,"FAIL")=0,"OK","FAIL")</x:f>
        <x:v>OK</x:v>
      </x:c>
    </x:row>
    <x:row r="4">
      <x:c r="A4" s="19" t="str">
        <x:v>检查项</x:v>
      </x:c>
      <x:c r="B4" s="20" t="str">
        <x:v>实际值</x:v>
      </x:c>
      <x:c r="C4" s="20" t="str">
        <x:v>预期/阈值</x:v>
      </x:c>
      <x:c r="D4" s="20" t="str">
        <x:v>差异</x:v>
      </x:c>
      <x:c r="E4" s="20" t="str">
        <x:v>容差</x:v>
      </x:c>
      <x:c r="F4" s="20" t="str">
        <x:v>状态</x:v>
      </x:c>
      <x:c r="G4" s="21" t="str">
        <x:v>说明</x:v>
      </x:c>
    </x:row>
    <x:row r="5">
      <x:c r="A5" s="11" t="str">
        <x:v>H1分部收入合计</x:v>
      </x:c>
      <x:c r="B5" s="155" t="n">
        <x:f>'Operations'!B8</x:f>
        <x:v>30.197589999999998</x:v>
      </x:c>
      <x:c r="C5" s="155" t="n">
        <x:f>'Historical'!F4</x:f>
        <x:v>30.197584</x:v>
      </x:c>
      <x:c r="D5" s="155" t="n">
        <x:f>B5-C5</x:f>
        <x:v>0.000005999999999062311</x:v>
      </x:c>
      <x:c r="E5" s="155" t="n">
        <x:f>0.0001</x:f>
        <x:v>0.0001</x:v>
      </x:c>
      <x:c r="F5" s="11" t="str">
        <x:f>IF(ABS(D5)&lt;=E5,"OK","FAIL")</x:f>
        <x:v>OK</x:v>
      </x:c>
      <x:c r="G5" s="11" t="str">
        <x:v>分部等于合并收入</x:v>
      </x:c>
    </x:row>
    <x:row r="6">
      <x:c r="A6" s="14" t="str">
        <x:v>H1分部成本合计</x:v>
      </x:c>
      <x:c r="B6" s="156" t="n">
        <x:f>'Operations'!D8</x:f>
        <x:v>17.042530000000003</x:v>
      </x:c>
      <x:c r="C6" s="156" t="n">
        <x:f>'Historical'!F8</x:f>
        <x:v>17.04254</x:v>
      </x:c>
      <x:c r="D6" s="156" t="n">
        <x:f>B6-C6</x:f>
        <x:v>-0.000009999999996068709</x:v>
      </x:c>
      <x:c r="E6" s="156" t="n">
        <x:f>0.0001</x:f>
        <x:v>0.0001</x:v>
      </x:c>
      <x:c r="F6" s="14" t="str">
        <x:f>IF(ABS(D6)&lt;=E6,"OK","FAIL")</x:f>
        <x:v>OK</x:v>
      </x:c>
      <x:c r="G6" s="14" t="str">
        <x:v>分部等于营业成本</x:v>
      </x:c>
    </x:row>
    <x:row r="7">
      <x:c r="A7" s="14" t="str">
        <x:v>H1综合毛利率</x:v>
      </x:c>
      <x:c r="B7" s="156" t="n">
        <x:f>'Operations'!E8</x:f>
        <x:v>0.43563277731766</x:v>
      </x:c>
      <x:c r="C7" s="156" t="n">
        <x:f>'Historical'!F9</x:f>
        <x:v>0.4356323340304311</x:v>
      </x:c>
      <x:c r="D7" s="156" t="n">
        <x:f>B7-C7</x:f>
        <x:v>4.4328722886843863e-7</x:v>
      </x:c>
      <x:c r="E7" s="156" t="n">
        <x:f>0.0001</x:f>
        <x:v>0.0001</x:v>
      </x:c>
      <x:c r="F7" s="14" t="str">
        <x:f>IF(ABS(D7)&lt;=E7,"OK","FAIL")</x:f>
        <x:v>OK</x:v>
      </x:c>
      <x:c r="G7" s="14" t="str">
        <x:v>分部与合并毛利率一致</x:v>
      </x:c>
    </x:row>
    <x:row r="8">
      <x:c r="A8" s="14" t="str">
        <x:v>Q2收入桥</x:v>
      </x:c>
      <x:c r="B8" s="156" t="n">
        <x:f>'Historical'!G4</x:f>
        <x:v>16.960807</x:v>
      </x:c>
      <x:c r="C8" s="156" t="n">
        <x:f>'Historical'!F4-'Historical'!E4</x:f>
        <x:v>16.960807</x:v>
      </x:c>
      <x:c r="D8" s="156" t="n">
        <x:f>B8-C8</x:f>
        <x:v>0</x:v>
      </x:c>
      <x:c r="E8" s="156" t="n">
        <x:f>0.0001</x:f>
        <x:v>0.0001</x:v>
      </x:c>
      <x:c r="F8" s="14" t="str">
        <x:f>IF(ABS(D8)&lt;=E8,"OK","FAIL")</x:f>
        <x:v>OK</x:v>
      </x:c>
      <x:c r="G8" s="14" t="str">
        <x:v>H1减Q1</x:v>
      </x:c>
    </x:row>
    <x:row r="9">
      <x:c r="A9" s="14" t="str">
        <x:v>Q2扣非利润桥</x:v>
      </x:c>
      <x:c r="B9" s="156" t="n">
        <x:f>'Historical'!G6</x:f>
        <x:v>5.809721</x:v>
      </x:c>
      <x:c r="C9" s="156" t="n">
        <x:f>'Historical'!F6-'Historical'!E6</x:f>
        <x:v>5.809721</x:v>
      </x:c>
      <x:c r="D9" s="156" t="n">
        <x:f>B9-C9</x:f>
        <x:v>0</x:v>
      </x:c>
      <x:c r="E9" s="156" t="n">
        <x:f>0.0001</x:f>
        <x:v>0.0001</x:v>
      </x:c>
      <x:c r="F9" s="14" t="str">
        <x:f>IF(ABS(D9)&lt;=E9,"OK","FAIL")</x:f>
        <x:v>OK</x:v>
      </x:c>
      <x:c r="G9" s="14" t="str">
        <x:v>H1减Q1</x:v>
      </x:c>
    </x:row>
    <x:row r="10">
      <x:c r="A10" s="14" t="str">
        <x:v>经济股数桥</x:v>
      </x:c>
      <x:c r="B10" s="156" t="n">
        <x:f>'Assumptions'!B8</x:f>
        <x:v>7.2727628</x:v>
      </x:c>
      <x:c r="C10" s="156" t="n">
        <x:f>'Assumptions'!B5-'Assumptions'!B6</x:f>
        <x:v>7.2727628</x:v>
      </x:c>
      <x:c r="D10" s="156" t="n">
        <x:f>B10-C10</x:f>
        <x:v>0</x:v>
      </x:c>
      <x:c r="E10" s="156" t="n">
        <x:f>0.0001</x:f>
        <x:v>0.0001</x:v>
      </x:c>
      <x:c r="F10" s="14" t="str">
        <x:f>IF(ABS(D10)&lt;=E10,"OK","FAIL")</x:f>
        <x:v>OK</x:v>
      </x:c>
      <x:c r="G10" s="14" t="str">
        <x:v>总股本减回购专户</x:v>
      </x:c>
    </x:row>
    <x:row r="11">
      <x:c r="A11" s="14" t="str">
        <x:v>经济市值桥</x:v>
      </x:c>
      <x:c r="B11" s="156" t="n">
        <x:f>'Assumptions'!B9</x:f>
        <x:v>177.237229436</x:v>
      </x:c>
      <x:c r="C11" s="156" t="n">
        <x:f>'Assumptions'!B4*'Assumptions'!B8</x:f>
        <x:v>177.237229436</x:v>
      </x:c>
      <x:c r="D11" s="156" t="n">
        <x:f>B11-C11</x:f>
        <x:v>0</x:v>
      </x:c>
      <x:c r="E11" s="156" t="n">
        <x:f>0.0001</x:f>
        <x:v>0.0001</x:v>
      </x:c>
      <x:c r="F11" s="14" t="str">
        <x:f>IF(ABS(D11)&lt;=E11,"OK","FAIL")</x:f>
        <x:v>OK</x:v>
      </x:c>
      <x:c r="G11" s="14" t="str">
        <x:v>价格×经济股数</x:v>
      </x:c>
    </x:row>
    <x:row r="12">
      <x:c r="A12" s="14" t="str">
        <x:v>广义净债务桥</x:v>
      </x:c>
      <x:c r="B12" s="156" t="n">
        <x:f>'Assumptions'!B10</x:f>
        <x:v>25.716656</x:v>
      </x:c>
      <x:c r="C12" s="156" t="n">
        <x:f>'Balance &amp; Cash'!B20</x:f>
        <x:v>25.716656</x:v>
      </x:c>
      <x:c r="D12" s="156" t="n">
        <x:f>B12-C12</x:f>
        <x:v>0</x:v>
      </x:c>
      <x:c r="E12" s="156" t="n">
        <x:f>0.0001</x:f>
        <x:v>0.0001</x:v>
      </x:c>
      <x:c r="F12" s="14" t="str">
        <x:f>IF(ABS(D12)&lt;=E12,"OK","FAIL")</x:f>
        <x:v>OK</x:v>
      </x:c>
      <x:c r="G12" s="14" t="str">
        <x:v>含租赁与长期应付款</x:v>
      </x:c>
    </x:row>
    <x:row r="13">
      <x:c r="A13" s="14" t="str">
        <x:v>Base加权价值</x:v>
      </x:c>
      <x:c r="B13" s="156" t="n">
        <x:f>'Valuation'!H6</x:f>
        <x:v>29.546543605134488</x:v>
      </x:c>
      <x:c r="C13" s="156" t="n">
        <x:f>'Valuation'!D6*70%+'Valuation'!G6*30%</x:f>
        <x:v>29.546543605134488</x:v>
      </x:c>
      <x:c r="D13" s="156" t="n">
        <x:f>B13-C13</x:f>
        <x:v>0</x:v>
      </x:c>
      <x:c r="E13" s="156" t="n">
        <x:f>0.0001</x:f>
        <x:v>0.0001</x:v>
      </x:c>
      <x:c r="F13" s="14" t="str">
        <x:f>IF(ABS(D13)&lt;=E13,"OK","FAIL")</x:f>
        <x:v>OK</x:v>
      </x:c>
      <x:c r="G13" s="14" t="str">
        <x:v>70/30权重</x:v>
      </x:c>
    </x:row>
    <x:row r="14">
      <x:c r="A14" s="14" t="str">
        <x:v>Base每股价值</x:v>
      </x:c>
      <x:c r="B14" s="156" t="n">
        <x:f>'Valuation'!H6</x:f>
        <x:v>29.546543605134488</x:v>
      </x:c>
      <x:c r="C14" s="156" t="n">
        <x:f>('Assumptions'!C15*'Assumptions'!C16/'Assumptions'!B8)*70%+(('Assumptions'!C17*'Assumptions'!C18-'Assumptions'!B10)/'Assumptions'!B8)*30%</x:f>
        <x:v>29.546543605134488</x:v>
      </x:c>
      <x:c r="D14" s="156" t="n">
        <x:f>B14-C14</x:f>
        <x:v>0</x:v>
      </x:c>
      <x:c r="E14" s="156" t="n">
        <x:f>0.0001</x:f>
        <x:v>0.0001</x:v>
      </x:c>
      <x:c r="F14" s="14" t="str">
        <x:f>IF(ABS(D14)&lt;=E14,"OK","FAIL")</x:f>
        <x:v>OK</x:v>
      </x:c>
      <x:c r="G14" s="14" t="str">
        <x:v>全公式复算</x:v>
      </x:c>
    </x:row>
    <x:row r="15">
      <x:c r="A15" s="14" t="str">
        <x:v>情景价值递增</x:v>
      </x:c>
      <x:c r="B15" s="156" t="n">
        <x:f>'Valuation'!H7-'Valuation'!H5</x:f>
        <x:v>21.90364300070394</x:v>
      </x:c>
      <x:c r="C15" s="156" t="n">
        <x:f>0</x:f>
        <x:v>0</x:v>
      </x:c>
      <x:c r="D15" s="156" t="n">
        <x:f>B15-C15</x:f>
        <x:v>21.90364300070394</x:v>
      </x:c>
      <x:c r="E15" s="156" t="n">
        <x:f>0</x:f>
        <x:v>0</x:v>
      </x:c>
      <x:c r="F15" s="14" t="str">
        <x:f>IF(B15&gt;C15,"OK","FAIL")</x:f>
        <x:v>OK</x:v>
      </x:c>
      <x:c r="G15" s="14" t="str">
        <x:v>Bull必须高于Bear</x:v>
      </x:c>
    </x:row>
    <x:row r="16">
      <x:c r="A16" s="16" t="str">
        <x:v>输入为正</x:v>
      </x:c>
      <x:c r="B16" s="157" t="n">
        <x:f>MIN('Assumptions'!B4,'Assumptions'!B8,'Assumptions'!B15,'Assumptions'!C15,'Assumptions'!D15)</x:f>
        <x:v>7.2727628</x:v>
      </x:c>
      <x:c r="C16" s="157" t="n">
        <x:f>0</x:f>
        <x:v>0</x:v>
      </x:c>
      <x:c r="D16" s="157" t="n">
        <x:f>B16-C16</x:f>
        <x:v>7.2727628</x:v>
      </x:c>
      <x:c r="E16" s="157" t="n">
        <x:f>0</x:f>
        <x:v>0</x:v>
      </x:c>
      <x:c r="F16" s="16" t="str">
        <x:f>IF(B16&gt;C16,"OK","FAIL")</x:f>
        <x:v>OK</x:v>
      </x:c>
      <x:c r="G16" s="16" t="str">
        <x:v>核心输入必须大于0</x:v>
      </x:c>
    </x:row>
  </x:sheetData>
  <x:mergeCells>
    <x:mergeCell ref="A1:G1"/>
    <x:mergeCell ref="A2:E2"/>
  </x:mergeCells>
  <x:conditionalFormatting sqref="F2:F16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5" hidden="0" customWidth="1"/>
    <x:col min="3" max="3" width="16" hidden="0" customWidth="1"/>
    <x:col min="4" max="4" width="19" hidden="0" customWidth="1"/>
    <x:col min="5" max="5" width="16" hidden="0" customWidth="1"/>
    <x:col min="6" max="6" width="24" hidden="0" customWidth="1"/>
    <x:col min="7" max="7" width="78" hidden="0" customWidth="1"/>
    <x:col min="8" max="8" width="34" hidden="0" customWidth="1"/>
  </x:cols>
  <x:sheetData>
    <x:row r="1" ht="30" customHeight="1">
      <x:c r="A1" s="3" t="str">
        <x:v>来源与审计索引</x:v>
      </x:c>
      <x:c r="B1" s="3" t="str">
        <x:v>来源与审计索引</x:v>
      </x:c>
      <x:c r="C1" s="3" t="str">
        <x:v>来源与审计索引</x:v>
      </x:c>
      <x:c r="D1" s="3" t="str">
        <x:v>来源与审计索引</x:v>
      </x:c>
      <x:c r="E1" s="3" t="str">
        <x:v>来源与审计索引</x:v>
      </x:c>
      <x:c r="F1" s="3" t="str">
        <x:v>来源与审计索引</x:v>
      </x:c>
      <x:c r="G1" s="3" t="str">
        <x:v>来源与审计索引</x:v>
      </x:c>
      <x:c r="H1" s="3" t="str">
        <x:v>来源与审计索引</x:v>
      </x:c>
    </x:row>
    <x:row r="3">
      <x:c r="A3" s="19" t="str">
        <x:v>ID</x:v>
      </x:c>
      <x:c r="B3" s="20" t="str">
        <x:v>输入/主题</x:v>
      </x:c>
      <x:c r="C3" s="20" t="str">
        <x:v>数值</x:v>
      </x:c>
      <x:c r="D3" s="20" t="str">
        <x:v>单位</x:v>
      </x:c>
      <x:c r="E3" s="20" t="str">
        <x:v>截至/期间</x:v>
      </x:c>
      <x:c r="F3" s="20" t="str">
        <x:v>来源</x:v>
      </x:c>
      <x:c r="G3" s="20" t="str">
        <x:v>URL/本地文件</x:v>
      </x:c>
      <x:c r="H3" s="21" t="str">
        <x:v>审计说明</x:v>
      </x:c>
    </x:row>
    <x:row r="4" ht="44" customHeight="1">
      <x:c r="A4" s="11" t="str">
        <x:v>S1</x:v>
      </x:c>
      <x:c r="B4" s="104" t="str">
        <x:v>2026H1财务、分部、项目、股本</x:v>
      </x:c>
      <x:c r="C4" s="163"/>
      <x:c r="D4" s="104"/>
      <x:c r="E4" s="104" t="str">
        <x:v>2026H1</x:v>
      </x:c>
      <x:c r="F4" s="104" t="str">
        <x:v>半年度报告</x:v>
      </x:c>
      <x:c r="G4" s="104" t="str">
        <x:v>https://static.sse.com.cn/disclosure/listedinfo/announcement/c/new/2026-08-13/600989_20260813_VSGG.pdf</x:v>
      </x:c>
      <x:c r="H4" s="104" t="str">
        <x:v>未经审计；本地已归档</x:v>
      </x:c>
    </x:row>
    <x:row r="5" ht="44" customHeight="1">
      <x:c r="A5" s="14" t="str">
        <x:v>S2</x:v>
      </x:c>
      <x:c r="B5" s="105" t="str">
        <x:v>2026H1产品量价与原料价格</x:v>
      </x:c>
      <x:c r="C5" s="164"/>
      <x:c r="D5" s="105"/>
      <x:c r="E5" s="105" t="str">
        <x:v>2026H1</x:v>
      </x:c>
      <x:c r="F5" s="105" t="str">
        <x:v>经营数据公告</x:v>
      </x:c>
      <x:c r="G5" s="105" t="str">
        <x:v>source-documents/2026-H1-operating-data.pdf</x:v>
      </x:c>
      <x:c r="H5" s="105" t="str">
        <x:v>公司正式披露镜像</x:v>
      </x:c>
    </x:row>
    <x:row r="6" ht="44" customHeight="1">
      <x:c r="A6" s="14" t="str">
        <x:v>S3</x:v>
      </x:c>
      <x:c r="B6" s="105" t="str">
        <x:v>2026Q1财务</x:v>
      </x:c>
      <x:c r="C6" s="164"/>
      <x:c r="D6" s="105"/>
      <x:c r="E6" s="105" t="str">
        <x:v>2026Q1</x:v>
      </x:c>
      <x:c r="F6" s="105" t="str">
        <x:v>第一季度报告</x:v>
      </x:c>
      <x:c r="G6" s="105" t="str">
        <x:v>source-documents/2026-Q1-report.pdf</x:v>
      </x:c>
      <x:c r="H6" s="105" t="str">
        <x:v>未经审计</x:v>
      </x:c>
    </x:row>
    <x:row r="7" ht="44" customHeight="1">
      <x:c r="A7" s="14" t="str">
        <x:v>S4</x:v>
      </x:c>
      <x:c r="B7" s="105" t="str">
        <x:v>2025年度财务、产能、研发</x:v>
      </x:c>
      <x:c r="C7" s="164"/>
      <x:c r="D7" s="105"/>
      <x:c r="E7" s="105" t="str">
        <x:v>FY2025</x:v>
      </x:c>
      <x:c r="F7" s="105" t="str">
        <x:v>年度报告</x:v>
      </x:c>
      <x:c r="G7" s="105" t="str">
        <x:v>source-documents/2025-annual-report.pdf</x:v>
      </x:c>
      <x:c r="H7" s="105" t="str">
        <x:v>安永华明；标准无保留意见</x:v>
      </x:c>
    </x:row>
    <x:row r="8" ht="44" customHeight="1">
      <x:c r="A8" s="14" t="str">
        <x:v>S5</x:v>
      </x:c>
      <x:c r="B8" s="105" t="str">
        <x:v>2023-2024历史财务</x:v>
      </x:c>
      <x:c r="C8" s="164"/>
      <x:c r="D8" s="105"/>
      <x:c r="E8" s="105" t="str">
        <x:v>FY2024</x:v>
      </x:c>
      <x:c r="F8" s="105" t="str">
        <x:v>年度报告</x:v>
      </x:c>
      <x:c r="G8" s="105" t="str">
        <x:v>https://static.cninfo.com.cn/finalpage/2025-03-12/1222769512.PDF</x:v>
      </x:c>
      <x:c r="H8" s="105" t="str">
        <x:v>经审计；本地已归档</x:v>
      </x:c>
    </x:row>
    <x:row r="9" ht="44" customHeight="1">
      <x:c r="A9" s="14" t="str">
        <x:v>M1</x:v>
      </x:c>
      <x:c r="B9" s="105" t="str">
        <x:v>A股收盘价</x:v>
      </x:c>
      <x:c r="C9" s="164" t="n">
        <x:v>24.37</x:v>
      </x:c>
      <x:c r="D9" s="105" t="str">
        <x:v>RMB/股</x:v>
      </x:c>
      <x:c r="E9" s="105" t="str">
        <x:v>2026-09-01</x:v>
      </x:c>
      <x:c r="F9" s="105" t="str">
        <x:v>Investing历史行情</x:v>
      </x:c>
      <x:c r="G9" s="105" t="str">
        <x:v>https://cn.investing.com/equities/ningxia-baofeng-energy-group-historical-data</x:v>
      </x:c>
      <x:c r="H9" s="105" t="str">
        <x:v>二级市场价格</x:v>
      </x:c>
    </x:row>
    <x:row r="10" ht="44" customHeight="1">
      <x:c r="A10" s="14" t="str">
        <x:v>A1</x:v>
      </x:c>
      <x:c r="B10" s="105" t="str">
        <x:v>Bear/Base/Bull扣非利润</x:v>
      </x:c>
      <x:c r="C10" s="164"/>
      <x:c r="D10" s="105" t="str">
        <x:v>16.0/18.5/21.0bn</x:v>
      </x:c>
      <x:c r="E10" s="105" t="str">
        <x:v>2026E</x:v>
      </x:c>
      <x:c r="F10" s="105" t="str">
        <x:v>分析假设</x:v>
      </x:c>
      <x:c r="G10" s="105" t="str"/>
      <x:c r="H10" s="105" t="str">
        <x:v>不是公司指引或一致预期</x:v>
      </x:c>
    </x:row>
    <x:row r="11" ht="44" customHeight="1">
      <x:c r="A11" s="14" t="str">
        <x:v>A2</x:v>
      </x:c>
      <x:c r="B11" s="105" t="str">
        <x:v>Bear/Base/Bull P/E</x:v>
      </x:c>
      <x:c r="C11" s="164"/>
      <x:c r="D11" s="105" t="str">
        <x:v>9x/12x/15x</x:v>
      </x:c>
      <x:c r="E11" s="105" t="str">
        <x:v>2026E</x:v>
      </x:c>
      <x:c r="F11" s="105" t="str">
        <x:v>分析假设</x:v>
      </x:c>
      <x:c r="G11" s="105" t="str"/>
      <x:c r="H11" s="105" t="str">
        <x:v>周期与成本龙头区间</x:v>
      </x:c>
    </x:row>
    <x:row r="12" ht="44" customHeight="1">
      <x:c r="A12" s="14" t="str">
        <x:v>A3</x:v>
      </x:c>
      <x:c r="B12" s="105" t="str">
        <x:v>Bear/Base/Bull EBITDA</x:v>
      </x:c>
      <x:c r="C12" s="164"/>
      <x:c r="D12" s="105" t="str">
        <x:v>25/28/31bn</x:v>
      </x:c>
      <x:c r="E12" s="105" t="str">
        <x:v>2026E</x:v>
      </x:c>
      <x:c r="F12" s="105" t="str">
        <x:v>分析假设</x:v>
      </x:c>
      <x:c r="G12" s="105" t="str"/>
      <x:c r="H12" s="105" t="str">
        <x:v>不直接年化H1</x:v>
      </x:c>
    </x:row>
    <x:row r="13" ht="44" customHeight="1">
      <x:c r="A13" s="14" t="str">
        <x:v>A4</x:v>
      </x:c>
      <x:c r="B13" s="105" t="str">
        <x:v>Bear/Base/Bull EV/EBITDA</x:v>
      </x:c>
      <x:c r="C13" s="164"/>
      <x:c r="D13" s="105" t="str">
        <x:v>6.5x/8x/9.5x</x:v>
      </x:c>
      <x:c r="E13" s="105" t="str">
        <x:v>2026E</x:v>
      </x:c>
      <x:c r="F13" s="105" t="str">
        <x:v>分析假设</x:v>
      </x:c>
      <x:c r="G13" s="105" t="str"/>
      <x:c r="H13" s="105" t="str">
        <x:v>含资本强度</x:v>
      </x:c>
    </x:row>
    <x:row r="14" ht="44" customHeight="1">
      <x:c r="A14" s="14" t="str">
        <x:v>C1</x:v>
      </x:c>
      <x:c r="B14" s="105" t="str">
        <x:v>Q2数据</x:v>
      </x:c>
      <x:c r="C14" s="164"/>
      <x:c r="D14" s="105"/>
      <x:c r="E14" s="105" t="str">
        <x:v>2026Q2</x:v>
      </x:c>
      <x:c r="F14" s="105" t="str">
        <x:v>研究计算</x:v>
      </x:c>
      <x:c r="G14" s="105" t="str"/>
      <x:c r="H14" s="105" t="str">
        <x:v>2026H1减2026Q1</x:v>
      </x:c>
    </x:row>
    <x:row r="15" ht="44" customHeight="1">
      <x:c r="A15" s="14" t="str">
        <x:v>C2</x:v>
      </x:c>
      <x:c r="B15" s="105" t="str">
        <x:v>广义净债务</x:v>
      </x:c>
      <x:c r="C15" s="164" t="n">
        <x:v>25.716657</x:v>
      </x:c>
      <x:c r="D15" s="105" t="str">
        <x:v>RMB bn</x:v>
      </x:c>
      <x:c r="E15" s="105" t="str">
        <x:v>2026-06-30</x:v>
      </x:c>
      <x:c r="F15" s="105" t="str">
        <x:v>研究计算</x:v>
      </x:c>
      <x:c r="G15" s="105" t="str"/>
      <x:c r="H15" s="105" t="str">
        <x:v>借款+租赁+长期应付款-现金</x:v>
      </x:c>
    </x:row>
    <x:row r="16" ht="44" customHeight="1">
      <x:c r="A16" s="14" t="str">
        <x:v>C3</x:v>
      </x:c>
      <x:c r="B16" s="105" t="str">
        <x:v>经济股数</x:v>
      </x:c>
      <x:c r="C16" s="164" t="n">
        <x:v>7.2727628</x:v>
      </x:c>
      <x:c r="D16" s="105" t="str">
        <x:v>bn shares</x:v>
      </x:c>
      <x:c r="E16" s="105" t="str">
        <x:v>2026-06-30</x:v>
      </x:c>
      <x:c r="F16" s="105" t="str">
        <x:v>研究计算</x:v>
      </x:c>
      <x:c r="G16" s="105" t="str"/>
      <x:c r="H16" s="105" t="str">
        <x:v>总股本减回购专户</x:v>
      </x:c>
    </x:row>
    <x:row r="17" ht="44" customHeight="1">
      <x:c r="A17" s="14" t="str">
        <x:v>C4</x:v>
      </x:c>
      <x:c r="B17" s="105" t="str">
        <x:v>简化自由现金流</x:v>
      </x:c>
      <x:c r="C17" s="164" t="n">
        <x:v>7.361349</x:v>
      </x:c>
      <x:c r="D17" s="105" t="str">
        <x:v>RMB bn</x:v>
      </x:c>
      <x:c r="E17" s="105" t="str">
        <x:v>2026H1</x:v>
      </x:c>
      <x:c r="F17" s="105" t="str">
        <x:v>研究计算</x:v>
      </x:c>
      <x:c r="G17" s="105" t="str"/>
      <x:c r="H17" s="105" t="str">
        <x:v>CFO-购建长期资产现金</x:v>
      </x:c>
    </x:row>
    <x:row r="18" ht="44" customHeight="1">
      <x:c r="A18" s="16" t="str">
        <x:v>C5</x:v>
      </x:c>
      <x:c r="B18" s="106" t="str">
        <x:v>2026H1核心EBITDA近似</x:v>
      </x:c>
      <x:c r="C18" s="165" t="n">
        <x:v>12.788397</x:v>
      </x:c>
      <x:c r="D18" s="106" t="str">
        <x:v>RMB bn</x:v>
      </x:c>
      <x:c r="E18" s="106" t="str">
        <x:v>2026H1</x:v>
      </x:c>
      <x:c r="F18" s="106" t="str">
        <x:v>研究计算</x:v>
      </x:c>
      <x:c r="G18" s="106" t="str"/>
      <x:c r="H18" s="106" t="str">
        <x:v>营业利润+折旧摊销-公允价值收益</x:v>
      </x:c>
    </x:row>
  </x:sheetData>
  <x:mergeCells>
    <x:mergeCell ref="A1:H1"/>
  </x:mergeCells>
  <x:pageMargins left="0.7" right="0.7" top="0.75" bottom="0.75" header="0.3" footer="0.3"/>
</x:worksheet>
</file>
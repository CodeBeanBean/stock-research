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44a97228f241b1" /></Relationships>
</file>

<file path=xl/workbook.xml><?xml version="1.0" encoding="utf-8"?>
<x:workbook xmlns:x="http://schemas.openxmlformats.org/spreadsheetml/2006/main">
  <x:sheets>
    <x:sheet xmlns:r="http://schemas.openxmlformats.org/officeDocument/2006/relationships" name="Cover" sheetId="1" r:id="R57d5edcd93a042dc"/>
    <x:sheet xmlns:r="http://schemas.openxmlformats.org/officeDocument/2006/relationships" name="Historical" sheetId="2" r:id="R1672525c47d8497c"/>
    <x:sheet xmlns:r="http://schemas.openxmlformats.org/officeDocument/2006/relationships" name="Operations" sheetId="3" r:id="R28c83237d5df4f16"/>
    <x:sheet xmlns:r="http://schemas.openxmlformats.org/officeDocument/2006/relationships" name="Balance &amp; Cash" sheetId="4" r:id="Rc1c82b867b9a4708"/>
    <x:sheet xmlns:r="http://schemas.openxmlformats.org/officeDocument/2006/relationships" name="Assumptions" sheetId="5" r:id="R8136cbb0991748c4"/>
    <x:sheet xmlns:r="http://schemas.openxmlformats.org/officeDocument/2006/relationships" name="Forecast" sheetId="6" r:id="Ra63532c860e0479f"/>
    <x:sheet xmlns:r="http://schemas.openxmlformats.org/officeDocument/2006/relationships" name="Valuation" sheetId="7" r:id="R700d19ffc7cc482f"/>
    <x:sheet xmlns:r="http://schemas.openxmlformats.org/officeDocument/2006/relationships" name="Checks" sheetId="8" r:id="R407707fda73d42c0"/>
    <x:sheet xmlns:r="http://schemas.openxmlformats.org/officeDocument/2006/relationships" name="Sources Audit" sheetId="9" r:id="R11af3c93413a4a63"/>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quot;HKD &quot;0.00"/>
    <x:numFmt numFmtId="201" formatCode="0.000&quot; bn&quot;"/>
    <x:numFmt numFmtId="202" formatCode="0.00&quot; bn&quot;"/>
    <x:numFmt numFmtId="203" formatCode="0.0%"/>
    <x:numFmt numFmtId="204" formatCode="0.000"/>
    <x:numFmt numFmtId="205" formatCode="0.00x"/>
    <x:numFmt numFmtId="206" formatCode="0.0x"/>
    <x:numFmt numFmtId="207" formatCode="&quot;RMB &quot;0.00"/>
    <x:numFmt numFmtId="208" formatCode="&quot;HKD &quot;0.000"/>
    <x:numFmt numFmtId="209" formatCode="0.0000"/>
  </x:numFmts>
  <x:fonts count="8">
    <x:font>
      <x:sz val="11"/>
      <x:name val="Carlito"/>
    </x:font>
    <x:font>
      <x:b/>
      <x:sz val="15"/>
      <x:color rgb="FF17365D"/>
      <x:name val="Carlito"/>
    </x:font>
    <x:font>
      <x:i/>
      <x:sz val="11"/>
      <x:color rgb="FF666666"/>
      <x:name val="Carlito"/>
    </x:font>
    <x:font>
      <x:b/>
      <x:sz val="11"/>
      <x:color rgb="FFFFFFFF"/>
      <x:name val="Carlito"/>
    </x:font>
    <x:font>
      <x:b/>
      <x:sz val="11"/>
      <x:color rgb="FF008000"/>
      <x:name val="Carlito"/>
    </x:font>
    <x:font>
      <x:b/>
      <x:sz val="11"/>
      <x:name val="Carlito"/>
    </x:font>
    <x:font>
      <x:sz val="11"/>
      <x:color rgb="FF0000FF"/>
      <x:name val="Carlito"/>
    </x:font>
    <x:font>
      <x:sz val="11"/>
      <x:color rgb="FF0563C1"/>
      <x:name val="Carlito"/>
    </x:font>
  </x:fonts>
  <x:fills count="7">
    <x:fill>
      <x:patternFill patternType="none"/>
    </x:fill>
    <x:fill>
      <x:patternFill patternType="gray125"/>
    </x:fill>
    <x:fill>
      <x:patternFill patternType="solid">
        <x:fgColor rgb="FF1F4E78"/>
      </x:patternFill>
    </x:fill>
    <x:fill>
      <x:patternFill patternType="solid">
        <x:fgColor rgb="FFEEF5FB"/>
      </x:patternFill>
    </x:fill>
    <x:fill>
      <x:patternFill patternType="solid">
        <x:fgColor rgb="FFE2F0D9"/>
      </x:patternFill>
    </x:fill>
    <x:fill>
      <x:patternFill patternType="solid">
        <x:fgColor rgb="FFFCE4D6"/>
      </x:patternFill>
    </x:fill>
    <x:fill>
      <x:patternFill patternType="solid">
        <x:fgColor rgb="FFD9EAF7"/>
      </x:patternFill>
    </x:fill>
  </x:fills>
  <x:borders count="9">
    <x:border/>
    <x:border>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D9E2F3"/>
      </x:bottom>
    </x:border>
    <x:border>
      <x:top style="thin">
        <x:color rgb="FFD9E2F3"/>
      </x:top>
      <x:bottom style="thin">
        <x:color rgb="FFD9E2F3"/>
      </x:bottom>
    </x:border>
    <x:border>
      <x:top style="thin">
        <x:color rgb="FFD9E2F3"/>
      </x:top>
    </x:border>
    <x:border>
      <x:bottom style="thin">
        <x:color rgb="FF9FBAD0"/>
      </x:bottom>
    </x:border>
  </x:borders>
  <x:cellStyleXfs count="1">
    <x:xf numFmtId="0" fontId="0" fillId="0" borderId="0"/>
  </x:cellStyleXfs>
  <x:cellXfs count="115">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4" fillId="0" borderId="7" xfId="0" applyNumberFormat="1" applyFont="1" applyFill="1" applyBorder="1" applyAlignment="1">
      <x:alignment vertical="center"/>
    </x:xf>
    <x:xf numFmtId="200" fontId="4" fillId="0" borderId="5" xfId="0" applyNumberFormat="1" applyFont="1" applyFill="1" applyBorder="1" applyAlignment="1">
      <x:alignment vertical="center"/>
    </x:xf>
    <x:xf numFmtId="201" fontId="4" fillId="0" borderId="6" xfId="0" applyNumberFormat="1" applyFont="1" applyFill="1" applyBorder="1" applyAlignment="1">
      <x:alignment vertical="center"/>
    </x:xf>
    <x:xf numFmtId="202" fontId="4" fillId="0" borderId="6" xfId="0" applyNumberFormat="1" applyFont="1" applyFill="1" applyBorder="1" applyAlignment="1">
      <x:alignment vertical="center"/>
    </x:xf>
    <x:xf numFmtId="200" fontId="4" fillId="0" borderId="6" xfId="0" applyNumberFormat="1" applyFont="1" applyFill="1" applyBorder="1" applyAlignment="1">
      <x:alignment vertical="center"/>
    </x:xf>
    <x:xf numFmtId="203" fontId="4" fillId="0" borderId="7" xfId="0" applyNumberFormat="1" applyFont="1" applyFill="1" applyBorder="1" applyAlignment="1">
      <x:alignment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202" fontId="0" fillId="0" borderId="5" xfId="0" applyNumberFormat="1" applyFont="1" applyFill="1" applyBorder="1" applyAlignment="1">
      <x:alignment vertical="center"/>
    </x:xf>
    <x:xf numFmtId="202" fontId="0" fillId="0" borderId="6" xfId="0" applyNumberFormat="1" applyFont="1" applyFill="1" applyBorder="1" applyAlignment="1">
      <x:alignment vertical="center"/>
    </x:xf>
    <x:xf numFmtId="202" fontId="0" fillId="0" borderId="7" xfId="0" applyNumberFormat="1" applyFont="1" applyFill="1" applyBorder="1" applyAlignment="1">
      <x:alignment vertical="center"/>
    </x:xf>
    <x:xf numFmtId="203" fontId="0" fillId="0" borderId="6" xfId="0" applyNumberFormat="1" applyFont="1" applyFill="1" applyBorder="1" applyAlignment="1">
      <x:alignment vertical="center"/>
    </x:xf>
    <x:xf numFmtId="203" fontId="0" fillId="0" borderId="5" xfId="0" applyNumberFormat="1" applyFont="1" applyFill="1" applyBorder="1" applyAlignment="1">
      <x:alignment vertical="center"/>
    </x:xf>
    <x:xf numFmtId="203" fontId="0" fillId="0" borderId="7" xfId="0" applyNumberFormat="1" applyFont="1" applyFill="1" applyBorder="1" applyAlignment="1">
      <x:alignment vertical="center"/>
    </x:xf>
    <x:xf numFmtId="204" fontId="0" fillId="0" borderId="0" xfId="0" applyNumberFormat="1" applyFont="1" applyFill="1" applyBorder="1"/>
    <x:xf numFmtId="203" fontId="0" fillId="0" borderId="0" xfId="0" applyNumberFormat="1" applyFont="1" applyFill="1" applyBorder="1"/>
    <x:xf numFmtId="204" fontId="0" fillId="0" borderId="5" xfId="0" applyNumberFormat="1" applyFont="1" applyFill="1" applyBorder="1"/>
    <x:xf numFmtId="204" fontId="0" fillId="0" borderId="6" xfId="0" applyNumberFormat="1" applyFont="1" applyFill="1" applyBorder="1"/>
    <x:xf numFmtId="203" fontId="0" fillId="0" borderId="6" xfId="0" applyNumberFormat="1" applyFont="1" applyFill="1" applyBorder="1"/>
    <x:xf numFmtId="204" fontId="0" fillId="0" borderId="7" xfId="0" applyNumberFormat="1" applyFont="1" applyFill="1" applyBorder="1"/>
    <x:xf numFmtId="204" fontId="0" fillId="0" borderId="5" xfId="0" applyNumberFormat="1" applyFont="1" applyFill="1" applyBorder="1" applyAlignment="1">
      <x:alignment vertical="center"/>
    </x:xf>
    <x:xf numFmtId="204" fontId="0" fillId="0" borderId="6" xfId="0" applyNumberFormat="1" applyFont="1" applyFill="1" applyBorder="1" applyAlignment="1">
      <x:alignment vertical="center"/>
    </x:xf>
    <x:xf numFmtId="204" fontId="0" fillId="0" borderId="7" xfId="0" applyNumberFormat="1" applyFont="1" applyFill="1" applyBorder="1" applyAlignment="1">
      <x:alignment vertical="center"/>
    </x:xf>
    <x:xf numFmtId="205" fontId="0" fillId="0" borderId="6" xfId="0" applyNumberFormat="1" applyFont="1" applyFill="1" applyBorder="1" applyAlignment="1">
      <x:alignment vertical="center"/>
    </x:xf>
    <x:xf numFmtId="0" fontId="0" fillId="4" borderId="6" xfId="0" applyNumberFormat="1" applyFont="1" applyFill="1" applyBorder="1" applyAlignment="1">
      <x:alignment vertical="center"/>
    </x:xf>
    <x:xf numFmtId="202" fontId="0" fillId="4" borderId="6" xfId="0" applyNumberFormat="1" applyFont="1" applyFill="1" applyBorder="1" applyAlignment="1">
      <x:alignment vertical="center"/>
    </x:xf>
    <x:xf numFmtId="203" fontId="0" fillId="4" borderId="6" xfId="0" applyNumberFormat="1" applyFont="1" applyFill="1" applyBorder="1" applyAlignment="1">
      <x:alignment vertical="center"/>
    </x:xf>
    <x:xf numFmtId="0" fontId="0" fillId="5" borderId="6" xfId="0" applyNumberFormat="1" applyFont="1" applyFill="1" applyBorder="1" applyAlignment="1">
      <x:alignment vertical="center"/>
    </x:xf>
    <x:xf numFmtId="202" fontId="0" fillId="5" borderId="6" xfId="0" applyNumberFormat="1" applyFont="1" applyFill="1" applyBorder="1" applyAlignment="1">
      <x:alignment vertical="center"/>
    </x:xf>
    <x:xf numFmtId="203" fontId="0" fillId="5" borderId="6"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8" xfId="0" applyNumberFormat="1" applyFont="1" applyFill="1" applyBorder="1"/>
    <x:xf numFmtId="0" fontId="5" fillId="6" borderId="8" xfId="0" applyNumberFormat="1" applyFont="1" applyFill="1" applyBorder="1" applyAlignment="1">
      <x:alignment horizontal="center"/>
    </x:xf>
    <x:xf numFmtId="0" fontId="6" fillId="0" borderId="0" xfId="0" applyNumberFormat="1" applyFont="1" applyFill="1" applyBorder="1"/>
    <x:xf numFmtId="203" fontId="6" fillId="0" borderId="0" xfId="0" applyNumberFormat="1" applyFont="1" applyFill="1" applyBorder="1"/>
    <x:xf numFmtId="203" fontId="6" fillId="0" borderId="5" xfId="0" applyNumberFormat="1" applyFont="1" applyFill="1" applyBorder="1"/>
    <x:xf numFmtId="203" fontId="6" fillId="0" borderId="7" xfId="0" applyNumberFormat="1" applyFont="1" applyFill="1" applyBorder="1"/>
    <x:xf numFmtId="203" fontId="6" fillId="0" borderId="5" xfId="0" applyNumberFormat="1" applyFont="1" applyFill="1" applyBorder="1" applyAlignment="1">
      <x:alignment vertical="center"/>
    </x:xf>
    <x:xf numFmtId="203" fontId="6" fillId="0" borderId="7" xfId="0" applyNumberFormat="1" applyFont="1" applyFill="1" applyBorder="1" applyAlignment="1">
      <x:alignment vertical="center"/>
    </x:xf>
    <x:xf numFmtId="206" fontId="6" fillId="0" borderId="0" xfId="0" applyNumberFormat="1" applyFont="1" applyFill="1" applyBorder="1"/>
    <x:xf numFmtId="206" fontId="6" fillId="0" borderId="5" xfId="0" applyNumberFormat="1" applyFont="1" applyFill="1" applyBorder="1"/>
    <x:xf numFmtId="203" fontId="6" fillId="0" borderId="6" xfId="0" applyNumberFormat="1" applyFont="1" applyFill="1" applyBorder="1"/>
    <x:xf numFmtId="206" fontId="6" fillId="0" borderId="5" xfId="0" applyNumberFormat="1" applyFont="1" applyFill="1" applyBorder="1" applyAlignment="1">
      <x:alignment vertical="center"/>
    </x:xf>
    <x:xf numFmtId="203" fontId="6" fillId="0" borderId="6" xfId="0" applyNumberFormat="1" applyFont="1" applyFill="1" applyBorder="1" applyAlignment="1">
      <x:alignment vertical="center"/>
    </x:xf>
    <x:xf numFmtId="202" fontId="0" fillId="0" borderId="0" xfId="0" applyNumberFormat="1" applyFont="1" applyFill="1" applyBorder="1"/>
    <x:xf numFmtId="207" fontId="0" fillId="0" borderId="0" xfId="0" applyNumberFormat="1" applyFont="1" applyFill="1" applyBorder="1"/>
    <x:xf numFmtId="202" fontId="0" fillId="0" borderId="5" xfId="0" applyNumberFormat="1" applyFont="1" applyFill="1" applyBorder="1"/>
    <x:xf numFmtId="202" fontId="0" fillId="0" borderId="6" xfId="0" applyNumberFormat="1" applyFont="1" applyFill="1" applyBorder="1"/>
    <x:xf numFmtId="207" fontId="0" fillId="0" borderId="7" xfId="0" applyNumberFormat="1" applyFont="1" applyFill="1" applyBorder="1"/>
    <x:xf numFmtId="207" fontId="0" fillId="0" borderId="7" xfId="0" applyNumberFormat="1" applyFont="1" applyFill="1" applyBorder="1" applyAlignment="1">
      <x:alignment vertical="center"/>
    </x:xf>
    <x:xf numFmtId="208" fontId="0" fillId="0" borderId="6" xfId="0" applyNumberFormat="1" applyFont="1" applyFill="1" applyBorder="1" applyAlignment="1">
      <x:alignment vertical="center"/>
    </x:xf>
    <x:xf numFmtId="201" fontId="0" fillId="0" borderId="6" xfId="0" applyNumberFormat="1" applyFont="1" applyFill="1" applyBorder="1" applyAlignment="1">
      <x:alignment vertical="center"/>
    </x:xf>
    <x:xf numFmtId="209" fontId="0" fillId="0" borderId="7" xfId="0" applyNumberFormat="1" applyFont="1" applyFill="1" applyBorder="1" applyAlignment="1">
      <x:alignment vertical="center"/>
    </x:xf>
    <x:xf numFmtId="206" fontId="0" fillId="0"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207" fontId="0" fillId="4" borderId="0" xfId="0" applyNumberFormat="1" applyFont="1" applyFill="1" applyBorder="1"/>
    <x:xf numFmtId="206" fontId="0" fillId="4" borderId="0" xfId="0" applyNumberFormat="1" applyFont="1" applyFill="1" applyBorder="1"/>
    <x:xf numFmtId="200" fontId="0" fillId="4" borderId="0" xfId="0" applyNumberFormat="1" applyFont="1" applyFill="1" applyBorder="1"/>
    <x:xf numFmtId="203" fontId="0" fillId="4" borderId="0" xfId="0" applyNumberFormat="1" applyFont="1" applyFill="1" applyBorder="1"/>
    <x:xf numFmtId="207" fontId="0" fillId="0" borderId="5" xfId="0" applyNumberFormat="1" applyFont="1" applyFill="1" applyBorder="1"/>
    <x:xf numFmtId="206" fontId="0" fillId="0" borderId="5" xfId="0" applyNumberFormat="1" applyFont="1" applyFill="1" applyBorder="1"/>
    <x:xf numFmtId="200" fontId="0" fillId="0" borderId="5" xfId="0" applyNumberFormat="1" applyFont="1" applyFill="1" applyBorder="1"/>
    <x:xf numFmtId="203" fontId="0" fillId="0" borderId="5" xfId="0" applyNumberFormat="1" applyFont="1" applyFill="1" applyBorder="1"/>
    <x:xf numFmtId="0" fontId="0" fillId="4" borderId="6" xfId="0" applyNumberFormat="1" applyFont="1" applyFill="1" applyBorder="1"/>
    <x:xf numFmtId="207" fontId="0" fillId="4" borderId="6" xfId="0" applyNumberFormat="1" applyFont="1" applyFill="1" applyBorder="1"/>
    <x:xf numFmtId="206" fontId="0" fillId="4" borderId="6" xfId="0" applyNumberFormat="1" applyFont="1" applyFill="1" applyBorder="1"/>
    <x:xf numFmtId="200" fontId="0" fillId="4" borderId="6" xfId="0" applyNumberFormat="1" applyFont="1" applyFill="1" applyBorder="1"/>
    <x:xf numFmtId="203" fontId="0" fillId="4" borderId="6" xfId="0" applyNumberFormat="1" applyFont="1" applyFill="1" applyBorder="1"/>
    <x:xf numFmtId="206" fontId="0" fillId="0" borderId="7" xfId="0" applyNumberFormat="1" applyFont="1" applyFill="1" applyBorder="1"/>
    <x:xf numFmtId="200" fontId="0" fillId="0" borderId="7" xfId="0" applyNumberFormat="1" applyFont="1" applyFill="1" applyBorder="1"/>
    <x:xf numFmtId="203" fontId="0" fillId="0" borderId="7" xfId="0" applyNumberFormat="1" applyFont="1" applyFill="1" applyBorder="1"/>
    <x:xf numFmtId="207" fontId="0" fillId="0" borderId="5" xfId="0" applyNumberFormat="1" applyFont="1" applyFill="1" applyBorder="1" applyAlignment="1">
      <x:alignment vertical="center"/>
    </x:xf>
    <x:xf numFmtId="206" fontId="0" fillId="0" borderId="5" xfId="0" applyNumberFormat="1" applyFont="1" applyFill="1" applyBorder="1" applyAlignment="1">
      <x:alignment vertical="center"/>
    </x:xf>
    <x:xf numFmtId="200" fontId="0" fillId="0" borderId="5" xfId="0" applyNumberFormat="1" applyFont="1" applyFill="1" applyBorder="1" applyAlignment="1">
      <x:alignment vertical="center"/>
    </x:xf>
    <x:xf numFmtId="207" fontId="0" fillId="4" borderId="6" xfId="0" applyNumberFormat="1" applyFont="1" applyFill="1" applyBorder="1" applyAlignment="1">
      <x:alignment vertical="center"/>
    </x:xf>
    <x:xf numFmtId="206" fontId="0" fillId="4" borderId="6" xfId="0" applyNumberFormat="1" applyFont="1" applyFill="1" applyBorder="1" applyAlignment="1">
      <x:alignment vertical="center"/>
    </x:xf>
    <x:xf numFmtId="200" fontId="0" fillId="4" borderId="6" xfId="0" applyNumberFormat="1" applyFont="1" applyFill="1" applyBorder="1" applyAlignment="1">
      <x:alignment vertical="center"/>
    </x:xf>
    <x:xf numFmtId="206" fontId="0" fillId="0" borderId="7" xfId="0" applyNumberFormat="1" applyFont="1" applyFill="1" applyBorder="1" applyAlignment="1">
      <x:alignment vertical="center"/>
    </x:xf>
    <x:xf numFmtId="200" fontId="0" fillId="0" borderId="7" xfId="0" applyNumberFormat="1" applyFont="1" applyFill="1" applyBorder="1" applyAlignment="1">
      <x:alignment vertical="center"/>
    </x:xf>
    <x:xf numFmtId="0" fontId="7" fillId="0" borderId="0" xfId="0" applyNumberFormat="1" applyFont="1" applyFill="1" applyBorder="1"/>
    <x:xf numFmtId="0" fontId="0"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7"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7"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center" wrapText="1"/>
    </x:xf>
    <x:xf numFmtId="0" fontId="7"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7"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cellXfs>
  <x:cellStyles count="1">
    <x:cellStyle name="Normal" xfId="0"/>
  </x:cellStyles>
  <x:dxfs count="2">
    <x:dxf>
      <x:font>
        <x:color rgb="FF006100"/>
      </x:font>
      <x:fill>
        <x:patternFill patternType="solid">
          <x:bgColor rgb="FFC6EFCE"/>
        </x:patternFill>
      </x:fill>
    </x:dxf>
    <x:dxf>
      <x:font>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6e44f269884e50" /><Relationship Type="http://schemas.openxmlformats.org/officeDocument/2006/relationships/theme" Target="/xl/theme/theme1.xml" Id="Rce20c028addd45ff" /><Relationship Type="http://schemas.openxmlformats.org/officeDocument/2006/relationships/sharedStrings" Target="/xl/sharedStrings.xml" Id="R4d2cf605cdbf4ff2" /><Relationship Type="http://schemas.openxmlformats.org/officeDocument/2006/relationships/worksheet" Target="/xl/worksheets/sheet1.xml" Id="R57d5edcd93a042dc" /><Relationship Type="http://schemas.openxmlformats.org/officeDocument/2006/relationships/worksheet" Target="/xl/worksheets/sheet2.xml" Id="R1672525c47d8497c" /><Relationship Type="http://schemas.openxmlformats.org/officeDocument/2006/relationships/worksheet" Target="/xl/worksheets/sheet3.xml" Id="R28c83237d5df4f16" /><Relationship Type="http://schemas.openxmlformats.org/officeDocument/2006/relationships/worksheet" Target="/xl/worksheets/sheet4.xml" Id="Rc1c82b867b9a4708" /><Relationship Type="http://schemas.openxmlformats.org/officeDocument/2006/relationships/worksheet" Target="/xl/worksheets/sheet5.xml" Id="R8136cbb0991748c4" /><Relationship Type="http://schemas.openxmlformats.org/officeDocument/2006/relationships/worksheet" Target="/xl/worksheets/sheet6.xml" Id="Ra63532c860e0479f" /><Relationship Type="http://schemas.openxmlformats.org/officeDocument/2006/relationships/worksheet" Target="/xl/worksheets/sheet7.xml" Id="R700d19ffc7cc482f" /><Relationship Type="http://schemas.openxmlformats.org/officeDocument/2006/relationships/worksheet" Target="/xl/worksheets/sheet8.xml" Id="R407707fda73d42c0" /><Relationship Type="http://schemas.openxmlformats.org/officeDocument/2006/relationships/worksheet" Target="/xl/worksheets/sheet9.xml" Id="R11af3c93413a4a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c35bedecb2b44a1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情景价值与当前价格（HKD/股）</a:t>
            </a:r>
          </a:p>
        </c:rich>
      </c:tx>
      <c:overlay val="0"/>
    </c:title>
    <c:plotArea>
      <c:barChart>
        <c:barDir val="col"/>
        <c:varyColors val="0"/>
        <c:ser>
          <c:idx val="0"/>
          <c:order val="0"/>
          <c:tx>
            <c:v>情景价值</c:v>
          </c:tx>
          <c:spPr>
            <a:solidFill xmlns:a="http://schemas.openxmlformats.org/drawingml/2006/main">
              <a:srgbClr val="17365D"/>
            </a:solidFill>
          </c:spPr>
          <c:cat>
            <c:strRef>
              <c:f>'Valuation'!$C$9:$C$11</c:f>
              <c:strCache>
                <c:ptCount val="0"/>
              </c:strCache>
            </c:strRef>
          </c:cat>
          <c:val>
            <c:numRef>
              <c:f>'Valuation'!$H$9:$H$11</c:f>
              <c:numCache>
                <c:formatCode>"HKD "0</c:formatCode>
                <c:ptCount val="0"/>
              </c:numCache>
            </c:numRef>
          </c:val>
        </c:ser>
        <c:ser>
          <c:idx val="1"/>
          <c:order val="1"/>
          <c:tx>
            <c:v>当前价格</c:v>
          </c:tx>
          <c:spPr>
            <a:solidFill xmlns:a="http://schemas.openxmlformats.org/drawingml/2006/main">
              <a:srgbClr val="C9A227"/>
            </a:solidFill>
          </c:spPr>
          <c:cat>
            <c:strRef>
              <c:f>'Valuation'!$C$9:$C$11</c:f>
              <c:strCache>
                <c:ptCount val="0"/>
              </c:strCache>
            </c:strRef>
          </c:cat>
          <c:val>
            <c:numRef>
              <c:f>'Cover'!$L$3:$L$5</c:f>
              <c:numCache>
                <c:formatCode>"HKD "0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HKD &quot;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5</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5bedecb2b44a1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178fa037dc04a42" /></Relationships>
</file>

<file path=xl/worksheets/sheet1.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7" hidden="0" customWidth="1"/>
    <x:col min="4" max="4" width="16" hidden="0" customWidth="1"/>
    <x:col min="5" max="5" width="16" hidden="0" customWidth="1"/>
    <x:col min="6" max="6" width="36" hidden="0" customWidth="1"/>
    <x:col min="7" max="7" width="13" hidden="0" customWidth="1"/>
    <x:col min="8" max="8" width="13" hidden="0" customWidth="1"/>
    <x:col min="9" max="9" width="13" hidden="0" customWidth="1"/>
    <x:col min="10" max="10" width="13" hidden="0" customWidth="1"/>
  </x:cols>
  <x:sheetData>
    <x:row r="2">
      <x:c r="C2" s="2" t="str">
        <x:v>中海物业（02669.HK）基本面与估值模型</x:v>
      </x:c>
      <x:c r="D2" s="2"/>
      <x:c r="E2" s="2"/>
      <x:c r="F2" s="2"/>
      <x:c r="G2" s="2"/>
      <x:c r="H2" s="2"/>
      <x:c r="I2" s="2"/>
      <x:c r="J2" s="2"/>
      <x:c r="L2" t="str">
        <x:v>当前价</x:v>
      </x:c>
    </x:row>
    <x:row r="3">
      <x:c r="C3" s="3" t="str">
        <x:v>HKFRS；财务单位人民币十亿元，估值单位港元/股；资料截止2026-09-06</x:v>
      </x:c>
      <x:c r="D3" s="3"/>
      <x:c r="E3" s="3"/>
      <x:c r="F3" s="3"/>
      <x:c r="G3" s="3"/>
      <x:c r="H3" s="3"/>
      <x:c r="I3" s="3"/>
      <x:c r="J3" s="3"/>
      <x:c r="L3" t="n">
        <x:v>3.575</x:v>
      </x:c>
    </x:row>
    <x:row r="4">
      <x:c r="L4" t="n">
        <x:v>3.575</x:v>
      </x:c>
    </x:row>
    <x:row r="5">
      <x:c r="L5" t="n">
        <x:v>3.575</x:v>
      </x:c>
    </x:row>
    <x:row r="6">
      <x:c r="C6" s="9" t="str">
        <x:v>关键指标</x:v>
      </x:c>
      <x:c r="D6" s="10" t="str">
        <x:v>数值</x:v>
      </x:c>
      <x:c r="E6" s="10" t="str">
        <x:v>单位</x:v>
      </x:c>
      <x:c r="F6" s="11" t="str">
        <x:v>说明</x:v>
      </x:c>
    </x:row>
    <x:row r="7">
      <x:c r="C7" s="15" t="str">
        <x:v>价格</x:v>
      </x:c>
      <x:c r="D7" s="21" t="n">
        <x:f>'Valuation'!D5</x:f>
        <x:v>3.575</x:v>
      </x:c>
      <x:c r="E7" s="15" t="str">
        <x:v>HKD/股</x:v>
      </x:c>
      <x:c r="F7" s="15" t="str">
        <x:v>2026-09-04收盘</x:v>
      </x:c>
    </x:row>
    <x:row r="8">
      <x:c r="C8" s="16" t="str">
        <x:v>总股数</x:v>
      </x:c>
      <x:c r="D8" s="22" t="n">
        <x:f>'Valuation'!D6</x:f>
        <x:v>3.28546</x:v>
      </x:c>
      <x:c r="E8" s="16" t="str">
        <x:v>十亿股</x:v>
      </x:c>
      <x:c r="F8" s="16" t="str">
        <x:v>期末/稀释口径</x:v>
      </x:c>
    </x:row>
    <x:row r="9">
      <x:c r="C9" s="16" t="str">
        <x:v>参考市值</x:v>
      </x:c>
      <x:c r="D9" s="23" t="n">
        <x:f>'Valuation'!D5*'Valuation'!D6</x:f>
        <x:v>11.7455195</x:v>
      </x:c>
      <x:c r="E9" s="16" t="str">
        <x:v>HKD bn</x:v>
      </x:c>
      <x:c r="F9" s="16" t="str">
        <x:v>价格×股数</x:v>
      </x:c>
    </x:row>
    <x:row r="10">
      <x:c r="C10" s="16" t="str">
        <x:v>2026H1收入</x:v>
      </x:c>
      <x:c r="D10" s="23" t="n">
        <x:f>'Historical'!H7</x:f>
        <x:v>7.484778</x:v>
      </x:c>
      <x:c r="E10" s="16" t="str">
        <x:v>RMB bn</x:v>
      </x:c>
      <x:c r="F10" s="16" t="str">
        <x:v>未经审计</x:v>
      </x:c>
    </x:row>
    <x:row r="11">
      <x:c r="C11" s="16" t="str">
        <x:v>2026H1归母净利润</x:v>
      </x:c>
      <x:c r="D11" s="23" t="n">
        <x:f>'Historical'!H10</x:f>
        <x:v>0.7006</x:v>
      </x:c>
      <x:c r="E11" s="16" t="str">
        <x:v>RMB bn</x:v>
      </x:c>
      <x:c r="F11" s="16" t="str">
        <x:v>未经审计</x:v>
      </x:c>
    </x:row>
    <x:row r="12">
      <x:c r="C12" s="16" t="str">
        <x:v>期末净现金</x:v>
      </x:c>
      <x:c r="D12" s="23" t="n">
        <x:f>'Balance &amp; Cash'!D13</x:f>
        <x:v>5.606809</x:v>
      </x:c>
      <x:c r="E12" s="16" t="str">
        <x:v>RMB bn</x:v>
      </x:c>
      <x:c r="F12" s="16" t="str">
        <x:v>现金减有息债务及租赁</x:v>
      </x:c>
    </x:row>
    <x:row r="13">
      <x:c r="C13" s="16" t="str">
        <x:v>贸易应收款</x:v>
      </x:c>
      <x:c r="D13" s="23" t="n">
        <x:f>'Balance &amp; Cash'!D9</x:f>
        <x:v>3.980423</x:v>
      </x:c>
      <x:c r="E13" s="16" t="str">
        <x:v>RMB bn</x:v>
      </x:c>
      <x:c r="F13" s="16" t="str">
        <x:v>回款质量核心指标</x:v>
      </x:c>
    </x:row>
    <x:row r="14">
      <x:c r="C14" s="16" t="str">
        <x:v>Bear价值</x:v>
      </x:c>
      <x:c r="D14" s="24" t="n">
        <x:f>'Valuation'!H9</x:f>
        <x:v>2.5181635942335676</x:v>
      </x:c>
      <x:c r="E14" s="16" t="str">
        <x:v>HKD/股</x:v>
      </x:c>
      <x:c r="F14" s="16" t="str">
        <x:v>保守情景</x:v>
      </x:c>
    </x:row>
    <x:row r="15">
      <x:c r="C15" s="16" t="str">
        <x:v>Base价值</x:v>
      </x:c>
      <x:c r="D15" s="24" t="n">
        <x:f>'Valuation'!H10</x:f>
        <x:v>4.332505405226613</x:v>
      </x:c>
      <x:c r="E15" s="16" t="str">
        <x:v>HKD/股</x:v>
      </x:c>
      <x:c r="F15" s="16" t="str">
        <x:v>正常化情景</x:v>
      </x:c>
    </x:row>
    <x:row r="16">
      <x:c r="C16" s="16" t="str">
        <x:v>Bull价值</x:v>
      </x:c>
      <x:c r="D16" s="24" t="n">
        <x:f>'Valuation'!H11</x:f>
        <x:v>6.212308369725754</x:v>
      </x:c>
      <x:c r="E16" s="16" t="str">
        <x:v>HKD/股</x:v>
      </x:c>
      <x:c r="F16" s="16" t="str">
        <x:v>乐观情景</x:v>
      </x:c>
    </x:row>
    <x:row r="17">
      <x:c r="C17" s="17" t="str">
        <x:v>Base相对价格</x:v>
      </x:c>
      <x:c r="D17" s="25" t="n">
        <x:f>'Valuation'!I10</x:f>
        <x:v>0.21188962383961218</x:v>
      </x:c>
      <x:c r="E17" s="17" t="str">
        <x:v>比例</x:v>
      </x:c>
      <x:c r="F17" s="17" t="str">
        <x:v>不是收益保证</x:v>
      </x:c>
    </x:row>
    <x:row r="20">
      <x:c r="C20" s="9" t="str">
        <x:v>研究结论</x:v>
      </x:c>
      <x:c r="D20" s="10"/>
      <x:c r="E20" s="10"/>
      <x:c r="F20" s="10"/>
      <x:c r="G20" s="10"/>
      <x:c r="H20" s="10"/>
      <x:c r="I20" s="10"/>
      <x:c r="J20" s="11"/>
    </x:row>
    <x:row r="21">
      <x:c r="C21" s="28" t="str">
        <x:v>新签面积85.9%来自第三方，主动退出19.2百万平方米亏损/到期项目，说明规模质量意识增强；但2026H1毛利率降至14.9%、归母利润下降9.0%，应收款较年初增长38.4%，经营现金流转负。</x:v>
      </x:c>
      <x:c r="D21" s="28" t="str">
        <x:v>新签面积85.9%来自第三方，主动退出19.2百万平方米亏损/到期项目，说明规模质量意识增强；但2026H1毛利率降至14.9%、归母利润下降9.0%，应收款较年初增长38.4%，经营现金流转负。</x:v>
      </x:c>
      <x:c r="E21" s="28" t="str">
        <x:v>新签面积85.9%来自第三方，主动退出19.2百万平方米亏损/到期项目，说明规模质量意识增强；但2026H1毛利率降至14.9%、归母利润下降9.0%，应收款较年初增长38.4%，经营现金流转负。</x:v>
      </x:c>
      <x:c r="F21" s="28" t="str">
        <x:v>新签面积85.9%来自第三方，主动退出19.2百万平方米亏损/到期项目，说明规模质量意识增强；但2026H1毛利率降至14.9%、归母利润下降9.0%，应收款较年初增长38.4%，经营现金流转负。</x:v>
      </x:c>
      <x:c r="G21" s="28" t="str">
        <x:v>新签面积85.9%来自第三方，主动退出19.2百万平方米亏损/到期项目，说明规模质量意识增强；但2026H1毛利率降至14.9%、归母利润下降9.0%，应收款较年初增长38.4%，经营现金流转负。</x:v>
      </x:c>
      <x:c r="H21" s="28" t="str">
        <x:v>新签面积85.9%来自第三方，主动退出19.2百万平方米亏损/到期项目，说明规模质量意识增强；但2026H1毛利率降至14.9%、归母利润下降9.0%，应收款较年初增长38.4%，经营现金流转负。</x:v>
      </x:c>
      <x:c r="I21" s="28" t="str">
        <x:v>新签面积85.9%来自第三方，主动退出19.2百万平方米亏损/到期项目，说明规模质量意识增强；但2026H1毛利率降至14.9%、归母利润下降9.0%，应收款较年初增长38.4%，经营现金流转负。</x:v>
      </x:c>
      <x:c r="J21" s="28" t="str">
        <x:v>新签面积85.9%来自第三方，主动退出19.2百万平方米亏损/到期项目，说明规模质量意识增强；但2026H1毛利率降至14.9%、归母利润下降9.0%，应收款较年初增长38.4%，经营现金流转负。</x:v>
      </x:c>
    </x:row>
    <x:row r="22">
      <x:c r="C22" s="28" t="str">
        <x:v>新签面积85.9%来自第三方，主动退出19.2百万平方米亏损/到期项目，说明规模质量意识增强；但2026H1毛利率降至14.9%、归母利润下降9.0%，应收款较年初增长38.4%，经营现金流转负。</x:v>
      </x:c>
      <x:c r="D22" s="28" t="str">
        <x:v>新签面积85.9%来自第三方，主动退出19.2百万平方米亏损/到期项目，说明规模质量意识增强；但2026H1毛利率降至14.9%、归母利润下降9.0%，应收款较年初增长38.4%，经营现金流转负。</x:v>
      </x:c>
      <x:c r="E22" s="28" t="str">
        <x:v>新签面积85.9%来自第三方，主动退出19.2百万平方米亏损/到期项目，说明规模质量意识增强；但2026H1毛利率降至14.9%、归母利润下降9.0%，应收款较年初增长38.4%，经营现金流转负。</x:v>
      </x:c>
      <x:c r="F22" s="28" t="str">
        <x:v>新签面积85.9%来自第三方，主动退出19.2百万平方米亏损/到期项目，说明规模质量意识增强；但2026H1毛利率降至14.9%、归母利润下降9.0%，应收款较年初增长38.4%，经营现金流转负。</x:v>
      </x:c>
      <x:c r="G22" s="28" t="str">
        <x:v>新签面积85.9%来自第三方，主动退出19.2百万平方米亏损/到期项目，说明规模质量意识增强；但2026H1毛利率降至14.9%、归母利润下降9.0%，应收款较年初增长38.4%，经营现金流转负。</x:v>
      </x:c>
      <x:c r="H22" s="28" t="str">
        <x:v>新签面积85.9%来自第三方，主动退出19.2百万平方米亏损/到期项目，说明规模质量意识增强；但2026H1毛利率降至14.9%、归母利润下降9.0%，应收款较年初增长38.4%，经营现金流转负。</x:v>
      </x:c>
      <x:c r="I22" s="28" t="str">
        <x:v>新签面积85.9%来自第三方，主动退出19.2百万平方米亏损/到期项目，说明规模质量意识增强；但2026H1毛利率降至14.9%、归母利润下降9.0%，应收款较年初增长38.4%，经营现金流转负。</x:v>
      </x:c>
      <x:c r="J22" s="28" t="str">
        <x:v>新签面积85.9%来自第三方，主动退出19.2百万平方米亏损/到期项目，说明规模质量意识增强；但2026H1毛利率降至14.9%、归母利润下降9.0%，应收款较年初增长38.4%，经营现金流转负。</x:v>
      </x:c>
    </x:row>
    <x:row r="23">
      <x:c r="C23" s="28" t="str">
        <x:v>新签面积85.9%来自第三方，主动退出19.2百万平方米亏损/到期项目，说明规模质量意识增强；但2026H1毛利率降至14.9%、归母利润下降9.0%，应收款较年初增长38.4%，经营现金流转负。</x:v>
      </x:c>
      <x:c r="D23" s="28" t="str">
        <x:v>新签面积85.9%来自第三方，主动退出19.2百万平方米亏损/到期项目，说明规模质量意识增强；但2026H1毛利率降至14.9%、归母利润下降9.0%，应收款较年初增长38.4%，经营现金流转负。</x:v>
      </x:c>
      <x:c r="E23" s="28" t="str">
        <x:v>新签面积85.9%来自第三方，主动退出19.2百万平方米亏损/到期项目，说明规模质量意识增强；但2026H1毛利率降至14.9%、归母利润下降9.0%，应收款较年初增长38.4%，经营现金流转负。</x:v>
      </x:c>
      <x:c r="F23" s="28" t="str">
        <x:v>新签面积85.9%来自第三方，主动退出19.2百万平方米亏损/到期项目，说明规模质量意识增强；但2026H1毛利率降至14.9%、归母利润下降9.0%，应收款较年初增长38.4%，经营现金流转负。</x:v>
      </x:c>
      <x:c r="G23" s="28" t="str">
        <x:v>新签面积85.9%来自第三方，主动退出19.2百万平方米亏损/到期项目，说明规模质量意识增强；但2026H1毛利率降至14.9%、归母利润下降9.0%，应收款较年初增长38.4%，经营现金流转负。</x:v>
      </x:c>
      <x:c r="H23" s="28" t="str">
        <x:v>新签面积85.9%来自第三方，主动退出19.2百万平方米亏损/到期项目，说明规模质量意识增强；但2026H1毛利率降至14.9%、归母利润下降9.0%，应收款较年初增长38.4%，经营现金流转负。</x:v>
      </x:c>
      <x:c r="I23" s="28" t="str">
        <x:v>新签面积85.9%来自第三方，主动退出19.2百万平方米亏损/到期项目，说明规模质量意识增强；但2026H1毛利率降至14.9%、归母利润下降9.0%，应收款较年初增长38.4%，经营现金流转负。</x:v>
      </x:c>
      <x:c r="J23" s="28" t="str">
        <x:v>新签面积85.9%来自第三方，主动退出19.2百万平方米亏损/到期项目，说明规模质量意识增强；但2026H1毛利率降至14.9%、归母利润下降9.0%，应收款较年初增长38.4%，经营现金流转负。</x:v>
      </x:c>
    </x:row>
    <x:row r="24">
      <x:c r="C24" s="28" t="str">
        <x:v>新签面积85.9%来自第三方，主动退出19.2百万平方米亏损/到期项目，说明规模质量意识增强；但2026H1毛利率降至14.9%、归母利润下降9.0%，应收款较年初增长38.4%，经营现金流转负。</x:v>
      </x:c>
      <x:c r="D24" s="28" t="str">
        <x:v>新签面积85.9%来自第三方，主动退出19.2百万平方米亏损/到期项目，说明规模质量意识增强；但2026H1毛利率降至14.9%、归母利润下降9.0%，应收款较年初增长38.4%，经营现金流转负。</x:v>
      </x:c>
      <x:c r="E24" s="28" t="str">
        <x:v>新签面积85.9%来自第三方，主动退出19.2百万平方米亏损/到期项目，说明规模质量意识增强；但2026H1毛利率降至14.9%、归母利润下降9.0%，应收款较年初增长38.4%，经营现金流转负。</x:v>
      </x:c>
      <x:c r="F24" s="28" t="str">
        <x:v>新签面积85.9%来自第三方，主动退出19.2百万平方米亏损/到期项目，说明规模质量意识增强；但2026H1毛利率降至14.9%、归母利润下降9.0%，应收款较年初增长38.4%，经营现金流转负。</x:v>
      </x:c>
      <x:c r="G24" s="28" t="str">
        <x:v>新签面积85.9%来自第三方，主动退出19.2百万平方米亏损/到期项目，说明规模质量意识增强；但2026H1毛利率降至14.9%、归母利润下降9.0%，应收款较年初增长38.4%，经营现金流转负。</x:v>
      </x:c>
      <x:c r="H24" s="28" t="str">
        <x:v>新签面积85.9%来自第三方，主动退出19.2百万平方米亏损/到期项目，说明规模质量意识增强；但2026H1毛利率降至14.9%、归母利润下降9.0%，应收款较年初增长38.4%，经营现金流转负。</x:v>
      </x:c>
      <x:c r="I24" s="28" t="str">
        <x:v>新签面积85.9%来自第三方，主动退出19.2百万平方米亏损/到期项目，说明规模质量意识增强；但2026H1毛利率降至14.9%、归母利润下降9.0%，应收款较年初增长38.4%，经营现金流转负。</x:v>
      </x:c>
      <x:c r="J24" s="28" t="str">
        <x:v>新签面积85.9%来自第三方，主动退出19.2百万平方米亏损/到期项目，说明规模质量意识增强；但2026H1毛利率降至14.9%、归母利润下降9.0%，应收款较年初增长38.4%，经营现金流转负。</x:v>
      </x:c>
    </x:row>
    <x:row r="25">
      <x:c r="C25" s="28" t="str">
        <x:v>新签面积85.9%来自第三方，主动退出19.2百万平方米亏损/到期项目，说明规模质量意识增强；但2026H1毛利率降至14.9%、归母利润下降9.0%，应收款较年初增长38.4%，经营现金流转负。</x:v>
      </x:c>
      <x:c r="D25" s="28" t="str">
        <x:v>新签面积85.9%来自第三方，主动退出19.2百万平方米亏损/到期项目，说明规模质量意识增强；但2026H1毛利率降至14.9%、归母利润下降9.0%，应收款较年初增长38.4%，经营现金流转负。</x:v>
      </x:c>
      <x:c r="E25" s="28" t="str">
        <x:v>新签面积85.9%来自第三方，主动退出19.2百万平方米亏损/到期项目，说明规模质量意识增强；但2026H1毛利率降至14.9%、归母利润下降9.0%，应收款较年初增长38.4%，经营现金流转负。</x:v>
      </x:c>
      <x:c r="F25" s="28" t="str">
        <x:v>新签面积85.9%来自第三方，主动退出19.2百万平方米亏损/到期项目，说明规模质量意识增强；但2026H1毛利率降至14.9%、归母利润下降9.0%，应收款较年初增长38.4%，经营现金流转负。</x:v>
      </x:c>
      <x:c r="G25" s="28" t="str">
        <x:v>新签面积85.9%来自第三方，主动退出19.2百万平方米亏损/到期项目，说明规模质量意识增强；但2026H1毛利率降至14.9%、归母利润下降9.0%，应收款较年初增长38.4%，经营现金流转负。</x:v>
      </x:c>
      <x:c r="H25" s="28" t="str">
        <x:v>新签面积85.9%来自第三方，主动退出19.2百万平方米亏损/到期项目，说明规模质量意识增强；但2026H1毛利率降至14.9%、归母利润下降9.0%，应收款较年初增长38.4%，经营现金流转负。</x:v>
      </x:c>
      <x:c r="I25" s="28" t="str">
        <x:v>新签面积85.9%来自第三方，主动退出19.2百万平方米亏损/到期项目，说明规模质量意识增强；但2026H1毛利率降至14.9%、归母利润下降9.0%，应收款较年初增长38.4%，经营现金流转负。</x:v>
      </x:c>
      <x:c r="J25" s="28" t="str">
        <x:v>新签面积85.9%来自第三方，主动退出19.2百万平方米亏损/到期项目，说明规模质量意识增强；但2026H1毛利率降至14.9%、归母利润下降9.0%，应收款较年初增长38.4%，经营现金流转负。</x:v>
      </x:c>
    </x:row>
    <x:row r="26">
      <x:c r="C26" s="28" t="str">
        <x:v>新签面积85.9%来自第三方，主动退出19.2百万平方米亏损/到期项目，说明规模质量意识增强；但2026H1毛利率降至14.9%、归母利润下降9.0%，应收款较年初增长38.4%，经营现金流转负。</x:v>
      </x:c>
      <x:c r="D26" s="28" t="str">
        <x:v>新签面积85.9%来自第三方，主动退出19.2百万平方米亏损/到期项目，说明规模质量意识增强；但2026H1毛利率降至14.9%、归母利润下降9.0%，应收款较年初增长38.4%，经营现金流转负。</x:v>
      </x:c>
      <x:c r="E26" s="28" t="str">
        <x:v>新签面积85.9%来自第三方，主动退出19.2百万平方米亏损/到期项目，说明规模质量意识增强；但2026H1毛利率降至14.9%、归母利润下降9.0%，应收款较年初增长38.4%，经营现金流转负。</x:v>
      </x:c>
      <x:c r="F26" s="28" t="str">
        <x:v>新签面积85.9%来自第三方，主动退出19.2百万平方米亏损/到期项目，说明规模质量意识增强；但2026H1毛利率降至14.9%、归母利润下降9.0%，应收款较年初增长38.4%，经营现金流转负。</x:v>
      </x:c>
      <x:c r="G26" s="28" t="str">
        <x:v>新签面积85.9%来自第三方，主动退出19.2百万平方米亏损/到期项目，说明规模质量意识增强；但2026H1毛利率降至14.9%、归母利润下降9.0%，应收款较年初增长38.4%，经营现金流转负。</x:v>
      </x:c>
      <x:c r="H26" s="28" t="str">
        <x:v>新签面积85.9%来自第三方，主动退出19.2百万平方米亏损/到期项目，说明规模质量意识增强；但2026H1毛利率降至14.9%、归母利润下降9.0%，应收款较年初增长38.4%，经营现金流转负。</x:v>
      </x:c>
      <x:c r="I26" s="28" t="str">
        <x:v>新签面积85.9%来自第三方，主动退出19.2百万平方米亏损/到期项目，说明规模质量意识增强；但2026H1毛利率降至14.9%、归母利润下降9.0%，应收款较年初增长38.4%，经营现金流转负。</x:v>
      </x:c>
      <x:c r="J26" s="28" t="str">
        <x:v>新签面积85.9%来自第三方，主动退出19.2百万平方米亏损/到期项目，说明规模质量意识增强；但2026H1毛利率降至14.9%、归母利润下降9.0%，应收款较年初增长38.4%，经营现金流转负。</x:v>
      </x:c>
    </x:row>
  </x:sheetData>
  <x:mergeCells>
    <x:mergeCell ref="C2:J2"/>
    <x:mergeCell ref="C21:J26"/>
  </x:mergeCells>
  <x:pageMargins left="0.7" right="0.7" top="0.75" bottom="0.75" header="0.3" footer="0.3"/>
  <x:drawing xmlns:r="http://schemas.openxmlformats.org/officeDocument/2006/relationships" r:id="R5178fa037dc04a42"/>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2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6" hidden="0" customWidth="1"/>
  </x:cols>
  <x:sheetData>
    <x:row r="2">
      <x:c r="C2" s="2" t="str">
        <x:v>历史财务与现金转化</x:v>
      </x:c>
      <x:c r="D2" s="2"/>
      <x:c r="E2" s="2"/>
      <x:c r="F2" s="2"/>
      <x:c r="G2" s="2"/>
      <x:c r="H2" s="2"/>
      <x:c r="I2" s="2"/>
      <x:c r="J2" s="2"/>
    </x:row>
    <x:row r="3">
      <x:c r="C3" s="3" t="str">
        <x:v>2023-2025为经审计年度；2026H1未经审计；空白表示披露文件未提供可比现金流</x:v>
      </x:c>
      <x:c r="D3" s="3"/>
      <x:c r="E3" s="3"/>
      <x:c r="F3" s="3"/>
      <x:c r="G3" s="3"/>
      <x:c r="H3" s="3"/>
      <x:c r="I3" s="3"/>
      <x:c r="J3" s="3"/>
    </x:row>
    <x:row r="6">
      <x:c r="C6" s="9" t="str">
        <x:v>指标</x:v>
      </x:c>
      <x:c r="D6" s="10" t="str">
        <x:v>单位</x:v>
      </x:c>
      <x:c r="E6" s="10" t="str">
        <x:v>2023A</x:v>
      </x:c>
      <x:c r="F6" s="10" t="str">
        <x:v>2024A</x:v>
      </x:c>
      <x:c r="G6" s="10" t="str">
        <x:v>2025A</x:v>
      </x:c>
      <x:c r="H6" s="10" t="str">
        <x:v>2026H1</x:v>
      </x:c>
      <x:c r="I6" s="10" t="str">
        <x:v>2025同比</x:v>
      </x:c>
      <x:c r="J6" s="11" t="str">
        <x:v>H1同比/观察</x:v>
      </x:c>
    </x:row>
    <x:row r="7">
      <x:c r="C7" s="15" t="str">
        <x:v>收入</x:v>
      </x:c>
      <x:c r="D7" s="15" t="str">
        <x:v>RMB bn</x:v>
      </x:c>
      <x:c r="E7" s="29" t="n">
        <x:v>13.090346</x:v>
      </x:c>
      <x:c r="F7" s="29" t="n">
        <x:v>14.112544</x:v>
      </x:c>
      <x:c r="G7" s="29" t="n">
        <x:v>14.959871</x:v>
      </x:c>
      <x:c r="H7" s="29" t="n">
        <x:v>7.484778</x:v>
      </x:c>
      <x:c r="I7" s="33" t="n">
        <x:f>G7/F7-1</x:f>
        <x:v>0.06004069854450056</x:v>
      </x:c>
      <x:c r="J7" s="15" t="str">
        <x:v>H1收入增速见运营页</x:v>
      </x:c>
    </x:row>
    <x:row r="8">
      <x:c r="C8" s="16" t="str">
        <x:v>毛利</x:v>
      </x:c>
      <x:c r="D8" s="16" t="str">
        <x:v>RMB bn</x:v>
      </x:c>
      <x:c r="E8" s="30" t="n">
        <x:v>2.08071</x:v>
      </x:c>
      <x:c r="F8" s="30" t="n">
        <x:v>2.336934</x:v>
      </x:c>
      <x:c r="G8" s="30" t="n">
        <x:v>2.247278</x:v>
      </x:c>
      <x:c r="H8" s="30" t="n">
        <x:v>1.1134</x:v>
      </x:c>
      <x:c r="I8" s="32" t="n">
        <x:f>G8/F8-1</x:f>
        <x:v>-0.03836479763656131</x:v>
      </x:c>
      <x:c r="J8" s="16" t="str">
        <x:v>利润结构变化</x:v>
      </x:c>
    </x:row>
    <x:row r="9">
      <x:c r="C9" s="16" t="str">
        <x:v>毛利率</x:v>
      </x:c>
      <x:c r="D9" s="16" t="str">
        <x:v>%</x:v>
      </x:c>
      <x:c r="E9" s="32" t="n">
        <x:f>E8/E7</x:f>
        <x:v>0.15894996205600675</x:v>
      </x:c>
      <x:c r="F9" s="32" t="n">
        <x:f>F8/F7</x:f>
        <x:v>0.16559268123451024</x:v>
      </x:c>
      <x:c r="G9" s="32" t="n">
        <x:f>G8/G7</x:f>
        <x:v>0.1502204129968768</x:v>
      </x:c>
      <x:c r="H9" s="32" t="n">
        <x:f>H8/H7</x:f>
        <x:v>0.14875524698260922</x:v>
      </x:c>
      <x:c r="I9" s="32" t="n">
        <x:f>G9-F9</x:f>
        <x:v>-0.015372268237633435</x:v>
      </x:c>
      <x:c r="J9" s="16" t="str">
        <x:v>毛利率趋势</x:v>
      </x:c>
    </x:row>
    <x:row r="10">
      <x:c r="C10" s="16" t="str">
        <x:v>归母净利润</x:v>
      </x:c>
      <x:c r="D10" s="16" t="str">
        <x:v>RMB bn</x:v>
      </x:c>
      <x:c r="E10" s="30" t="n">
        <x:v>1.344769</x:v>
      </x:c>
      <x:c r="F10" s="30" t="n">
        <x:v>1.514296</x:v>
      </x:c>
      <x:c r="G10" s="30" t="n">
        <x:v>1.366779</x:v>
      </x:c>
      <x:c r="H10" s="30" t="n">
        <x:v>0.7006</x:v>
      </x:c>
      <x:c r="I10" s="32" t="n">
        <x:f>G10/F10-1</x:f>
        <x:v>-0.09741622509733905</x:v>
      </x:c>
      <x:c r="J10" s="16" t="str">
        <x:v>归母利润趋势</x:v>
      </x:c>
    </x:row>
    <x:row r="11">
      <x:c r="C11" s="16" t="str">
        <x:v>归母净利率</x:v>
      </x:c>
      <x:c r="D11" s="16" t="str">
        <x:v>%</x:v>
      </x:c>
      <x:c r="E11" s="32" t="n">
        <x:f>E10/E7</x:f>
        <x:v>0.10272982853165226</x:v>
      </x:c>
      <x:c r="F11" s="32" t="n">
        <x:f>F10/F7</x:f>
        <x:v>0.10730141921966728</x:v>
      </x:c>
      <x:c r="G11" s="32" t="n">
        <x:f>G10/G7</x:f>
        <x:v>0.09136302044315757</x:v>
      </x:c>
      <x:c r="H11" s="32" t="n">
        <x:f>H10/H7</x:f>
        <x:v>0.09360331061255256</x:v>
      </x:c>
      <x:c r="I11" s="32" t="n">
        <x:f>G11-F11</x:f>
        <x:v>-0.01593839877650971</x:v>
      </x:c>
      <x:c r="J11" s="16" t="str">
        <x:v>盈利质量</x:v>
      </x:c>
    </x:row>
    <x:row r="12">
      <x:c r="C12" s="16" t="str">
        <x:v>经营现金流</x:v>
      </x:c>
      <x:c r="D12" s="16" t="str">
        <x:v>RMB bn</x:v>
      </x:c>
      <x:c r="E12" s="30"/>
      <x:c r="F12" s="30" t="n">
        <x:v>1.338145</x:v>
      </x:c>
      <x:c r="G12" s="30" t="n">
        <x:v>1.153458</x:v>
      </x:c>
      <x:c r="H12" s="30" t="n">
        <x:v>-0.501565</x:v>
      </x:c>
      <x:c r="I12" s="32" t="n">
        <x:f>G12/F12-1</x:f>
        <x:v>-0.138017180499871</x:v>
      </x:c>
      <x:c r="J12" s="16" t="str">
        <x:v>H1转为净流出</x:v>
      </x:c>
    </x:row>
    <x:row r="13">
      <x:c r="C13" s="16" t="str">
        <x:v>资本开支</x:v>
      </x:c>
      <x:c r="D13" s="16" t="str">
        <x:v>RMB bn</x:v>
      </x:c>
      <x:c r="E13" s="30"/>
      <x:c r="F13" s="30" t="n">
        <x:v>0.1412</x:v>
      </x:c>
      <x:c r="G13" s="30" t="n">
        <x:v>0.120233</x:v>
      </x:c>
      <x:c r="H13" s="30" t="n">
        <x:v>0.0592</x:v>
      </x:c>
      <x:c r="I13" s="32" t="n">
        <x:f>G13/F13-1</x:f>
        <x:v>-0.14849150141643053</x:v>
      </x:c>
      <x:c r="J13" s="16" t="str">
        <x:v>资产轻</x:v>
      </x:c>
    </x:row>
    <x:row r="14">
      <x:c r="C14" s="17" t="str">
        <x:v>简化自由现金流</x:v>
      </x:c>
      <x:c r="D14" s="17" t="str">
        <x:v>RMB bn</x:v>
      </x:c>
      <x:c r="E14" s="31" t="str">
        <x:f>IF(OR(E12="",E13=""),"",E12-E13)</x:f>
      </x:c>
      <x:c r="F14" s="31" t="n">
        <x:f>IF(OR(F12="",F13=""),"",F12-F13)</x:f>
        <x:v>1.196945</x:v>
      </x:c>
      <x:c r="G14" s="31" t="n">
        <x:f>IF(OR(G12="",G13=""),"",G12-G13)</x:f>
        <x:v>1.033225</x:v>
      </x:c>
      <x:c r="H14" s="31" t="n">
        <x:f>IF(OR(H12="",H13=""),"",H12-H13)</x:f>
        <x:v>-0.5607650000000001</x:v>
      </x:c>
      <x:c r="I14" s="34" t="n">
        <x:f>G14/F14-1</x:f>
        <x:v>-0.13678155637894795</x:v>
      </x:c>
      <x:c r="J14" s="17" t="str">
        <x:v>CFO减资本开支</x:v>
      </x:c>
    </x:row>
  </x:sheetData>
  <x:mergeCells>
    <x:mergeCell ref="C2:J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30" hidden="0" customWidth="1"/>
    <x:col min="4" max="4" width="18" hidden="0" customWidth="1"/>
    <x:col min="5" max="5" width="18" hidden="0" customWidth="1"/>
    <x:col min="6" max="6" width="18" hidden="0" customWidth="1"/>
    <x:col min="7" max="7" width="45" hidden="0" customWidth="1"/>
    <x:col min="8" max="8" width="16" hidden="0" customWidth="1"/>
  </x:cols>
  <x:sheetData>
    <x:row r="2">
      <x:c r="C2" s="2" t="str">
        <x:v>运营规模与收入质量</x:v>
      </x:c>
      <x:c r="D2" s="2"/>
      <x:c r="E2" s="2"/>
      <x:c r="F2" s="2"/>
      <x:c r="G2" s="2"/>
      <x:c r="H2" s="2"/>
    </x:row>
    <x:row r="3">
      <x:c r="C3" s="3" t="str">
        <x:v>面积只是规模指标；收入结构、单位经济性和回款决定价值</x:v>
      </x:c>
      <x:c r="D3" s="3"/>
      <x:c r="E3" s="3"/>
      <x:c r="F3" s="3"/>
      <x:c r="G3" s="3"/>
      <x:c r="H3" s="3"/>
    </x:row>
    <x:row r="6">
      <x:c r="C6" s="9" t="str">
        <x:v>指标</x:v>
      </x:c>
      <x:c r="D6" s="10" t="str">
        <x:v>期间</x:v>
      </x:c>
      <x:c r="E6" s="10" t="str">
        <x:v>数值</x:v>
      </x:c>
      <x:c r="F6" s="10" t="str">
        <x:v>单位</x:v>
      </x:c>
      <x:c r="G6" s="10" t="str">
        <x:v>研究观察</x:v>
      </x:c>
      <x:c r="H6" s="11" t="str">
        <x:v>性质</x:v>
      </x:c>
    </x:row>
    <x:row r="7">
      <x:c r="C7" s="15" t="str">
        <x:v>在管面积</x:v>
      </x:c>
      <x:c r="D7" s="15" t="str">
        <x:v>2024A</x:v>
      </x:c>
      <x:c r="E7" s="41" t="n">
        <x:v>442.3</x:v>
      </x:c>
      <x:c r="F7" s="15" t="str">
        <x:v>百万平方米</x:v>
      </x:c>
      <x:c r="G7" s="15" t="str">
        <x:v>重列后口径</x:v>
      </x:c>
      <x:c r="H7" s="15" t="str">
        <x:v>公司披露</x:v>
      </x:c>
    </x:row>
    <x:row r="8">
      <x:c r="C8" s="16" t="str">
        <x:v>在管面积</x:v>
      </x:c>
      <x:c r="D8" s="16" t="str">
        <x:v>2025A</x:v>
      </x:c>
      <x:c r="E8" s="42" t="n">
        <x:v>477.6</x:v>
      </x:c>
      <x:c r="F8" s="16" t="str">
        <x:v>百万平方米</x:v>
      </x:c>
      <x:c r="G8" s="16" t="str">
        <x:v>同比增长8.0%</x:v>
      </x:c>
      <x:c r="H8" s="16" t="str">
        <x:v>公司披露</x:v>
      </x:c>
    </x:row>
    <x:row r="9">
      <x:c r="C9" s="16" t="str">
        <x:v>在管面积</x:v>
      </x:c>
      <x:c r="D9" s="16" t="str">
        <x:v>2026H1</x:v>
      </x:c>
      <x:c r="E9" s="42" t="n">
        <x:v>495.4</x:v>
      </x:c>
      <x:c r="F9" s="16" t="str">
        <x:v>百万平方米</x:v>
      </x:c>
      <x:c r="G9" s="16" t="str">
        <x:v>净增17.8百万平方米</x:v>
      </x:c>
      <x:c r="H9" s="16" t="str">
        <x:v>公司披露</x:v>
      </x:c>
    </x:row>
    <x:row r="10">
      <x:c r="C10" s="16" t="str">
        <x:v>第三方在管面积占比</x:v>
      </x:c>
      <x:c r="D10" s="16" t="str">
        <x:v>2026H1</x:v>
      </x:c>
      <x:c r="E10" s="32" t="n">
        <x:v>0.433</x:v>
      </x:c>
      <x:c r="F10" s="16" t="str">
        <x:v>比例</x:v>
      </x:c>
      <x:c r="G10" s="16" t="str">
        <x:v>较年初提升0.6个百分点</x:v>
      </x:c>
      <x:c r="H10" s="16" t="str">
        <x:v>公司披露</x:v>
      </x:c>
    </x:row>
    <x:row r="11">
      <x:c r="C11" s="16" t="str">
        <x:v>新签第三方面积占比</x:v>
      </x:c>
      <x:c r="D11" s="16" t="str">
        <x:v>2026H1</x:v>
      </x:c>
      <x:c r="E11" s="32" t="n">
        <x:v>0.859</x:v>
      </x:c>
      <x:c r="F11" s="16" t="str">
        <x:v>比例</x:v>
      </x:c>
      <x:c r="G11" s="16" t="str">
        <x:v>新增项目市场化程度高</x:v>
      </x:c>
      <x:c r="H11" s="16" t="str">
        <x:v>公司披露</x:v>
      </x:c>
    </x:row>
    <x:row r="12">
      <x:c r="C12" s="16" t="str">
        <x:v>退出/到期项目面积</x:v>
      </x:c>
      <x:c r="D12" s="16" t="str">
        <x:v>2026H1</x:v>
      </x:c>
      <x:c r="E12" s="42" t="n">
        <x:v>19.2</x:v>
      </x:c>
      <x:c r="F12" s="16" t="str">
        <x:v>百万平方米</x:v>
      </x:c>
      <x:c r="G12" s="16" t="str">
        <x:v>主动处置亏损项目</x:v>
      </x:c>
      <x:c r="H12" s="16" t="str">
        <x:v>公司披露</x:v>
      </x:c>
    </x:row>
    <x:row r="13">
      <x:c r="C13" s="16" t="str">
        <x:v>基础物管收入</x:v>
      </x:c>
      <x:c r="D13" s="16" t="str">
        <x:v>2026H1</x:v>
      </x:c>
      <x:c r="E13" s="42" t="n">
        <x:v>6.201995</x:v>
      </x:c>
      <x:c r="F13" s="16" t="str">
        <x:v>RMB bn</x:v>
      </x:c>
      <x:c r="G13" s="16" t="str">
        <x:v>同比增长9.4%</x:v>
      </x:c>
      <x:c r="H13" s="16" t="str">
        <x:v>公司披露</x:v>
      </x:c>
    </x:row>
    <x:row r="14">
      <x:c r="C14" s="16" t="str">
        <x:v>非住户增值收入</x:v>
      </x:c>
      <x:c r="D14" s="16" t="str">
        <x:v>2026H1</x:v>
      </x:c>
      <x:c r="E14" s="42" t="n">
        <x:v>0.732824</x:v>
      </x:c>
      <x:c r="F14" s="16" t="str">
        <x:v>RMB bn</x:v>
      </x:c>
      <x:c r="G14" s="16" t="str">
        <x:v>同比下降14.6%</x:v>
      </x:c>
      <x:c r="H14" s="16" t="str">
        <x:v>公司披露</x:v>
      </x:c>
    </x:row>
    <x:row r="15">
      <x:c r="C15" s="16" t="str">
        <x:v>住户增值收入</x:v>
      </x:c>
      <x:c r="D15" s="16" t="str">
        <x:v>2026H1</x:v>
      </x:c>
      <x:c r="E15" s="42" t="n">
        <x:v>0.524567</x:v>
      </x:c>
      <x:c r="F15" s="16" t="str">
        <x:v>RMB bn</x:v>
      </x:c>
      <x:c r="G15" s="16" t="str">
        <x:v>同比下降13.7%</x:v>
      </x:c>
      <x:c r="H15" s="16" t="str">
        <x:v>公司披露</x:v>
      </x:c>
    </x:row>
    <x:row r="16">
      <x:c r="C16" s="16" t="str">
        <x:v>基础物管毛利率</x:v>
      </x:c>
      <x:c r="D16" s="16" t="str">
        <x:v>2026H1</x:v>
      </x:c>
      <x:c r="E16" s="32" t="n">
        <x:v>0.13</x:v>
      </x:c>
      <x:c r="F16" s="16" t="str">
        <x:v>比例</x:v>
      </x:c>
      <x:c r="G16" s="16" t="str">
        <x:v>同比下降2.4个百分点</x:v>
      </x:c>
      <x:c r="H16" s="16" t="str">
        <x:v>公司披露</x:v>
      </x:c>
    </x:row>
    <x:row r="17">
      <x:c r="C17" s="17" t="str">
        <x:v>新增合同金额</x:v>
      </x:c>
      <x:c r="D17" s="17" t="str">
        <x:v>2026H1</x:v>
      </x:c>
      <x:c r="E17" s="43" t="n">
        <x:v>2.4971</x:v>
      </x:c>
      <x:c r="F17" s="17" t="str">
        <x:v>RMB bn</x:v>
      </x:c>
      <x:c r="G17" s="17" t="str">
        <x:v>新增37.0百万平方米</x:v>
      </x:c>
      <x:c r="H17" s="17" t="str">
        <x:v>公司披露</x:v>
      </x:c>
    </x:row>
  </x:sheetData>
  <x:mergeCells>
    <x:mergeCell ref="C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8" hidden="0" customWidth="1"/>
    <x:col min="4" max="4" width="18" hidden="0" customWidth="1"/>
    <x:col min="5" max="5" width="18" hidden="0" customWidth="1"/>
    <x:col min="6" max="6" width="18" hidden="0" customWidth="1"/>
    <x:col min="7" max="7" width="42" hidden="0" customWidth="1"/>
  </x:cols>
  <x:sheetData>
    <x:row r="2">
      <x:c r="C2" s="2" t="str">
        <x:v>资产负债表与应收款</x:v>
      </x:c>
      <x:c r="D2" s="2"/>
      <x:c r="E2" s="2"/>
      <x:c r="F2" s="2"/>
      <x:c r="G2" s="2"/>
    </x:row>
    <x:row r="3">
      <x:c r="C3" s="3" t="str">
        <x:v>截至2026-06-30；净现金不等同于可立即分配现金</x:v>
      </x:c>
      <x:c r="D3" s="3"/>
      <x:c r="E3" s="3"/>
      <x:c r="F3" s="3"/>
      <x:c r="G3" s="3"/>
    </x:row>
    <x:row r="6">
      <x:c r="C6" s="9" t="str">
        <x:v>指标</x:v>
      </x:c>
      <x:c r="D6" s="10" t="str">
        <x:v>数值</x:v>
      </x:c>
      <x:c r="E6" s="10" t="str">
        <x:v>单位</x:v>
      </x:c>
      <x:c r="F6" s="10" t="str">
        <x:v>占资产/比率</x:v>
      </x:c>
      <x:c r="G6" s="11" t="str">
        <x:v>观察</x:v>
      </x:c>
    </x:row>
    <x:row r="7">
      <x:c r="C7" s="15" t="str">
        <x:v>总资产</x:v>
      </x:c>
      <x:c r="D7" s="29" t="n">
        <x:v>13.597284</x:v>
      </x:c>
      <x:c r="E7" s="15" t="str">
        <x:v>RMB bn</x:v>
      </x:c>
      <x:c r="F7" s="33" t="n">
        <x:f>D7/$D$7</x:f>
        <x:v>1</x:v>
      </x:c>
      <x:c r="G7" s="15" t="str">
        <x:v>合并口径</x:v>
      </x:c>
    </x:row>
    <x:row r="8">
      <x:c r="C8" s="16" t="str">
        <x:v>归母净资产</x:v>
      </x:c>
      <x:c r="D8" s="30" t="n">
        <x:v>6.235719</x:v>
      </x:c>
      <x:c r="E8" s="16" t="str">
        <x:v>RMB bn</x:v>
      </x:c>
      <x:c r="F8" s="32" t="n">
        <x:f>D8/$D$7</x:f>
        <x:v>0.4586003351845854</x:v>
      </x:c>
      <x:c r="G8" s="16" t="str">
        <x:v>P/B分母</x:v>
      </x:c>
    </x:row>
    <x:row r="9">
      <x:c r="C9" s="48" t="str">
        <x:v>贸易应收款</x:v>
      </x:c>
      <x:c r="D9" s="49" t="n">
        <x:v>3.980423</x:v>
      </x:c>
      <x:c r="E9" s="48" t="str">
        <x:v>RMB bn</x:v>
      </x:c>
      <x:c r="F9" s="50" t="n">
        <x:f>D9/$D$7</x:f>
        <x:v>0.2927366229902972</x:v>
      </x:c>
      <x:c r="G9" s="48" t="str">
        <x:v>回款与减值风险</x:v>
      </x:c>
    </x:row>
    <x:row r="10">
      <x:c r="C10" s="16" t="str">
        <x:v>现金及存款</x:v>
      </x:c>
      <x:c r="D10" s="30" t="n">
        <x:v>5.733322</x:v>
      </x:c>
      <x:c r="E10" s="16" t="str">
        <x:v>RMB bn</x:v>
      </x:c>
      <x:c r="F10" s="32" t="n">
        <x:f>D10/$D$7</x:f>
        <x:v>0.4216520005024533</x:v>
      </x:c>
      <x:c r="G10" s="16" t="str">
        <x:v>含定期存款/银行余额</x:v>
      </x:c>
    </x:row>
    <x:row r="11">
      <x:c r="C11" s="16" t="str">
        <x:v>有息借款</x:v>
      </x:c>
      <x:c r="D11" s="30" t="n">
        <x:v>0.0304</x:v>
      </x:c>
      <x:c r="E11" s="16" t="str">
        <x:v>RMB bn</x:v>
      </x:c>
      <x:c r="F11" s="32" t="n">
        <x:f>D11/$D$7</x:f>
        <x:v>0.002235740608197931</x:v>
      </x:c>
      <x:c r="G11" s="16" t="str">
        <x:v>银行及关联方借款</x:v>
      </x:c>
    </x:row>
    <x:row r="12">
      <x:c r="C12" s="16" t="str">
        <x:v>租赁负债</x:v>
      </x:c>
      <x:c r="D12" s="30" t="n">
        <x:v>0.096113</x:v>
      </x:c>
      <x:c r="E12" s="16" t="str">
        <x:v>RMB bn</x:v>
      </x:c>
      <x:c r="F12" s="32" t="n">
        <x:f>D12/$D$7</x:f>
        <x:v>0.007068543982754204</x:v>
      </x:c>
      <x:c r="G12" s="16" t="str">
        <x:v>租赁义务</x:v>
      </x:c>
    </x:row>
    <x:row r="13">
      <x:c r="C13" s="45" t="str">
        <x:v>净现金</x:v>
      </x:c>
      <x:c r="D13" s="46" t="n">
        <x:f>D10-D11-D12</x:f>
        <x:v>5.606809</x:v>
      </x:c>
      <x:c r="E13" s="45" t="str">
        <x:v>RMB bn</x:v>
      </x:c>
      <x:c r="F13" s="47" t="n">
        <x:f>D13/$D$7</x:f>
        <x:v>0.41234771591150116</x:v>
      </x:c>
      <x:c r="G13" s="45" t="str">
        <x:v>现金减借款及租赁</x:v>
      </x:c>
    </x:row>
    <x:row r="14">
      <x:c r="C14" s="16" t="str">
        <x:v>流动资产</x:v>
      </x:c>
      <x:c r="D14" s="30" t="n">
        <x:v>12.803516</x:v>
      </x:c>
      <x:c r="E14" s="16" t="str">
        <x:v>RMB bn</x:v>
      </x:c>
      <x:c r="F14" s="32" t="n">
        <x:f>D14/$D$7</x:f>
        <x:v>0.9416230476615771</x:v>
      </x:c>
      <x:c r="G14" s="16" t="str">
        <x:v>流动性资产</x:v>
      </x:c>
    </x:row>
    <x:row r="15">
      <x:c r="C15" s="16" t="str">
        <x:v>流动负债</x:v>
      </x:c>
      <x:c r="D15" s="30" t="n">
        <x:v>7.228328</x:v>
      </x:c>
      <x:c r="E15" s="16" t="str">
        <x:v>RMB bn</x:v>
      </x:c>
      <x:c r="F15" s="32" t="n">
        <x:f>D15/$D$7</x:f>
        <x:v>0.5316008697030966</x:v>
      </x:c>
      <x:c r="G15" s="16" t="str">
        <x:v>短期义务</x:v>
      </x:c>
    </x:row>
    <x:row r="16">
      <x:c r="C16" s="16" t="str">
        <x:v>流动比率</x:v>
      </x:c>
      <x:c r="D16" s="44" t="n">
        <x:f>D14/D15</x:f>
        <x:v>1.771297041307478</x:v>
      </x:c>
      <x:c r="E16" s="16" t="str">
        <x:v>x</x:v>
      </x:c>
      <x:c r="F16" s="32" t="n">
        <x:f>D16</x:f>
        <x:v>1.771297041307478</x:v>
      </x:c>
      <x:c r="G16" s="16" t="str">
        <x:v>短期偿债能力</x:v>
      </x:c>
    </x:row>
    <x:row r="17">
      <x:c r="C17" s="17" t="str">
        <x:v>年化应收款/收入</x:v>
      </x:c>
      <x:c r="D17" s="34" t="n">
        <x:f>D9/('Historical'!H7*2)</x:f>
        <x:v>0.2659012064218872</x:v>
      </x:c>
      <x:c r="E17" s="17" t="str">
        <x:v>%</x:v>
      </x:c>
      <x:c r="F17" s="34" t="n">
        <x:f>D17</x:f>
        <x:v>0.2659012064218872</x:v>
      </x:c>
      <x:c r="G17" s="17" t="str">
        <x:v>H1收入简单年化，仅作比较</x:v>
      </x:c>
    </x:row>
  </x:sheetData>
  <x:mergeCells>
    <x:mergeCell ref="C2:G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30" hidden="0" customWidth="1"/>
    <x:col min="4" max="4" width="17" hidden="0" customWidth="1"/>
    <x:col min="5" max="5" width="17" hidden="0" customWidth="1"/>
    <x:col min="6" max="6" width="17" hidden="0" customWidth="1"/>
    <x:col min="7" max="7" width="17" hidden="0" customWidth="1"/>
  </x:cols>
  <x:sheetData>
    <x:row r="2">
      <x:c r="C2" s="2" t="str">
        <x:v>预测假设</x:v>
      </x:c>
      <x:c r="D2" s="2"/>
      <x:c r="E2" s="2"/>
      <x:c r="F2" s="2"/>
    </x:row>
    <x:row r="3">
      <x:c r="C3" s="3" t="str">
        <x:v>蓝色数字为分析假设；每个年度均可单独修改</x:v>
      </x:c>
      <x:c r="D3" s="3"/>
      <x:c r="E3" s="3"/>
      <x:c r="F3" s="3"/>
    </x:row>
    <x:row r="6">
      <x:c r="C6" s="9" t="str">
        <x:v>情景/驱动</x:v>
      </x:c>
      <x:c r="D6" s="10" t="str">
        <x:v>2026E</x:v>
      </x:c>
      <x:c r="E6" s="10" t="str">
        <x:v>2027E</x:v>
      </x:c>
      <x:c r="F6" s="11" t="str">
        <x:v>2028E</x:v>
      </x:c>
    </x:row>
    <x:row r="8">
      <x:c r="C8" s="54" t="str">
        <x:v>Bear</x:v>
      </x:c>
      <x:c r="D8" s="54"/>
      <x:c r="E8" s="54"/>
      <x:c r="F8" s="54"/>
    </x:row>
    <x:row r="9">
      <x:c r="C9" s="15" t="str">
        <x:v>收入增长</x:v>
      </x:c>
      <x:c r="D9" s="59" t="n">
        <x:v>0.01</x:v>
      </x:c>
      <x:c r="E9" s="59" t="n">
        <x:v>0.01</x:v>
      </x:c>
      <x:c r="F9" s="59" t="n">
        <x:v>0.02</x:v>
      </x:c>
    </x:row>
    <x:row r="10">
      <x:c r="C10" s="17" t="str">
        <x:v>归母净利率</x:v>
      </x:c>
      <x:c r="D10" s="60" t="n">
        <x:v>0.085</x:v>
      </x:c>
      <x:c r="E10" s="60" t="n">
        <x:v>0.08</x:v>
      </x:c>
      <x:c r="F10" s="60" t="n">
        <x:v>0.08</x:v>
      </x:c>
    </x:row>
    <x:row r="13">
      <x:c r="C13" s="54" t="str">
        <x:v>Base</x:v>
      </x:c>
      <x:c r="D13" s="54"/>
      <x:c r="E13" s="54"/>
      <x:c r="F13" s="54"/>
    </x:row>
    <x:row r="14">
      <x:c r="C14" s="15" t="str">
        <x:v>收入增长</x:v>
      </x:c>
      <x:c r="D14" s="59" t="n">
        <x:v>0.04</x:v>
      </x:c>
      <x:c r="E14" s="59" t="n">
        <x:v>0.05</x:v>
      </x:c>
      <x:c r="F14" s="59" t="n">
        <x:v>0.05</x:v>
      </x:c>
    </x:row>
    <x:row r="15">
      <x:c r="C15" s="17" t="str">
        <x:v>归母净利率</x:v>
      </x:c>
      <x:c r="D15" s="60" t="n">
        <x:v>0.092</x:v>
      </x:c>
      <x:c r="E15" s="60" t="n">
        <x:v>0.095</x:v>
      </x:c>
      <x:c r="F15" s="60" t="n">
        <x:v>0.097</x:v>
      </x:c>
    </x:row>
    <x:row r="18">
      <x:c r="C18" s="54" t="str">
        <x:v>Bull</x:v>
      </x:c>
      <x:c r="D18" s="54"/>
      <x:c r="E18" s="54"/>
      <x:c r="F18" s="54"/>
    </x:row>
    <x:row r="19">
      <x:c r="C19" s="15" t="str">
        <x:v>收入增长</x:v>
      </x:c>
      <x:c r="D19" s="59" t="n">
        <x:v>0.06</x:v>
      </x:c>
      <x:c r="E19" s="59" t="n">
        <x:v>0.08</x:v>
      </x:c>
      <x:c r="F19" s="59" t="n">
        <x:v>0.08</x:v>
      </x:c>
    </x:row>
    <x:row r="20">
      <x:c r="C20" s="17" t="str">
        <x:v>归母净利率</x:v>
      </x:c>
      <x:c r="D20" s="60" t="n">
        <x:v>0.095</x:v>
      </x:c>
      <x:c r="E20" s="60" t="n">
        <x:v>0.102</x:v>
      </x:c>
      <x:c r="F20" s="60" t="n">
        <x:v>0.105</x:v>
      </x:c>
    </x:row>
    <x:row r="23">
      <x:c r="C23" s="9" t="str">
        <x:v>估值情景</x:v>
      </x:c>
      <x:c r="D23" s="10" t="str">
        <x:v>Bear</x:v>
      </x:c>
      <x:c r="E23" s="10" t="str">
        <x:v>Base</x:v>
      </x:c>
      <x:c r="F23" s="10" t="str">
        <x:v>Bull</x:v>
      </x:c>
      <x:c r="G23" s="11" t="str">
        <x:v>单位</x:v>
      </x:c>
    </x:row>
    <x:row r="24">
      <x:c r="C24" s="15" t="str">
        <x:v>正常化P/E</x:v>
      </x:c>
      <x:c r="D24" s="64" t="n">
        <x:v>6</x:v>
      </x:c>
      <x:c r="E24" s="64" t="n">
        <x:v>8</x:v>
      </x:c>
      <x:c r="F24" s="64" t="n">
        <x:v>10</x:v>
      </x:c>
      <x:c r="G24" s="15" t="str">
        <x:v>x</x:v>
      </x:c>
    </x:row>
    <x:row r="25">
      <x:c r="C25" s="16" t="str">
        <x:v>派息率</x:v>
      </x:c>
      <x:c r="D25" s="65" t="n">
        <x:v>0.4</x:v>
      </x:c>
      <x:c r="E25" s="65" t="n">
        <x:v>0.45</x:v>
      </x:c>
      <x:c r="F25" s="65" t="n">
        <x:v>0.5</x:v>
      </x:c>
      <x:c r="G25" s="16" t="str">
        <x:v>%</x:v>
      </x:c>
    </x:row>
    <x:row r="26">
      <x:c r="C26" s="17" t="str">
        <x:v>要求股息率</x:v>
      </x:c>
      <x:c r="D26" s="60" t="n">
        <x:v>0.075</x:v>
      </x:c>
      <x:c r="E26" s="60" t="n">
        <x:v>0.06</x:v>
      </x:c>
      <x:c r="F26" s="60" t="n">
        <x:v>0.05</x:v>
      </x:c>
      <x:c r="G26" s="17" t="str">
        <x:v>%</x:v>
      </x:c>
    </x:row>
  </x:sheetData>
  <x:mergeCells>
    <x:mergeCell ref="C2:F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8" hidden="0" customWidth="1"/>
    <x:col min="4" max="4" width="18" hidden="0" customWidth="1"/>
    <x:col min="5" max="5" width="18" hidden="0" customWidth="1"/>
    <x:col min="6" max="6" width="18" hidden="0" customWidth="1"/>
    <x:col min="7" max="7" width="18" hidden="0" customWidth="1"/>
  </x:cols>
  <x:sheetData>
    <x:row r="2">
      <x:c r="C2" s="2" t="str">
        <x:v>情景预测</x:v>
      </x:c>
      <x:c r="D2" s="2"/>
      <x:c r="E2" s="2"/>
      <x:c r="F2" s="2"/>
      <x:c r="G2" s="2"/>
    </x:row>
    <x:row r="3">
      <x:c r="C3" s="3" t="str">
        <x:v>收入从2025A滚动；归母净利润由收入×净利率计算</x:v>
      </x:c>
      <x:c r="D3" s="3"/>
      <x:c r="E3" s="3"/>
      <x:c r="F3" s="3"/>
      <x:c r="G3" s="3"/>
    </x:row>
    <x:row r="6">
      <x:c r="C6" s="9" t="str">
        <x:v>情景/指标</x:v>
      </x:c>
      <x:c r="D6" s="10" t="str">
        <x:v>2025A</x:v>
      </x:c>
      <x:c r="E6" s="10" t="str">
        <x:v>2026E</x:v>
      </x:c>
      <x:c r="F6" s="10" t="str">
        <x:v>2027E</x:v>
      </x:c>
      <x:c r="G6" s="11" t="str">
        <x:v>2028E</x:v>
      </x:c>
    </x:row>
    <x:row r="8">
      <x:c r="C8" s="54" t="str">
        <x:v>Bear</x:v>
      </x:c>
      <x:c r="D8" s="54"/>
      <x:c r="E8" s="54"/>
      <x:c r="F8" s="54"/>
      <x:c r="G8" s="54"/>
    </x:row>
    <x:row r="9">
      <x:c r="C9" s="15" t="str">
        <x:v>收入</x:v>
      </x:c>
      <x:c r="D9" s="29" t="n">
        <x:f>'Historical'!G7</x:f>
        <x:v>14.959871</x:v>
      </x:c>
      <x:c r="E9" s="29" t="n">
        <x:f>D9*(1+'Assumptions'!D9)</x:f>
        <x:v>15.109469709999999</x:v>
      </x:c>
      <x:c r="F9" s="29" t="n">
        <x:f>E9*(1+'Assumptions'!E9)</x:f>
        <x:v>15.260564407099999</x:v>
      </x:c>
      <x:c r="G9" s="29" t="n">
        <x:f>F9*(1+'Assumptions'!F9)</x:f>
        <x:v>15.565775695242</x:v>
      </x:c>
    </x:row>
    <x:row r="10">
      <x:c r="C10" s="16" t="str">
        <x:v>归母净利润</x:v>
      </x:c>
      <x:c r="D10" s="30" t="n">
        <x:f>'Historical'!G10</x:f>
        <x:v>1.366779</x:v>
      </x:c>
      <x:c r="E10" s="30" t="n">
        <x:f>E9*'Assumptions'!D10</x:f>
        <x:v>1.28430492535</x:v>
      </x:c>
      <x:c r="F10" s="30" t="n">
        <x:f>F9*'Assumptions'!E10</x:f>
        <x:v>1.220845152568</x:v>
      </x:c>
      <x:c r="G10" s="30" t="n">
        <x:f>G9*'Assumptions'!F10</x:f>
        <x:v>1.2452620556193599</x:v>
      </x:c>
    </x:row>
    <x:row r="11">
      <x:c r="C11" s="17" t="str">
        <x:v>EPS</x:v>
      </x:c>
      <x:c r="D11" s="71" t="n">
        <x:f>D10/'Valuation'!$D$6</x:f>
        <x:v>0.4160084128249925</x:v>
      </x:c>
      <x:c r="E11" s="71" t="n">
        <x:f>E10/'Valuation'!$D$6</x:f>
        <x:v>0.3909056647623164</x:v>
      </x:c>
      <x:c r="F11" s="71" t="n">
        <x:f>F10/'Valuation'!$D$6</x:f>
        <x:v>0.3715903260328843</x:v>
      </x:c>
      <x:c r="G11" s="71" t="n">
        <x:f>G10/'Valuation'!$D$6</x:f>
        <x:v>0.37902213255354195</x:v>
      </x:c>
    </x:row>
    <x:row r="13">
      <x:c r="C13" s="54" t="str">
        <x:v>Base</x:v>
      </x:c>
      <x:c r="D13" s="54"/>
      <x:c r="E13" s="54"/>
      <x:c r="F13" s="54"/>
      <x:c r="G13" s="54"/>
    </x:row>
    <x:row r="14">
      <x:c r="C14" s="15" t="str">
        <x:v>收入</x:v>
      </x:c>
      <x:c r="D14" s="29" t="n">
        <x:f>'Historical'!G7</x:f>
        <x:v>14.959871</x:v>
      </x:c>
      <x:c r="E14" s="29" t="n">
        <x:f>D14*(1+'Assumptions'!D14)</x:f>
        <x:v>15.55826584</x:v>
      </x:c>
      <x:c r="F14" s="29" t="n">
        <x:f>E14*(1+'Assumptions'!E14)</x:f>
        <x:v>16.336179132</x:v>
      </x:c>
      <x:c r="G14" s="29" t="n">
        <x:f>F14*(1+'Assumptions'!F14)</x:f>
        <x:v>17.1529880886</x:v>
      </x:c>
    </x:row>
    <x:row r="15">
      <x:c r="C15" s="16" t="str">
        <x:v>归母净利润</x:v>
      </x:c>
      <x:c r="D15" s="30" t="n">
        <x:f>'Historical'!G10</x:f>
        <x:v>1.366779</x:v>
      </x:c>
      <x:c r="E15" s="30" t="n">
        <x:f>E14*'Assumptions'!D15</x:f>
        <x:v>1.43136045728</x:v>
      </x:c>
      <x:c r="F15" s="30" t="n">
        <x:f>F14*'Assumptions'!E15</x:f>
        <x:v>1.5519370175400002</x:v>
      </x:c>
      <x:c r="G15" s="30" t="n">
        <x:f>G14*'Assumptions'!F15</x:f>
        <x:v>1.6638398445942002</x:v>
      </x:c>
    </x:row>
    <x:row r="16">
      <x:c r="C16" s="17" t="str">
        <x:v>EPS</x:v>
      </x:c>
      <x:c r="D16" s="71" t="n">
        <x:f>D15/'Valuation'!$D$6</x:f>
        <x:v>0.4160084128249925</x:v>
      </x:c>
      <x:c r="E16" s="71" t="n">
        <x:f>E15/'Valuation'!$D$6</x:f>
        <x:v>0.43566516021500795</x:v>
      </x:c>
      <x:c r="F16" s="71" t="n">
        <x:f>F15/'Valuation'!$D$6</x:f>
        <x:v>0.47236521447225055</x:v>
      </x:c>
      <x:c r="G16" s="71" t="n">
        <x:f>G15/'Valuation'!$D$6</x:f>
        <x:v>0.5064252325684075</x:v>
      </x:c>
    </x:row>
    <x:row r="18">
      <x:c r="C18" s="54" t="str">
        <x:v>Bull</x:v>
      </x:c>
      <x:c r="D18" s="54"/>
      <x:c r="E18" s="54"/>
      <x:c r="F18" s="54"/>
      <x:c r="G18" s="54"/>
    </x:row>
    <x:row r="19">
      <x:c r="C19" s="15" t="str">
        <x:v>收入</x:v>
      </x:c>
      <x:c r="D19" s="29" t="n">
        <x:f>'Historical'!G7</x:f>
        <x:v>14.959871</x:v>
      </x:c>
      <x:c r="E19" s="29" t="n">
        <x:f>D19*(1+'Assumptions'!D19)</x:f>
        <x:v>15.857463260000001</x:v>
      </x:c>
      <x:c r="F19" s="29" t="n">
        <x:f>E19*(1+'Assumptions'!E19)</x:f>
        <x:v>17.1260603208</x:v>
      </x:c>
      <x:c r="G19" s="29" t="n">
        <x:f>F19*(1+'Assumptions'!F19)</x:f>
        <x:v>18.496145146464002</x:v>
      </x:c>
    </x:row>
    <x:row r="20">
      <x:c r="C20" s="16" t="str">
        <x:v>归母净利润</x:v>
      </x:c>
      <x:c r="D20" s="30" t="n">
        <x:f>'Historical'!G10</x:f>
        <x:v>1.366779</x:v>
      </x:c>
      <x:c r="E20" s="30" t="n">
        <x:f>E19*'Assumptions'!D20</x:f>
        <x:v>1.5064590097000001</x:v>
      </x:c>
      <x:c r="F20" s="30" t="n">
        <x:f>F19*'Assumptions'!E20</x:f>
        <x:v>1.7468581527216</x:v>
      </x:c>
      <x:c r="G20" s="30" t="n">
        <x:f>G19*'Assumptions'!F20</x:f>
        <x:v>1.9420952403787202</x:v>
      </x:c>
    </x:row>
    <x:row r="21">
      <x:c r="C21" s="17" t="str">
        <x:v>EPS</x:v>
      </x:c>
      <x:c r="D21" s="71" t="n">
        <x:f>D20/'Valuation'!$D$6</x:f>
        <x:v>0.4160084128249925</x:v>
      </x:c>
      <x:c r="E21" s="71" t="n">
        <x:f>E20/'Valuation'!$D$6</x:f>
        <x:v>0.4585230103851516</x:v>
      </x:c>
      <x:c r="F21" s="71" t="n">
        <x:f>F20/'Valuation'!$D$6</x:f>
        <x:v>0.5316936297266136</x:v>
      </x:c>
      <x:c r="G21" s="71" t="n">
        <x:f>G20/'Valuation'!$D$6</x:f>
        <x:v>0.5911182118725293</x:v>
      </x:c>
    </x:row>
  </x:sheetData>
  <x:mergeCells>
    <x:mergeCell ref="C2:G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4"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s>
  <x:sheetData>
    <x:row r="2">
      <x:c r="C2" s="2" t="str">
        <x:v>70%正常化P/E + 30%股息资本化</x:v>
      </x:c>
      <x:c r="D2" s="2"/>
      <x:c r="E2" s="2"/>
      <x:c r="F2" s="2"/>
      <x:c r="G2" s="2"/>
      <x:c r="H2" s="2"/>
      <x:c r="I2" s="2"/>
    </x:row>
    <x:row r="3">
      <x:c r="C3" s="3" t="str">
        <x:v>使用2027E正常化EPS；汇率按2026-09-04固定，情景价值不是目标价承诺</x:v>
      </x:c>
      <x:c r="D3" s="3"/>
      <x:c r="E3" s="3"/>
      <x:c r="F3" s="3"/>
      <x:c r="G3" s="3"/>
      <x:c r="H3" s="3"/>
      <x:c r="I3" s="3"/>
    </x:row>
    <x:row r="4">
      <x:c r="C4" s="15" t="str">
        <x:v>市场输入</x:v>
      </x:c>
      <x:c r="D4" s="15" t="str">
        <x:v>数值</x:v>
      </x:c>
    </x:row>
    <x:row r="5">
      <x:c r="C5" s="16" t="str">
        <x:v>价格</x:v>
      </x:c>
      <x:c r="D5" s="72" t="n">
        <x:v>3.575</x:v>
      </x:c>
    </x:row>
    <x:row r="6">
      <x:c r="C6" s="16" t="str">
        <x:v>总股数</x:v>
      </x:c>
      <x:c r="D6" s="73" t="n">
        <x:v>3.28546</x:v>
      </x:c>
    </x:row>
    <x:row r="7">
      <x:c r="C7" s="17" t="str">
        <x:v>人民币兑港元</x:v>
      </x:c>
      <x:c r="D7" s="74" t="n">
        <x:v>1.1684</x:v>
      </x:c>
    </x:row>
    <x:row r="8">
      <x:c r="C8" s="9" t="str">
        <x:v>情景</x:v>
      </x:c>
      <x:c r="D8" s="10" t="str">
        <x:v>2027E EPS</x:v>
      </x:c>
      <x:c r="E8" s="10" t="str">
        <x:v>P/E</x:v>
      </x:c>
      <x:c r="F8" s="10" t="str">
        <x:v>P/E价值</x:v>
      </x:c>
      <x:c r="G8" s="10" t="str">
        <x:v>派息率</x:v>
      </x:c>
      <x:c r="H8" s="10" t="str">
        <x:v>加权/总价值</x:v>
      </x:c>
      <x:c r="I8" s="11" t="str">
        <x:v>相对现价</x:v>
      </x:c>
    </x:row>
    <x:row r="9">
      <x:c r="C9" s="15" t="str">
        <x:v>Bear</x:v>
      </x:c>
      <x:c r="D9" s="94" t="n">
        <x:f>'Forecast'!F11</x:f>
        <x:v>0.3715903260328843</x:v>
      </x:c>
      <x:c r="E9" s="95" t="n">
        <x:f>'Assumptions'!D24</x:f>
        <x:v>6</x:v>
      </x:c>
      <x:c r="F9" s="96" t="n">
        <x:f>D9*E9*$D$7</x:f>
        <x:v>2.604996821620932</x:v>
      </x:c>
      <x:c r="G9" s="33" t="n">
        <x:f>'Assumptions'!D25</x:f>
        <x:v>0.4</x:v>
      </x:c>
      <x:c r="H9" s="96" t="n">
        <x:f>F9*70%+(D9*G9*$D$7/'Assumptions'!D26)*30%</x:f>
        <x:v>2.5181635942335676</x:v>
      </x:c>
      <x:c r="I9" s="33" t="n">
        <x:f>H9/$D$5-1</x:f>
        <x:v>-0.29561857503956157</x:v>
      </x:c>
    </x:row>
    <x:row r="10">
      <x:c r="C10" s="45" t="str">
        <x:v>Base</x:v>
      </x:c>
      <x:c r="D10" s="97" t="n">
        <x:f>'Forecast'!F16</x:f>
        <x:v>0.47236521447225055</x:v>
      </x:c>
      <x:c r="E10" s="98" t="n">
        <x:f>'Assumptions'!E24</x:f>
        <x:v>8</x:v>
      </x:c>
      <x:c r="F10" s="99" t="n">
        <x:f>D10*E10*$D$7</x:f>
        <x:v>4.41529213271502</x:v>
      </x:c>
      <x:c r="G10" s="47" t="n">
        <x:f>'Assumptions'!E25</x:f>
        <x:v>0.45</x:v>
      </x:c>
      <x:c r="H10" s="99" t="n">
        <x:f>F10*70%+(D10*G10*$D$7/'Assumptions'!E26)*30%</x:f>
        <x:v>4.332505405226613</x:v>
      </x:c>
      <x:c r="I10" s="47" t="n">
        <x:f>H10/$D$5-1</x:f>
        <x:v>0.21188962383961218</x:v>
      </x:c>
    </x:row>
    <x:row r="11">
      <x:c r="C11" s="17" t="str">
        <x:v>Bull</x:v>
      </x:c>
      <x:c r="D11" s="71" t="n">
        <x:f>'Forecast'!F21</x:f>
        <x:v>0.5316936297266136</x:v>
      </x:c>
      <x:c r="E11" s="100" t="n">
        <x:f>'Assumptions'!F24</x:f>
        <x:v>10</x:v>
      </x:c>
      <x:c r="F11" s="101" t="n">
        <x:f>D11*E11*$D$7</x:f>
        <x:v>6.212308369725754</x:v>
      </x:c>
      <x:c r="G11" s="34" t="n">
        <x:f>'Assumptions'!F25</x:f>
        <x:v>0.5</x:v>
      </x:c>
      <x:c r="H11" s="101" t="n">
        <x:f>F11*70%+(D11*G11*$D$7/'Assumptions'!F26)*30%</x:f>
        <x:v>6.212308369725754</x:v>
      </x:c>
      <x:c r="I11" s="34" t="n">
        <x:f>H11/$D$5-1</x:f>
        <x:v>0.7377086348883228</x:v>
      </x:c>
    </x:row>
    <x:row r="14">
      <x:c r="C14" s="9" t="str">
        <x:v>估值限制</x:v>
      </x:c>
      <x:c r="D14" s="10"/>
      <x:c r="E14" s="10"/>
      <x:c r="F14" s="10"/>
      <x:c r="G14" s="10"/>
      <x:c r="H14" s="10"/>
      <x:c r="I14" s="11"/>
    </x:row>
    <x:row r="15">
      <x:c r="C15" s="28" t="str">
        <x:v>股息资本化只是交叉验证。应收款上升、H1经营现金流转负和基础物管毛利率下降意味着当前派息未必代表可持续现金创造；模型以70% P/E和30%股息价值加权。</x:v>
      </x:c>
      <x:c r="D15" s="28" t="str">
        <x:v>股息资本化只是交叉验证。应收款上升、H1经营现金流转负和基础物管毛利率下降意味着当前派息未必代表可持续现金创造；模型以70% P/E和30%股息价值加权。</x:v>
      </x:c>
      <x:c r="E15" s="28" t="str">
        <x:v>股息资本化只是交叉验证。应收款上升、H1经营现金流转负和基础物管毛利率下降意味着当前派息未必代表可持续现金创造；模型以70% P/E和30%股息价值加权。</x:v>
      </x:c>
      <x:c r="F15" s="28" t="str">
        <x:v>股息资本化只是交叉验证。应收款上升、H1经营现金流转负和基础物管毛利率下降意味着当前派息未必代表可持续现金创造；模型以70% P/E和30%股息价值加权。</x:v>
      </x:c>
      <x:c r="G15" s="28" t="str">
        <x:v>股息资本化只是交叉验证。应收款上升、H1经营现金流转负和基础物管毛利率下降意味着当前派息未必代表可持续现金创造；模型以70% P/E和30%股息价值加权。</x:v>
      </x:c>
      <x:c r="H15" s="28" t="str">
        <x:v>股息资本化只是交叉验证。应收款上升、H1经营现金流转负和基础物管毛利率下降意味着当前派息未必代表可持续现金创造；模型以70% P/E和30%股息价值加权。</x:v>
      </x:c>
      <x:c r="I15" s="28" t="str">
        <x:v>股息资本化只是交叉验证。应收款上升、H1经营现金流转负和基础物管毛利率下降意味着当前派息未必代表可持续现金创造；模型以70% P/E和30%股息价值加权。</x:v>
      </x:c>
    </x:row>
    <x:row r="16">
      <x:c r="C16" s="28" t="str">
        <x:v>股息资本化只是交叉验证。应收款上升、H1经营现金流转负和基础物管毛利率下降意味着当前派息未必代表可持续现金创造；模型以70% P/E和30%股息价值加权。</x:v>
      </x:c>
      <x:c r="D16" s="28" t="str">
        <x:v>股息资本化只是交叉验证。应收款上升、H1经营现金流转负和基础物管毛利率下降意味着当前派息未必代表可持续现金创造；模型以70% P/E和30%股息价值加权。</x:v>
      </x:c>
      <x:c r="E16" s="28" t="str">
        <x:v>股息资本化只是交叉验证。应收款上升、H1经营现金流转负和基础物管毛利率下降意味着当前派息未必代表可持续现金创造；模型以70% P/E和30%股息价值加权。</x:v>
      </x:c>
      <x:c r="F16" s="28" t="str">
        <x:v>股息资本化只是交叉验证。应收款上升、H1经营现金流转负和基础物管毛利率下降意味着当前派息未必代表可持续现金创造；模型以70% P/E和30%股息价值加权。</x:v>
      </x:c>
      <x:c r="G16" s="28" t="str">
        <x:v>股息资本化只是交叉验证。应收款上升、H1经营现金流转负和基础物管毛利率下降意味着当前派息未必代表可持续现金创造；模型以70% P/E和30%股息价值加权。</x:v>
      </x:c>
      <x:c r="H16" s="28" t="str">
        <x:v>股息资本化只是交叉验证。应收款上升、H1经营现金流转负和基础物管毛利率下降意味着当前派息未必代表可持续现金创造；模型以70% P/E和30%股息价值加权。</x:v>
      </x:c>
      <x:c r="I16" s="28" t="str">
        <x:v>股息资本化只是交叉验证。应收款上升、H1经营现金流转负和基础物管毛利率下降意味着当前派息未必代表可持续现金创造；模型以70% P/E和30%股息价值加权。</x:v>
      </x:c>
    </x:row>
    <x:row r="17">
      <x:c r="C17" s="28" t="str">
        <x:v>股息资本化只是交叉验证。应收款上升、H1经营现金流转负和基础物管毛利率下降意味着当前派息未必代表可持续现金创造；模型以70% P/E和30%股息价值加权。</x:v>
      </x:c>
      <x:c r="D17" s="28" t="str">
        <x:v>股息资本化只是交叉验证。应收款上升、H1经营现金流转负和基础物管毛利率下降意味着当前派息未必代表可持续现金创造；模型以70% P/E和30%股息价值加权。</x:v>
      </x:c>
      <x:c r="E17" s="28" t="str">
        <x:v>股息资本化只是交叉验证。应收款上升、H1经营现金流转负和基础物管毛利率下降意味着当前派息未必代表可持续现金创造；模型以70% P/E和30%股息价值加权。</x:v>
      </x:c>
      <x:c r="F17" s="28" t="str">
        <x:v>股息资本化只是交叉验证。应收款上升、H1经营现金流转负和基础物管毛利率下降意味着当前派息未必代表可持续现金创造；模型以70% P/E和30%股息价值加权。</x:v>
      </x:c>
      <x:c r="G17" s="28" t="str">
        <x:v>股息资本化只是交叉验证。应收款上升、H1经营现金流转负和基础物管毛利率下降意味着当前派息未必代表可持续现金创造；模型以70% P/E和30%股息价值加权。</x:v>
      </x:c>
      <x:c r="H17" s="28" t="str">
        <x:v>股息资本化只是交叉验证。应收款上升、H1经营现金流转负和基础物管毛利率下降意味着当前派息未必代表可持续现金创造；模型以70% P/E和30%股息价值加权。</x:v>
      </x:c>
      <x:c r="I17" s="28" t="str">
        <x:v>股息资本化只是交叉验证。应收款上升、H1经营现金流转负和基础物管毛利率下降意味着当前派息未必代表可持续现金创造；模型以70% P/E和30%股息价值加权。</x:v>
      </x:c>
    </x:row>
    <x:row r="18">
      <x:c r="C18" s="28" t="str">
        <x:v>股息资本化只是交叉验证。应收款上升、H1经营现金流转负和基础物管毛利率下降意味着当前派息未必代表可持续现金创造；模型以70% P/E和30%股息价值加权。</x:v>
      </x:c>
      <x:c r="D18" s="28" t="str">
        <x:v>股息资本化只是交叉验证。应收款上升、H1经营现金流转负和基础物管毛利率下降意味着当前派息未必代表可持续现金创造；模型以70% P/E和30%股息价值加权。</x:v>
      </x:c>
      <x:c r="E18" s="28" t="str">
        <x:v>股息资本化只是交叉验证。应收款上升、H1经营现金流转负和基础物管毛利率下降意味着当前派息未必代表可持续现金创造；模型以70% P/E和30%股息价值加权。</x:v>
      </x:c>
      <x:c r="F18" s="28" t="str">
        <x:v>股息资本化只是交叉验证。应收款上升、H1经营现金流转负和基础物管毛利率下降意味着当前派息未必代表可持续现金创造；模型以70% P/E和30%股息价值加权。</x:v>
      </x:c>
      <x:c r="G18" s="28" t="str">
        <x:v>股息资本化只是交叉验证。应收款上升、H1经营现金流转负和基础物管毛利率下降意味着当前派息未必代表可持续现金创造；模型以70% P/E和30%股息价值加权。</x:v>
      </x:c>
      <x:c r="H18" s="28" t="str">
        <x:v>股息资本化只是交叉验证。应收款上升、H1经营现金流转负和基础物管毛利率下降意味着当前派息未必代表可持续现金创造；模型以70% P/E和30%股息价值加权。</x:v>
      </x:c>
      <x:c r="I18" s="28" t="str">
        <x:v>股息资本化只是交叉验证。应收款上升、H1经营现金流转负和基础物管毛利率下降意味着当前派息未必代表可持续现金创造；模型以70% P/E和30%股息价值加权。</x:v>
      </x:c>
    </x:row>
    <x:row r="19">
      <x:c r="C19" s="28" t="str">
        <x:v>股息资本化只是交叉验证。应收款上升、H1经营现金流转负和基础物管毛利率下降意味着当前派息未必代表可持续现金创造；模型以70% P/E和30%股息价值加权。</x:v>
      </x:c>
      <x:c r="D19" s="28" t="str">
        <x:v>股息资本化只是交叉验证。应收款上升、H1经营现金流转负和基础物管毛利率下降意味着当前派息未必代表可持续现金创造；模型以70% P/E和30%股息价值加权。</x:v>
      </x:c>
      <x:c r="E19" s="28" t="str">
        <x:v>股息资本化只是交叉验证。应收款上升、H1经营现金流转负和基础物管毛利率下降意味着当前派息未必代表可持续现金创造；模型以70% P/E和30%股息价值加权。</x:v>
      </x:c>
      <x:c r="F19" s="28" t="str">
        <x:v>股息资本化只是交叉验证。应收款上升、H1经营现金流转负和基础物管毛利率下降意味着当前派息未必代表可持续现金创造；模型以70% P/E和30%股息价值加权。</x:v>
      </x:c>
      <x:c r="G19" s="28" t="str">
        <x:v>股息资本化只是交叉验证。应收款上升、H1经营现金流转负和基础物管毛利率下降意味着当前派息未必代表可持续现金创造；模型以70% P/E和30%股息价值加权。</x:v>
      </x:c>
      <x:c r="H19" s="28" t="str">
        <x:v>股息资本化只是交叉验证。应收款上升、H1经营现金流转负和基础物管毛利率下降意味着当前派息未必代表可持续现金创造；模型以70% P/E和30%股息价值加权。</x:v>
      </x:c>
      <x:c r="I19" s="28" t="str">
        <x:v>股息资本化只是交叉验证。应收款上升、H1经营现金流转负和基础物管毛利率下降意味着当前派息未必代表可持续现金创造；模型以70% P/E和30%股息价值加权。</x:v>
      </x:c>
    </x:row>
    <x:row r="20">
      <x:c r="C20" s="28" t="str">
        <x:v>股息资本化只是交叉验证。应收款上升、H1经营现金流转负和基础物管毛利率下降意味着当前派息未必代表可持续现金创造；模型以70% P/E和30%股息价值加权。</x:v>
      </x:c>
      <x:c r="D20" s="28" t="str">
        <x:v>股息资本化只是交叉验证。应收款上升、H1经营现金流转负和基础物管毛利率下降意味着当前派息未必代表可持续现金创造；模型以70% P/E和30%股息价值加权。</x:v>
      </x:c>
      <x:c r="E20" s="28" t="str">
        <x:v>股息资本化只是交叉验证。应收款上升、H1经营现金流转负和基础物管毛利率下降意味着当前派息未必代表可持续现金创造；模型以70% P/E和30%股息价值加权。</x:v>
      </x:c>
      <x:c r="F20" s="28" t="str">
        <x:v>股息资本化只是交叉验证。应收款上升、H1经营现金流转负和基础物管毛利率下降意味着当前派息未必代表可持续现金创造；模型以70% P/E和30%股息价值加权。</x:v>
      </x:c>
      <x:c r="G20" s="28" t="str">
        <x:v>股息资本化只是交叉验证。应收款上升、H1经营现金流转负和基础物管毛利率下降意味着当前派息未必代表可持续现金创造；模型以70% P/E和30%股息价值加权。</x:v>
      </x:c>
      <x:c r="H20" s="28" t="str">
        <x:v>股息资本化只是交叉验证。应收款上升、H1经营现金流转负和基础物管毛利率下降意味着当前派息未必代表可持续现金创造；模型以70% P/E和30%股息价值加权。</x:v>
      </x:c>
      <x:c r="I20" s="28" t="str">
        <x:v>股息资本化只是交叉验证。应收款上升、H1经营现金流转负和基础物管毛利率下降意味着当前派息未必代表可持续现金创造；模型以70% P/E和30%股息价值加权。</x:v>
      </x:c>
    </x:row>
  </x:sheetData>
  <x:mergeCells>
    <x:mergeCell ref="C2:I2"/>
    <x:mergeCell ref="C15:I2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8"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s>
  <x:sheetData>
    <x:row r="2">
      <x:c r="C2" s="2" t="str">
        <x:v>模型检查</x:v>
      </x:c>
      <x:c r="D2" s="2"/>
      <x:c r="E2" s="2"/>
      <x:c r="F2" s="2"/>
      <x:c r="G2" s="2"/>
      <x:c r="H2" s="2"/>
      <x:c r="I2" s="2"/>
    </x:row>
    <x:row r="4">
      <x:c r="C4" s="9" t="str">
        <x:v>检查项</x:v>
      </x:c>
      <x:c r="D4" s="10" t="str">
        <x:v>实际</x:v>
      </x:c>
      <x:c r="E4" s="10" t="str">
        <x:v>预期/阈值</x:v>
      </x:c>
      <x:c r="F4" s="10" t="str">
        <x:v>差异</x:v>
      </x:c>
      <x:c r="G4" s="10" t="str">
        <x:v>容差</x:v>
      </x:c>
      <x:c r="H4" s="10" t="str">
        <x:v>状态</x:v>
      </x:c>
      <x:c r="I4" s="11" t="str">
        <x:v>说明</x:v>
      </x:c>
    </x:row>
    <x:row r="5">
      <x:c r="C5" s="15" t="str">
        <x:v>市值桥</x:v>
      </x:c>
      <x:c r="D5" s="15" t="n">
        <x:f>'Valuation'!D5*'Valuation'!D6</x:f>
        <x:v>11.7455195</x:v>
      </x:c>
      <x:c r="E5" s="15" t="n">
        <x:f>'Valuation'!D5*'Valuation'!D6</x:f>
        <x:v>11.7455195</x:v>
      </x:c>
      <x:c r="F5" s="15" t="n">
        <x:f>D5-E5</x:f>
        <x:v>0</x:v>
      </x:c>
      <x:c r="G5" s="15" t="n">
        <x:f>0.0001</x:f>
        <x:v>0.0001</x:v>
      </x:c>
      <x:c r="H5" s="15" t="str">
        <x:f>IF(ABS(F5)&lt;=G5,"OK","FAIL")</x:f>
        <x:v>OK</x:v>
      </x:c>
      <x:c r="I5" s="15" t="str">
        <x:v>价格×股数</x:v>
      </x:c>
    </x:row>
    <x:row r="6">
      <x:c r="C6" s="16" t="str">
        <x:v>净现金桥</x:v>
      </x:c>
      <x:c r="D6" s="16" t="n">
        <x:f>'Balance &amp; Cash'!D13</x:f>
        <x:v>5.606809</x:v>
      </x:c>
      <x:c r="E6" s="16" t="n">
        <x:f>'Balance &amp; Cash'!D10-'Balance &amp; Cash'!D11-'Balance &amp; Cash'!D12</x:f>
        <x:v>5.606809</x:v>
      </x:c>
      <x:c r="F6" s="16" t="n">
        <x:f>D6-E6</x:f>
        <x:v>0</x:v>
      </x:c>
      <x:c r="G6" s="16" t="n">
        <x:f>0.0001</x:f>
        <x:v>0.0001</x:v>
      </x:c>
      <x:c r="H6" s="16" t="str">
        <x:f>IF(ABS(F6)&lt;=G6,"OK","FAIL")</x:f>
        <x:v>OK</x:v>
      </x:c>
      <x:c r="I6" s="16" t="str">
        <x:v>现金-债务-租赁</x:v>
      </x:c>
    </x:row>
    <x:row r="7">
      <x:c r="C7" s="16" t="str">
        <x:v>2025自由现金流桥</x:v>
      </x:c>
      <x:c r="D7" s="16" t="n">
        <x:f>'Historical'!G14</x:f>
        <x:v>1.033225</x:v>
      </x:c>
      <x:c r="E7" s="16" t="n">
        <x:f>'Historical'!G12-'Historical'!G13</x:f>
        <x:v>1.033225</x:v>
      </x:c>
      <x:c r="F7" s="16" t="n">
        <x:f>D7-E7</x:f>
        <x:v>0</x:v>
      </x:c>
      <x:c r="G7" s="16" t="n">
        <x:f>0.0001</x:f>
        <x:v>0.0001</x:v>
      </x:c>
      <x:c r="H7" s="16" t="str">
        <x:f>IF(ABS(F7)&lt;=G7,"OK","FAIL")</x:f>
        <x:v>OK</x:v>
      </x:c>
      <x:c r="I7" s="16" t="str">
        <x:v>CFO-资本开支</x:v>
      </x:c>
    </x:row>
    <x:row r="8">
      <x:c r="C8" s="16" t="str">
        <x:v>Base收入滚动</x:v>
      </x:c>
      <x:c r="D8" s="16" t="n">
        <x:f>'Forecast'!F14</x:f>
        <x:v>16.336179132</x:v>
      </x:c>
      <x:c r="E8" s="16" t="n">
        <x:f>'Forecast'!E14*(1+'Assumptions'!E14)</x:f>
        <x:v>16.336179132</x:v>
      </x:c>
      <x:c r="F8" s="16" t="n">
        <x:f>D8-E8</x:f>
        <x:v>0</x:v>
      </x:c>
      <x:c r="G8" s="16" t="n">
        <x:f>0.0001</x:f>
        <x:v>0.0001</x:v>
      </x:c>
      <x:c r="H8" s="16" t="str">
        <x:f>IF(ABS(F8)&lt;=G8,"OK","FAIL")</x:f>
        <x:v>OK</x:v>
      </x:c>
      <x:c r="I8" s="16" t="str">
        <x:v>2026E到2027E</x:v>
      </x:c>
    </x:row>
    <x:row r="9">
      <x:c r="C9" s="16" t="str">
        <x:v>Base利润率</x:v>
      </x:c>
      <x:c r="D9" s="16" t="n">
        <x:f>'Forecast'!F15/'Forecast'!F14</x:f>
        <x:v>0.095</x:v>
      </x:c>
      <x:c r="E9" s="16" t="n">
        <x:f>'Assumptions'!E15</x:f>
        <x:v>0.095</x:v>
      </x:c>
      <x:c r="F9" s="16" t="n">
        <x:f>D9-E9</x:f>
        <x:v>0</x:v>
      </x:c>
      <x:c r="G9" s="16" t="n">
        <x:f>0.0001</x:f>
        <x:v>0.0001</x:v>
      </x:c>
      <x:c r="H9" s="16" t="str">
        <x:f>IF(ABS(F9)&lt;=G9,"OK","FAIL")</x:f>
        <x:v>OK</x:v>
      </x:c>
      <x:c r="I9" s="16" t="str">
        <x:v>利润/收入</x:v>
      </x:c>
    </x:row>
    <x:row r="10">
      <x:c r="C10" s="16" t="str">
        <x:v>Base估值公式</x:v>
      </x:c>
      <x:c r="D10" s="16" t="n">
        <x:f>'Valuation'!H10</x:f>
        <x:v>4.332505405226613</x:v>
      </x:c>
      <x:c r="E10" s="16" t="n">
        <x:f>'Valuation'!F10*70%+('Valuation'!D10*'Valuation'!G10*'Valuation'!$D$7/'Assumptions'!E26)*30%</x:f>
        <x:v>4.332505405226613</x:v>
      </x:c>
      <x:c r="F10" s="16" t="n">
        <x:f>D10-E10</x:f>
        <x:v>0</x:v>
      </x:c>
      <x:c r="G10" s="16" t="n">
        <x:f>0.0001</x:f>
        <x:v>0.0001</x:v>
      </x:c>
      <x:c r="H10" s="16" t="str">
        <x:f>IF(ABS(F10)&lt;=G10,"OK","FAIL")</x:f>
        <x:v>OK</x:v>
      </x:c>
      <x:c r="I10" s="16" t="str">
        <x:v>情景公式</x:v>
      </x:c>
    </x:row>
    <x:row r="11">
      <x:c r="C11" s="16" t="str">
        <x:v>情景EPS递增</x:v>
      </x:c>
      <x:c r="D11" s="16" t="n">
        <x:f>'Forecast'!F21-'Forecast'!F11</x:f>
        <x:v>0.16010330369372933</x:v>
      </x:c>
      <x:c r="E11" s="16" t="n">
        <x:f>0</x:f>
        <x:v>0</x:v>
      </x:c>
      <x:c r="F11" s="16" t="n">
        <x:f>D11-E11</x:f>
        <x:v>0.16010330369372933</x:v>
      </x:c>
      <x:c r="G11" s="16" t="n">
        <x:f>0</x:f>
        <x:v>0</x:v>
      </x:c>
      <x:c r="H11" s="16" t="str">
        <x:f>IF(D11&gt;E11,"OK","FAIL")</x:f>
        <x:v>OK</x:v>
      </x:c>
      <x:c r="I11" s="16" t="str">
        <x:v>Bull高于Bear</x:v>
      </x:c>
    </x:row>
    <x:row r="12">
      <x:c r="C12" s="17" t="str">
        <x:v>情景价值递增</x:v>
      </x:c>
      <x:c r="D12" s="17" t="n">
        <x:f>'Valuation'!H11-'Valuation'!H9</x:f>
        <x:v>3.6941447754921866</x:v>
      </x:c>
      <x:c r="E12" s="17" t="n">
        <x:f>0</x:f>
        <x:v>0</x:v>
      </x:c>
      <x:c r="F12" s="17" t="n">
        <x:f>D12-E12</x:f>
        <x:v>3.6941447754921866</x:v>
      </x:c>
      <x:c r="G12" s="17" t="n">
        <x:f>0</x:f>
        <x:v>0</x:v>
      </x:c>
      <x:c r="H12" s="17" t="str">
        <x:f>IF(D12&gt;E12,"OK","FAIL")</x:f>
        <x:v>OK</x:v>
      </x:c>
      <x:c r="I12" s="17" t="str">
        <x:v>Bull高于Bear</x:v>
      </x:c>
    </x:row>
  </x:sheetData>
  <x:mergeCells>
    <x:mergeCell ref="C2:I2"/>
  </x:mergeCells>
  <x:conditionalFormatting sqref="H5:H12">
    <x:cfRule type="containsText" dxfId="0" priority="1" operator="containsText" text="OK"/>
    <x:cfRule type="containsText" dxfId="1" priority="2" operator="containsText" text="FAIL"/>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9" hidden="0" customWidth="1"/>
    <x:col min="4" max="4" width="35" hidden="0" customWidth="1"/>
    <x:col min="5" max="5" width="22" hidden="0" customWidth="1"/>
    <x:col min="6" max="6" width="22" hidden="0" customWidth="1"/>
    <x:col min="7" max="7" width="75" hidden="0" customWidth="1"/>
    <x:col min="8" max="8" width="34" hidden="0" customWidth="1"/>
  </x:cols>
  <x:sheetData>
    <x:row r="2">
      <x:c r="C2" s="2" t="str">
        <x:v>来源与审计索引</x:v>
      </x:c>
      <x:c r="D2" s="2"/>
      <x:c r="E2" s="2"/>
      <x:c r="F2" s="2"/>
      <x:c r="G2" s="2"/>
      <x:c r="H2" s="2"/>
    </x:row>
    <x:row r="6">
      <x:c r="C6" s="9" t="str">
        <x:v>ID</x:v>
      </x:c>
      <x:c r="D6" s="10" t="str">
        <x:v>主题</x:v>
      </x:c>
      <x:c r="E6" s="10" t="str">
        <x:v>来源</x:v>
      </x:c>
      <x:c r="F6" s="10" t="str">
        <x:v>期间/日期</x:v>
      </x:c>
      <x:c r="G6" s="10" t="str">
        <x:v>URL</x:v>
      </x:c>
      <x:c r="H6" s="11" t="str">
        <x:v>说明</x:v>
      </x:c>
    </x:row>
    <x:row r="7" ht="38" customHeight="1">
      <x:c r="C7" s="110" t="str">
        <x:v>S1</x:v>
      </x:c>
      <x:c r="D7" s="110" t="str">
        <x:v>2026H1业绩、面积、分部与应收款</x:v>
      </x:c>
      <x:c r="E7" s="110" t="str">
        <x:v>中海物业中期业绩公告</x:v>
      </x:c>
      <x:c r="F7" s="110" t="str">
        <x:v>2026H1</x:v>
      </x:c>
      <x:c r="G7" s="111" t="str">
        <x:v>https://www1.hkexnews.hk/listedco/listconews/sehk/2026/0820/2026082000569.pdf</x:v>
      </x:c>
      <x:c r="H7" s="110" t="str">
        <x:v>官方；未经审计</x:v>
      </x:c>
    </x:row>
    <x:row r="8" ht="38" customHeight="1">
      <x:c r="C8" s="112" t="str">
        <x:v>S2</x:v>
      </x:c>
      <x:c r="D8" s="112" t="str">
        <x:v>2026H1现金流及完整财务报表</x:v>
      </x:c>
      <x:c r="E8" s="112" t="str">
        <x:v>中海物业2026中期报告</x:v>
      </x:c>
      <x:c r="F8" s="112" t="str">
        <x:v>2026H1</x:v>
      </x:c>
      <x:c r="G8" s="113" t="str">
        <x:v>https://www1.hkexnews.hk/listedco/listconews/sehk/2026/0904/2026090400241.pdf</x:v>
      </x:c>
      <x:c r="H8" s="112" t="str">
        <x:v>官方；未经审计</x:v>
      </x:c>
    </x:row>
    <x:row r="9" ht="38" customHeight="1">
      <x:c r="C9" s="112" t="str">
        <x:v>S3</x:v>
      </x:c>
      <x:c r="D9" s="112" t="str">
        <x:v>2023-2025财务、面积、分部与现金流</x:v>
      </x:c>
      <x:c r="E9" s="112" t="str">
        <x:v>中海物业2025年报</x:v>
      </x:c>
      <x:c r="F9" s="112" t="str">
        <x:v>FY2025</x:v>
      </x:c>
      <x:c r="G9" s="113" t="str">
        <x:v>https://www.hkexnews.hk/listedco/listconews/sehk/2026/0429/2026042900389.pdf</x:v>
      </x:c>
      <x:c r="H9" s="112" t="str">
        <x:v>官方；经审计；历史已重列</x:v>
      </x:c>
    </x:row>
    <x:row r="10" ht="38" customHeight="1">
      <x:c r="C10" s="112" t="str">
        <x:v>M1</x:v>
      </x:c>
      <x:c r="D10" s="112" t="str">
        <x:v>港股收盘价</x:v>
      </x:c>
      <x:c r="E10" s="112" t="str">
        <x:v>创兴银行报价页</x:v>
      </x:c>
      <x:c r="F10" s="112" t="str">
        <x:v>2026-09-04</x:v>
      </x:c>
      <x:c r="G10" s="113" t="str">
        <x:v>https://content5.etninfo.com/content/cyuwebV2/tc/quote.php?code=02669</x:v>
      </x:c>
      <x:c r="H10" s="112" t="str">
        <x:v>二级行情；HKD3.575</x:v>
      </x:c>
    </x:row>
    <x:row r="11" ht="38" customHeight="1">
      <x:c r="C11" s="112" t="str">
        <x:v>FX</x:v>
      </x:c>
      <x:c r="D11" s="112" t="str">
        <x:v>人民币兑港元</x:v>
      </x:c>
      <x:c r="E11" s="112" t="str">
        <x:v>ExchangeRatesUK</x:v>
      </x:c>
      <x:c r="F11" s="112" t="str">
        <x:v>2026-09-04</x:v>
      </x:c>
      <x:c r="G11" s="113" t="str">
        <x:v>https://www.exchangerates.org.uk/CNY-HKD-spot-exchange-rates-history-2026.html</x:v>
      </x:c>
      <x:c r="H11" s="112" t="str">
        <x:v>1 RMB = 1.1684 HKD</x:v>
      </x:c>
    </x:row>
    <x:row r="12" ht="38" customHeight="1">
      <x:c r="C12" s="112" t="str">
        <x:v>A1</x:v>
      </x:c>
      <x:c r="D12" s="112" t="str">
        <x:v>预测增长、利润率</x:v>
      </x:c>
      <x:c r="E12" s="112" t="str">
        <x:v>分析假设</x:v>
      </x:c>
      <x:c r="F12" s="112" t="str">
        <x:v>2026E-2028E</x:v>
      </x:c>
      <x:c r="G12" s="112" t="str"/>
      <x:c r="H12" s="112" t="str">
        <x:v>非公司指引</x:v>
      </x:c>
    </x:row>
    <x:row r="13" ht="38" customHeight="1">
      <x:c r="C13" s="112" t="str">
        <x:v>A2</x:v>
      </x:c>
      <x:c r="D13" s="112" t="str">
        <x:v>估值倍数及现金/派息</x:v>
      </x:c>
      <x:c r="E13" s="112" t="str">
        <x:v>分析假设</x:v>
      </x:c>
      <x:c r="F13" s="112" t="str">
        <x:v>2027E</x:v>
      </x:c>
      <x:c r="G13" s="112" t="str"/>
      <x:c r="H13" s="112" t="str">
        <x:v>情景估值</x:v>
      </x:c>
    </x:row>
    <x:row r="14" ht="38" customHeight="1">
      <x:c r="C14" s="114" t="str">
        <x:v>C1</x:v>
      </x:c>
      <x:c r="D14" s="114" t="str">
        <x:v>净现金、自由现金流</x:v>
      </x:c>
      <x:c r="E14" s="114" t="str">
        <x:v>研究计算</x:v>
      </x:c>
      <x:c r="F14" s="114" t="str">
        <x:v>2026H1/FY2025</x:v>
      </x:c>
      <x:c r="G14" s="114" t="str"/>
      <x:c r="H14" s="114" t="str">
        <x:v>按模型公式</x:v>
      </x:c>
    </x:row>
  </x:sheetData>
  <x:mergeCells>
    <x:mergeCell ref="C2:H2"/>
  </x:mergeCells>
  <x:pageMargins left="0.7" right="0.7" top="0.75" bottom="0.75" header="0.3" footer="0.3"/>
</x:worksheet>
</file>
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291127f89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e19f6a8314c44e0"/>
    <x:sheet xmlns:r="http://schemas.openxmlformats.org/officeDocument/2006/relationships" name="Historical" sheetId="2" r:id="Re6b25f64f0b04af2"/>
    <x:sheet xmlns:r="http://schemas.openxmlformats.org/officeDocument/2006/relationships" name="Unit Economics" sheetId="3" r:id="R807c5fe7b8ea4f29"/>
    <x:sheet xmlns:r="http://schemas.openxmlformats.org/officeDocument/2006/relationships" name="Balance &amp; Cash" sheetId="4" r:id="Rdcba24b06be24243"/>
    <x:sheet xmlns:r="http://schemas.openxmlformats.org/officeDocument/2006/relationships" name="Assumptions" sheetId="5" r:id="R43bc53337f4f4af9"/>
    <x:sheet xmlns:r="http://schemas.openxmlformats.org/officeDocument/2006/relationships" name="Forecast" sheetId="6" r:id="R3c28a4e9003a410d"/>
    <x:sheet xmlns:r="http://schemas.openxmlformats.org/officeDocument/2006/relationships" name="Valuation" sheetId="7" r:id="Re8bbc88a4c2b4601"/>
    <x:sheet xmlns:r="http://schemas.openxmlformats.org/officeDocument/2006/relationships" name="Checks" sheetId="8" r:id="R4fe89e8ac8014128"/>
    <x:sheet xmlns:r="http://schemas.openxmlformats.org/officeDocument/2006/relationships" name="Sources Audit" sheetId="9" r:id="Rfa4d40655ab94285"/>
  </x:sheets>
</x:workbook>
</file>

<file path=xl/comments1.xml><?xml version="1.0" encoding="utf-8"?>
<x:comments xmlns:x="http://schemas.openxmlformats.org/spreadsheetml/2006/main">
  <x:authors>
    <x:author>tc={647ABDA7-E55A-4C20-B321-C47C09A6916F}</x:author>
    <x:author>tc={244595A6-0438-4D86-BAC9-494CD702C76C}</x:author>
  </x:authors>
  <x:commentList>
    <x:comment ref="F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1H26 unaudited revenue RMB3,133.808m, +20.8% YoY.</x:t>
        </x:r>
      </x:text>
    </x:comment>
    <x:comment ref="F1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Analytical cash-flow metric: CFO less capex and lease principal. Lease interest remains in operating cash flow under the reporting presentation.</x:t>
        </x:r>
      </x:text>
    </x:comment>
  </x:commentList>
</x:comments>
</file>

<file path=xl/comments2.xml><?xml version="1.0" encoding="utf-8"?>
<x:comments xmlns:x="http://schemas.openxmlformats.org/spreadsheetml/2006/main">
  <x:authors>
    <x:author>tc={933C4C7B-73EE-44A6-9B21-A6DF1500A8F6}</x:author>
  </x:authors>
  <x:commentList>
    <x:comment ref="D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1H26 SSSG -4.8%; SSTG +7.1%, showing traffic growth was offset by ticket decline.</x:t>
        </x:r>
      </x:text>
    </x:comment>
  </x:commentList>
</x:comments>
</file>

<file path=xl/comments3.xml><?xml version="1.0" encoding="utf-8"?>
<x:comments xmlns:x="http://schemas.openxmlformats.org/spreadsheetml/2006/main">
  <x:authors>
    <x:author>tc={4FB3B340-815A-4FC2-940E-13E6F1A75A50}</x:author>
    <x:author>tc={FE123FA6-B052-41CB-89EA-52D29A444107}</x:author>
    <x:author>tc={CABC89D1-15B2-4EC6-9731-2B56690C72B4}</x:author>
    <x:author>tc={81AA96DF-C44C-4DC5-A917-A97E6441F7F1}</x:author>
    <x:author>tc={C0DB84B4-1D11-4AA4-A74D-C3F7CA9BE090}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2026-09-04 close HKD30.50.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M2: 2026-09-04, RMB1 = HKD1.1684.</x:t>
        </x:r>
      </x:text>
    </x:comment>
    <x:comment ref="B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136.0m diluted shares partly reflects granted equity incentives; full 10% scheme authorization is not assumed.</x:t>
        </x:r>
      </x:text>
    </x:comment>
    <x:comment ref="C1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2027 revenue growth 22%; requires sustained store openings and positive transaction growth.</x:t>
        </x:r>
      </x:text>
    </x:comment>
    <x:comment ref="F1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2027 adjusted net margin 4.0%, versus 3.1% in 1H26.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yyyy-mm-dd"/>
    <x:numFmt numFmtId="201" formatCode="&quot;HKD &quot;0.00"/>
    <x:numFmt numFmtId="202" formatCode="&quot;HKD &quot;0.00&quot; bn&quot;"/>
    <x:numFmt numFmtId="203" formatCode="0.0x"/>
    <x:numFmt numFmtId="204" formatCode="0.0%;[Red](0.0%);-"/>
    <x:numFmt numFmtId="205" formatCode="0.0&quot; mn&quot;;[Red](0.0&quot; mn&quot;);-"/>
    <x:numFmt numFmtId="206" formatCode="0.0&quot; mn&quot;"/>
    <x:numFmt numFmtId="207" formatCode="0.0%"/>
    <x:numFmt numFmtId="208" formatCode="&quot;RMB &quot;0.0"/>
    <x:numFmt numFmtId="209" formatCode="#,##0"/>
    <x:numFmt numFmtId="210" formatCode="&quot;RMB &quot;#,##0"/>
    <x:numFmt numFmtId="211" formatCode="0.0&quot; mo&quot;"/>
    <x:numFmt numFmtId="212" formatCode="0.00x"/>
    <x:numFmt numFmtId="213" formatCode="0.000&quot; mn&quot;"/>
    <x:numFmt numFmtId="214" formatCode="0.0000"/>
    <x:numFmt numFmtId="215" formatCode="0&quot; mn&quot;"/>
    <x:numFmt numFmtId="216" formatCode="0%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204" fontId="5" fillId="0" borderId="2" xfId="0" applyNumberFormat="1" applyFont="1" applyFill="1" applyBorder="1"/>
    <x:xf numFmtId="205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4" fontId="0" fillId="4" borderId="0" xfId="0" applyNumberFormat="1" applyFont="1" applyFill="1" applyBorder="1"/>
    <x:xf numFmtId="0" fontId="3" fillId="4" borderId="0" xfId="0" applyNumberFormat="1" applyFont="1" applyFill="1" applyBorder="1"/>
    <x:xf numFmtId="204" fontId="3" fillId="4" borderId="0" xfId="0" applyNumberFormat="1" applyFont="1" applyFill="1" applyBorder="1"/>
    <x:xf numFmtId="207" fontId="0" fillId="4" borderId="0" xfId="0" applyNumberFormat="1" applyFont="1" applyFill="1" applyBorder="1"/>
    <x:xf numFmtId="207" fontId="3" fillId="4" borderId="0" xfId="0" applyNumberFormat="1" applyFont="1" applyFill="1" applyBorder="1"/>
    <x:xf numFmtId="205" fontId="0" fillId="4" borderId="0" xfId="0" applyNumberFormat="1" applyFont="1" applyFill="1" applyBorder="1"/>
    <x:xf numFmtId="205" fontId="3" fillId="4" borderId="0" xfId="0" applyNumberFormat="1" applyFont="1" applyFill="1" applyBorder="1"/>
    <x:xf numFmtId="0" fontId="3" fillId="6" borderId="0" xfId="0" applyNumberFormat="1" applyFont="1" applyFill="1" applyBorder="1"/>
    <x:xf numFmtId="205" fontId="3" fillId="6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/>
    <x:xf numFmtId="0" fontId="4" fillId="4" borderId="0" xfId="0" applyNumberFormat="1" applyFont="1" applyFill="1" applyBorder="1"/>
    <x:xf numFmtId="204" fontId="4" fillId="4" borderId="0" xfId="0" applyNumberFormat="1" applyFont="1" applyFill="1" applyBorder="1"/>
    <x:xf numFmtId="207" fontId="4" fillId="4" borderId="0" xfId="0" applyNumberFormat="1" applyFont="1" applyFill="1" applyBorder="1"/>
    <x:xf numFmtId="205" fontId="4" fillId="4" borderId="0" xfId="0" applyNumberFormat="1" applyFont="1" applyFill="1" applyBorder="1"/>
    <x:xf numFmtId="0" fontId="4" fillId="6" borderId="0" xfId="0" applyNumberFormat="1" applyFont="1" applyFill="1" applyBorder="1"/>
    <x:xf numFmtId="205" fontId="4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206" fontId="5" fillId="0" borderId="1" xfId="0" applyNumberFormat="1" applyFont="1" applyFill="1" applyBorder="1"/>
    <x:xf numFmtId="0" fontId="4" fillId="4" borderId="2" xfId="0" applyNumberFormat="1" applyFont="1" applyFill="1" applyBorder="1"/>
    <x:xf numFmtId="204" fontId="4" fillId="4" borderId="2" xfId="0" applyNumberFormat="1" applyFont="1" applyFill="1" applyBorder="1"/>
    <x:xf numFmtId="206" fontId="5" fillId="0" borderId="2" xfId="0" applyNumberFormat="1" applyFont="1" applyFill="1" applyBorder="1"/>
    <x:xf numFmtId="207" fontId="4" fillId="4" borderId="2" xfId="0" applyNumberFormat="1" applyFont="1" applyFill="1" applyBorder="1"/>
    <x:xf numFmtId="205" fontId="4" fillId="4" borderId="2" xfId="0" applyNumberFormat="1" applyFont="1" applyFill="1" applyBorder="1"/>
    <x:xf numFmtId="0" fontId="4" fillId="6" borderId="2" xfId="0" applyNumberFormat="1" applyFont="1" applyFill="1" applyBorder="1"/>
    <x:xf numFmtId="205" fontId="4" fillId="6" borderId="2" xfId="0" applyNumberFormat="1" applyFont="1" applyFill="1" applyBorder="1"/>
    <x:xf numFmtId="0" fontId="9" fillId="6" borderId="3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08" fontId="5" fillId="0" borderId="0" xfId="0" applyNumberFormat="1" applyFont="1" applyFill="1" applyBorder="1"/>
    <x:xf numFmtId="209" fontId="5" fillId="0" borderId="0" xfId="0" applyNumberFormat="1" applyFont="1" applyFill="1" applyBorder="1"/>
    <x:xf numFmtId="207" fontId="5" fillId="0" borderId="0" xfId="0" applyNumberFormat="1" applyFont="1" applyFill="1" applyBorder="1"/>
    <x:xf numFmtId="210" fontId="5" fillId="0" borderId="0" xfId="0" applyNumberFormat="1" applyFont="1" applyFill="1" applyBorder="1"/>
    <x:xf numFmtId="211" fontId="5" fillId="0" borderId="0" xfId="0" applyNumberFormat="1" applyFont="1" applyFill="1" applyBorder="1"/>
    <x:xf numFmtId="204" fontId="5" fillId="0" borderId="1" xfId="0" applyNumberFormat="1" applyFont="1" applyFill="1" applyBorder="1"/>
    <x:xf numFmtId="208" fontId="5" fillId="0" borderId="2" xfId="0" applyNumberFormat="1" applyFont="1" applyFill="1" applyBorder="1"/>
    <x:xf numFmtId="209" fontId="5" fillId="0" borderId="2" xfId="0" applyNumberFormat="1" applyFont="1" applyFill="1" applyBorder="1"/>
    <x:xf numFmtId="207" fontId="5" fillId="0" borderId="2" xfId="0" applyNumberFormat="1" applyFont="1" applyFill="1" applyBorder="1"/>
    <x:xf numFmtId="210" fontId="5" fillId="0" borderId="2" xfId="0" applyNumberFormat="1" applyFont="1" applyFill="1" applyBorder="1"/>
    <x:xf numFmtId="211" fontId="5" fillId="0" borderId="3" xfId="0" applyNumberFormat="1" applyFont="1" applyFill="1" applyBorder="1"/>
    <x:xf numFmtId="207" fontId="5" fillId="0" borderId="3" xfId="0" applyNumberFormat="1" applyFont="1" applyFill="1" applyBorder="1"/>
    <x:xf numFmtId="207" fontId="5" fillId="0" borderId="1" xfId="0" applyNumberFormat="1" applyFont="1" applyFill="1" applyBorder="1"/>
    <x:xf numFmtId="209" fontId="5" fillId="0" borderId="3" xfId="0" applyNumberFormat="1" applyFont="1" applyFill="1" applyBorder="1"/>
    <x:xf numFmtId="212" fontId="0" fillId="0" borderId="0" xfId="0" applyNumberFormat="1" applyFont="1" applyFill="1" applyBorder="1"/>
    <x:xf numFmtId="212" fontId="0" fillId="4" borderId="0" xfId="0" applyNumberFormat="1" applyFont="1" applyFill="1" applyBorder="1"/>
    <x:xf numFmtId="212" fontId="3" fillId="4" borderId="0" xfId="0" applyNumberFormat="1" applyFont="1" applyFill="1" applyBorder="1"/>
    <x:xf numFmtId="212" fontId="4" fillId="4" borderId="0" xfId="0" applyNumberFormat="1" applyFont="1" applyFill="1" applyBorder="1"/>
    <x:xf numFmtId="205" fontId="5" fillId="0" borderId="1" xfId="0" applyNumberFormat="1" applyFont="1" applyFill="1" applyBorder="1"/>
    <x:xf numFmtId="212" fontId="4" fillId="4" borderId="2" xfId="0" applyNumberFormat="1" applyFont="1" applyFill="1" applyBorder="1"/>
    <x:xf numFmtId="206" fontId="5" fillId="0" borderId="3" xfId="0" applyNumberFormat="1" applyFont="1" applyFill="1" applyBorder="1"/>
    <x:xf numFmtId="205" fontId="5" fillId="0" borderId="3" xfId="0" applyNumberFormat="1" applyFont="1" applyFill="1" applyBorder="1"/>
    <x:xf numFmtId="213" fontId="0" fillId="0" borderId="0" xfId="0" applyNumberFormat="1" applyFont="1" applyFill="1" applyBorder="1"/>
    <x:xf numFmtId="214" fontId="0" fillId="0" borderId="0" xfId="0" applyNumberFormat="1" applyFont="1" applyFill="1" applyBorder="1"/>
    <x:xf numFmtId="201" fontId="10" fillId="0" borderId="0" xfId="0" applyNumberFormat="1" applyFont="1" applyFill="1" applyBorder="1"/>
    <x:xf numFmtId="213" fontId="10" fillId="0" borderId="0" xfId="0" applyNumberFormat="1" applyFont="1" applyFill="1" applyBorder="1"/>
    <x:xf numFmtId="214" fontId="10" fillId="0" borderId="0" xfId="0" applyNumberFormat="1" applyFont="1" applyFill="1" applyBorder="1"/>
    <x:xf numFmtId="213" fontId="5" fillId="0" borderId="0" xfId="0" applyNumberFormat="1" applyFont="1" applyFill="1" applyBorder="1"/>
    <x:xf numFmtId="214" fontId="5" fillId="0" borderId="0" xfId="0" applyNumberFormat="1" applyFont="1" applyFill="1" applyBorder="1"/>
    <x:xf numFmtId="213" fontId="5" fillId="0" borderId="2" xfId="0" applyNumberFormat="1" applyFont="1" applyFill="1" applyBorder="1"/>
    <x:xf numFmtId="214" fontId="5" fillId="0" borderId="2" xfId="0" applyNumberFormat="1" applyFont="1" applyFill="1" applyBorder="1"/>
    <x:xf numFmtId="213" fontId="5" fillId="0" borderId="3" xfId="0" applyNumberFormat="1" applyFont="1" applyFill="1" applyBorder="1"/>
    <x:xf numFmtId="207" fontId="10" fillId="0" borderId="0" xfId="0" applyNumberFormat="1" applyFont="1" applyFill="1" applyBorder="1"/>
    <x:xf numFmtId="0" fontId="0" fillId="7" borderId="0" xfId="0" applyNumberFormat="1" applyFont="1" applyFill="1" applyBorder="1"/>
    <x:xf numFmtId="207" fontId="10" fillId="7" borderId="0" xfId="0" applyNumberFormat="1" applyFont="1" applyFill="1" applyBorder="1"/>
    <x:xf numFmtId="0" fontId="5" fillId="7" borderId="0" xfId="0" applyNumberFormat="1" applyFont="1" applyFill="1" applyBorder="1"/>
    <x:xf numFmtId="207" fontId="5" fillId="7" borderId="0" xfId="0" applyNumberFormat="1" applyFont="1" applyFill="1" applyBorder="1"/>
    <x:xf numFmtId="0" fontId="5" fillId="7" borderId="2" xfId="0" applyNumberFormat="1" applyFont="1" applyFill="1" applyBorder="1"/>
    <x:xf numFmtId="207" fontId="5" fillId="7" borderId="2" xfId="0" applyNumberFormat="1" applyFont="1" applyFill="1" applyBorder="1"/>
    <x:xf numFmtId="215" fontId="0" fillId="0" borderId="0" xfId="0" applyNumberFormat="1" applyFont="1" applyFill="1" applyBorder="1"/>
    <x:xf numFmtId="203" fontId="10" fillId="0" borderId="0" xfId="0" applyNumberFormat="1" applyFont="1" applyFill="1" applyBorder="1"/>
    <x:xf numFmtId="215" fontId="10" fillId="0" borderId="0" xfId="0" applyNumberFormat="1" applyFont="1" applyFill="1" applyBorder="1"/>
    <x:xf numFmtId="203" fontId="10" fillId="7" borderId="0" xfId="0" applyNumberFormat="1" applyFont="1" applyFill="1" applyBorder="1"/>
    <x:xf numFmtId="215" fontId="10" fillId="7" borderId="0" xfId="0" applyNumberFormat="1" applyFont="1" applyFill="1" applyBorder="1"/>
    <x:xf numFmtId="215" fontId="5" fillId="0" borderId="0" xfId="0" applyNumberFormat="1" applyFont="1" applyFill="1" applyBorder="1"/>
    <x:xf numFmtId="203" fontId="5" fillId="7" borderId="0" xfId="0" applyNumberFormat="1" applyFont="1" applyFill="1" applyBorder="1"/>
    <x:xf numFmtId="215" fontId="5" fillId="7" borderId="0" xfId="0" applyNumberFormat="1" applyFont="1" applyFill="1" applyBorder="1"/>
    <x:xf numFmtId="203" fontId="5" fillId="0" borderId="1" xfId="0" applyNumberFormat="1" applyFont="1" applyFill="1" applyBorder="1"/>
    <x:xf numFmtId="215" fontId="5" fillId="0" borderId="1" xfId="0" applyNumberFormat="1" applyFont="1" applyFill="1" applyBorder="1"/>
    <x:xf numFmtId="203" fontId="5" fillId="7" borderId="2" xfId="0" applyNumberFormat="1" applyFont="1" applyFill="1" applyBorder="1"/>
    <x:xf numFmtId="215" fontId="5" fillId="7" borderId="2" xfId="0" applyNumberFormat="1" applyFont="1" applyFill="1" applyBorder="1"/>
    <x:xf numFmtId="203" fontId="5" fillId="0" borderId="3" xfId="0" applyNumberFormat="1" applyFont="1" applyFill="1" applyBorder="1"/>
    <x:xf numFmtId="215" fontId="5" fillId="0" borderId="3" xfId="0" applyNumberFormat="1" applyFont="1" applyFill="1" applyBorder="1"/>
    <x:xf numFmtId="216" fontId="0" fillId="0" borderId="0" xfId="0" applyNumberFormat="1" applyFont="1" applyFill="1" applyBorder="1"/>
    <x:xf numFmtId="216" fontId="10" fillId="0" borderId="0" xfId="0" applyNumberFormat="1" applyFont="1" applyFill="1" applyBorder="1"/>
    <x:xf numFmtId="216" fontId="5" fillId="0" borderId="0" xfId="0" applyNumberFormat="1" applyFont="1" applyFill="1" applyBorder="1"/>
    <x:xf numFmtId="216" fontId="5" fillId="0" borderId="1" xfId="0" applyNumberFormat="1" applyFont="1" applyFill="1" applyBorder="1"/>
    <x:xf numFmtId="216" fontId="5" fillId="0" borderId="3" xfId="0" applyNumberFormat="1" applyFont="1" applyFill="1" applyBorder="1"/>
    <x:xf numFmtId="0" fontId="5" fillId="7" borderId="1" xfId="0" applyNumberFormat="1" applyFont="1" applyFill="1" applyBorder="1"/>
    <x:xf numFmtId="206" fontId="5" fillId="7" borderId="1" xfId="0" applyNumberFormat="1" applyFont="1" applyFill="1" applyBorder="1"/>
    <x:xf numFmtId="207" fontId="5" fillId="7" borderId="1" xfId="0" applyNumberFormat="1" applyFont="1" applyFill="1" applyBorder="1"/>
    <x:xf numFmtId="206" fontId="5" fillId="7" borderId="2" xfId="0" applyNumberFormat="1" applyFont="1" applyFill="1" applyBorder="1"/>
    <x:xf numFmtId="0" fontId="5" fillId="7" borderId="3" xfId="0" applyNumberFormat="1" applyFont="1" applyFill="1" applyBorder="1"/>
    <x:xf numFmtId="207" fontId="5" fillId="7" borderId="3" xfId="0" applyNumberFormat="1" applyFont="1" applyFill="1" applyBorder="1"/>
    <x:xf numFmtId="206" fontId="0" fillId="7" borderId="0" xfId="0" applyNumberFormat="1" applyFont="1" applyFill="1" applyBorder="1"/>
    <x:xf numFmtId="201" fontId="0" fillId="7" borderId="0" xfId="0" applyNumberFormat="1" applyFont="1" applyFill="1" applyBorder="1"/>
    <x:xf numFmtId="216" fontId="0" fillId="7" borderId="0" xfId="0" applyNumberFormat="1" applyFont="1" applyFill="1" applyBorder="1"/>
    <x:xf numFmtId="204" fontId="0" fillId="7" borderId="0" xfId="0" applyNumberFormat="1" applyFont="1" applyFill="1" applyBorder="1"/>
    <x:xf numFmtId="201" fontId="3" fillId="0" borderId="0" xfId="0" applyNumberFormat="1" applyFont="1" applyFill="1" applyBorder="1"/>
    <x:xf numFmtId="201" fontId="3" fillId="7" borderId="0" xfId="0" applyNumberFormat="1" applyFont="1" applyFill="1" applyBorder="1"/>
    <x:xf numFmtId="201" fontId="4" fillId="0" borderId="0" xfId="0" applyNumberFormat="1" applyFont="1" applyFill="1" applyBorder="1"/>
    <x:xf numFmtId="206" fontId="5" fillId="7" borderId="0" xfId="0" applyNumberFormat="1" applyFont="1" applyFill="1" applyBorder="1"/>
    <x:xf numFmtId="201" fontId="5" fillId="7" borderId="0" xfId="0" applyNumberFormat="1" applyFont="1" applyFill="1" applyBorder="1"/>
    <x:xf numFmtId="216" fontId="5" fillId="7" borderId="0" xfId="0" applyNumberFormat="1" applyFont="1" applyFill="1" applyBorder="1"/>
    <x:xf numFmtId="201" fontId="4" fillId="7" borderId="0" xfId="0" applyNumberFormat="1" applyFont="1" applyFill="1" applyBorder="1"/>
    <x:xf numFmtId="204" fontId="5" fillId="7" borderId="0" xfId="0" applyNumberFormat="1" applyFont="1" applyFill="1" applyBorder="1"/>
    <x:xf numFmtId="201" fontId="4" fillId="0" borderId="1" xfId="0" applyNumberFormat="1" applyFont="1" applyFill="1" applyBorder="1"/>
    <x:xf numFmtId="201" fontId="5" fillId="7" borderId="2" xfId="0" applyNumberFormat="1" applyFont="1" applyFill="1" applyBorder="1"/>
    <x:xf numFmtId="216" fontId="5" fillId="7" borderId="2" xfId="0" applyNumberFormat="1" applyFont="1" applyFill="1" applyBorder="1"/>
    <x:xf numFmtId="201" fontId="4" fillId="7" borderId="2" xfId="0" applyNumberFormat="1" applyFont="1" applyFill="1" applyBorder="1"/>
    <x:xf numFmtId="204" fontId="5" fillId="7" borderId="2" xfId="0" applyNumberFormat="1" applyFont="1" applyFill="1" applyBorder="1"/>
    <x:xf numFmtId="201" fontId="5" fillId="0" borderId="3" xfId="0" applyNumberFormat="1" applyFont="1" applyFill="1" applyBorder="1"/>
    <x:xf numFmtId="201" fontId="4" fillId="0" borderId="3" xfId="0" applyNumberFormat="1" applyFont="1" applyFill="1" applyBorder="1"/>
    <x:xf numFmtId="204" fontId="5" fillId="0" borderId="3" xfId="0" applyNumberFormat="1" applyFont="1" applyFill="1" applyBorder="1"/>
    <x:xf numFmtId="214" fontId="5" fillId="0" borderId="1" xfId="0" applyNumberFormat="1" applyFont="1" applyFill="1" applyBorder="1"/>
    <x:xf numFmtId="214" fontId="5" fillId="0" borderId="3" xfId="0" applyNumberFormat="1" applyFont="1" applyFill="1" applyBorder="1"/>
    <x:xf numFmtId="0" fontId="1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14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16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14" fontId="5" fillId="0" borderId="0" xfId="0" applyNumberFormat="1" applyFont="1" applyFill="1" applyBorder="1" applyAlignment="1">
      <x:alignment wrapText="1"/>
    </x:xf>
    <x:xf numFmtId="207" fontId="5" fillId="0" borderId="0" xfId="0" applyNumberFormat="1" applyFont="1" applyFill="1" applyBorder="1" applyAlignment="1">
      <x:alignment wrapText="1"/>
    </x:xf>
    <x:xf numFmtId="216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14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14" fontId="5" fillId="0" borderId="2" xfId="0" applyNumberFormat="1" applyFont="1" applyFill="1" applyBorder="1" applyAlignment="1">
      <x:alignment wrapText="1"/>
    </x:xf>
    <x:xf numFmtId="207" fontId="5" fillId="0" borderId="2" xfId="0" applyNumberFormat="1" applyFont="1" applyFill="1" applyBorder="1" applyAlignment="1">
      <x:alignment wrapText="1"/>
    </x:xf>
    <x:xf numFmtId="216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16" fontId="5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4e0425815451d" /><Relationship Type="http://schemas.openxmlformats.org/officeDocument/2006/relationships/theme" Target="/xl/theme/theme1.xml" Id="R7e84edb56ed24000" /><Relationship Type="http://schemas.openxmlformats.org/officeDocument/2006/relationships/sharedStrings" Target="/xl/sharedStrings.xml" Id="Rcb7b46f30993431f" /><Relationship Type="http://schemas.openxmlformats.org/officeDocument/2006/relationships/worksheet" Target="/xl/worksheets/sheet1.xml" Id="Rfe19f6a8314c44e0" /><Relationship Type="http://schemas.openxmlformats.org/officeDocument/2006/relationships/worksheet" Target="/xl/worksheets/sheet2.xml" Id="Re6b25f64f0b04af2" /><Relationship Type="http://schemas.openxmlformats.org/officeDocument/2006/relationships/worksheet" Target="/xl/worksheets/sheet3.xml" Id="R807c5fe7b8ea4f29" /><Relationship Type="http://schemas.openxmlformats.org/officeDocument/2006/relationships/worksheet" Target="/xl/worksheets/sheet4.xml" Id="Rdcba24b06be24243" /><Relationship Type="http://schemas.openxmlformats.org/officeDocument/2006/relationships/worksheet" Target="/xl/worksheets/sheet5.xml" Id="R43bc53337f4f4af9" /><Relationship Type="http://schemas.openxmlformats.org/officeDocument/2006/relationships/worksheet" Target="/xl/worksheets/sheet6.xml" Id="R3c28a4e9003a410d" /><Relationship Type="http://schemas.openxmlformats.org/officeDocument/2006/relationships/worksheet" Target="/xl/worksheets/sheet7.xml" Id="Re8bbc88a4c2b4601" /><Relationship Type="http://schemas.openxmlformats.org/officeDocument/2006/relationships/worksheet" Target="/xl/worksheets/sheet8.xml" Id="R4fe89e8ac8014128" /><Relationship Type="http://schemas.openxmlformats.org/officeDocument/2006/relationships/worksheet" Target="/xl/worksheets/sheet9.xml" Id="Rfa4d40655ab94285" /><Relationship Type="http://schemas.microsoft.com/office/2017/10/relationships/person" Target="/xl/persons/person.xml" Id="R028be91fd3dc4a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2e0ee06df04adf" /><Relationship Type="http://schemas.openxmlformats.org/officeDocument/2006/relationships/chart" Target="/xl/drawings/charts/chart2.xml" Id="R7a1c6c19d02640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情景价值与当前股价（HKD/股）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"HKD "0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"HKD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8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HKD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增长与利润率背离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收入同比</c:v>
          </c:tx>
          <c:spPr>
            <a:ln xmlns:a="http://schemas.openxmlformats.org/drawingml/2006/main" w="19050">
              <a:solidFill>
                <a:srgbClr val="1F4E78"/>
              </a:solidFill>
            </a:ln>
          </c:spPr>
          <c:marker>
            <c:symbol val="none"/>
          </c:marker>
          <c:cat>
            <c:strRef>
              <c:f>'Historical'!$B$3:$F$3</c:f>
              <c:strCache>
                <c:ptCount val="0"/>
              </c:strCache>
            </c:strRef>
          </c:cat>
          <c:val>
            <c:numRef>
              <c:f>'Historical'!$B$5:$F$5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门店经营利润率</c:v>
          </c:tx>
          <c:spPr>
            <a:ln xmlns:a="http://schemas.openxmlformats.org/drawingml/2006/main" w="19050">
              <a:solidFill>
                <a:srgbClr val="C9A227"/>
              </a:solidFill>
            </a:ln>
          </c:spPr>
          <c:marker>
            <c:symbol val="none"/>
          </c:marker>
          <c:cat>
            <c:strRef>
              <c:f>'Historical'!$B$3:$F$3</c:f>
              <c:strCache>
                <c:ptCount val="0"/>
              </c:strCache>
            </c:strRef>
          </c:cat>
          <c:val>
            <c:numRef>
              <c:f>'Historical'!$B$7:$F$7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5"/>
          <c:min val="-0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2e0ee06df04adf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1c6c19d02640b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esearch" id="{265631D8-D639-4A9B-9E9D-18D098FD2B9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4" dT="2026-09-07T02:54:30.453" personId="{265631D8-D639-4A9B-9E9D-18D098FD2B9C}" id="{647ABDA7-E55A-4C20-B321-C47C09A6916F}">
    <xltc:text>Source S1: 1H26 unaudited revenue RMB3,133.808m, +20.8% YoY.</xltc:text>
  </xltc:threadedComment>
  <xltc:threadedComment ref="F17" dT="2026-09-07T02:54:30.453" personId="{265631D8-D639-4A9B-9E9D-18D098FD2B9C}" id="{244595A6-0438-4D86-BAC9-494CD702C76C}">
    <xltc:text>Analytical cash-flow metric: CFO less capex and lease principal. Lease interest remains in operating cash flow under the reporting presentation.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14" dT="2026-09-07T02:54:30.453" personId="{265631D8-D639-4A9B-9E9D-18D098FD2B9C}" id="{933C4C7B-73EE-44A6-9B21-A6DF1500A8F6}">
    <xltc:text>Source S1: 1H26 SSSG -4.8%; SSTG +7.1%, showing traffic growth was offset by ticket decline.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26-09-07T02:54:30.452" personId="{265631D8-D639-4A9B-9E9D-18D098FD2B9C}" id="{4FB3B340-815A-4FC2-940E-13E6F1A75A50}">
    <xltc:text>Source M1: 2026-09-04 close HKD30.50.</xltc:text>
  </xltc:threadedComment>
  <xltc:threadedComment ref="B6" dT="2026-09-07T02:54:30.453" personId="{265631D8-D639-4A9B-9E9D-18D098FD2B9C}" id="{FE123FA6-B052-41CB-89EA-52D29A444107}">
    <xltc:text>Source M2: 2026-09-04, RMB1 = HKD1.1684.</xltc:text>
  </xltc:threadedComment>
  <xltc:threadedComment ref="B10" dT="2026-09-07T02:54:30.453" personId="{265631D8-D639-4A9B-9E9D-18D098FD2B9C}" id="{CABC89D1-15B2-4EC6-9731-2B56690C72B4}">
    <xltc:text>Analyst assumption: 136.0m diluted shares partly reflects granted equity incentives; full 10% scheme authorization is not assumed.</xltc:text>
  </xltc:threadedComment>
  <xltc:threadedComment ref="C18" dT="2026-09-07T02:54:30.453" personId="{265631D8-D639-4A9B-9E9D-18D098FD2B9C}" id="{81AA96DF-C44C-4DC5-A917-A97E6441F7F1}">
    <xltc:text>Analyst assumption: Base 2027 revenue growth 22%; requires sustained store openings and positive transaction growth.</xltc:text>
  </xltc:threadedComment>
  <xltc:threadedComment ref="F18" dT="2026-09-07T02:54:30.453" personId="{265631D8-D639-4A9B-9E9D-18D098FD2B9C}" id="{C0DB84B4-1D11-4AA4-A74D-C3F7CA9BE090}">
    <xltc:text>Analyst assumption: Base 2027 adjusted net margin 4.0%, versus 3.1% in 1H26.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95c06971bc46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f3e243881304ad3" /><Relationship Type="http://schemas.openxmlformats.org/officeDocument/2006/relationships/vmlDrawing" Target="/xl/drawings/vmldrawing.vml" Id="R1cf61d689e404083" /><Relationship Type="http://schemas.microsoft.com/office/2017/10/relationships/threadedComment" Target="/xl/threadedcomments/threadedcomment.xml" Id="R92384a6b786f45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f9ff29e24ebd49e3" /><Relationship Type="http://schemas.openxmlformats.org/officeDocument/2006/relationships/vmlDrawing" Target="/xl/drawings/vmldrawing2.vml" Id="Rbcd9aaef4a3547f3" /><Relationship Type="http://schemas.microsoft.com/office/2017/10/relationships/threadedComment" Target="/xl/threadedcomments/threadedcomment2.xml" Id="Rf2c46992b1ee44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f937fe14421c4f90" /><Relationship Type="http://schemas.openxmlformats.org/officeDocument/2006/relationships/vmlDrawing" Target="/xl/drawings/vmldrawing3.vml" Id="R16aa32488adc4e7b" /><Relationship Type="http://schemas.microsoft.com/office/2017/10/relationships/threadedComment" Target="/xl/threadedcomments/threadedcomment3.xml" Id="Rc6987361bb5b42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达势股份（1405.HK）基本面与估值模型</x:v>
      </x:c>
      <x:c r="B1" s="3" t="str">
        <x:v>达势股份（1405.HK）基本面与估值模型</x:v>
      </x:c>
      <x:c r="C1" s="3" t="str">
        <x:v>达势股份（1405.HK）基本面与估值模型</x:v>
      </x:c>
      <x:c r="D1" s="3" t="str">
        <x:v>达势股份（1405.HK）基本面与估值模型</x:v>
      </x:c>
      <x:c r="E1" s="3" t="str">
        <x:v>达势股份（1405.HK）基本面与估值模型</x:v>
      </x:c>
      <x:c r="F1" s="3" t="str">
        <x:v>达势股份（1405.HK）基本面与估值模型</x:v>
      </x:c>
      <x:c r="G1" s="3" t="str">
        <x:v>达势股份（1405.HK）基本面与估值模型</x:v>
      </x:c>
      <x:c r="H1" s="3" t="str">
        <x:v>达势股份（1405.HK）基本面与估值模型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达势股份 / 达美乐中国</x:v>
      </x:c>
      <x:c r="J3" t="n">
        <x:f>'Assumptions'!B4</x:f>
        <x:v>30.5</x:v>
      </x:c>
    </x:row>
    <x:row r="4">
      <x:c r="A4" s="12" t="str">
        <x:v>价格基准</x:v>
      </x:c>
      <x:c r="B4" s="13" t="n">
        <x:v>46269</x:v>
      </x:c>
      <x:c r="J4" t="n">
        <x:f>'Assumptions'!B4</x:f>
        <x:v>30.5</x:v>
      </x:c>
    </x:row>
    <x:row r="5">
      <x:c r="A5" s="12" t="str">
        <x:v>资料截止</x:v>
      </x:c>
      <x:c r="B5" s="14" t="str">
        <x:v>2026-09-07</x:v>
      </x:c>
      <x:c r="J5" t="n">
        <x:f>'Assumptions'!B4</x:f>
        <x:v>30.5</x:v>
      </x:c>
    </x:row>
    <x:row r="6">
      <x:c r="A6" s="12" t="str">
        <x:v>报告货币</x:v>
      </x:c>
      <x:c r="B6" s="14" t="str">
        <x:v>人民币百万元；每股价值为港元</x:v>
      </x:c>
    </x:row>
    <x:row r="7">
      <x:c r="A7" s="12" t="str">
        <x:v>模型版本</x:v>
      </x:c>
      <x:c r="B7" s="14" t="str">
        <x:v>首次建档 / 2026中期业绩 v1.0</x:v>
      </x:c>
    </x:row>
    <x:row r="8">
      <x:c r="A8" s="12" t="str">
        <x:v>估值框架</x:v>
      </x:c>
      <x:c r="B8" s="14" t="str">
        <x:v>70% 2027E调整P/E + 30%租赁调整EV/EBITDA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2" t="str">
        <x:v>研究结论</x:v>
      </x:c>
      <x:c r="B10" s="14" t="str">
        <x:v>中性偏积极 / 高波动成长股</x:v>
      </x:c>
    </x:row>
    <x:row r="11">
      <x:c r="A11" s="15" t="str">
        <x:v>用途</x:v>
      </x:c>
      <x:c r="B11" s="16" t="str">
        <x:v>研究与情景分析；不构成个性化投资建议</x:v>
      </x:c>
    </x:row>
    <x:row r="13">
      <x:c r="A13" s="19" t="str">
        <x:v>关键输出</x:v>
      </x:c>
      <x:c r="B13" s="20" t="str">
        <x:v>数值</x:v>
      </x:c>
      <x:c r="C13" s="21" t="str">
        <x:v>说明</x:v>
      </x:c>
    </x:row>
    <x:row r="14">
      <x:c r="A14" s="11" t="str">
        <x:v>当前股价</x:v>
      </x:c>
      <x:c r="B14" s="37" t="n">
        <x:f>'Assumptions'!B4</x:f>
        <x:v>30.5</x:v>
      </x:c>
      <x:c r="C14" s="11" t="str">
        <x:v>2026-09-04收盘</x:v>
      </x:c>
    </x:row>
    <x:row r="15">
      <x:c r="A15" s="14" t="str">
        <x:v>市值</x:v>
      </x:c>
      <x:c r="B15" s="38" t="n">
        <x:f>'Assumptions'!B7</x:f>
        <x:v>4.011482</x:v>
      </x:c>
      <x:c r="C15" s="14" t="str">
        <x:v>法定已发行股份口径</x:v>
      </x:c>
    </x:row>
    <x:row r="16">
      <x:c r="A16" s="14" t="str">
        <x:v>滚动调整P/E</x:v>
      </x:c>
      <x:c r="B16" s="39" t="n">
        <x:f>'Assumptions'!B9</x:f>
        <x:v>17.63992859300239</x:v>
      </x:c>
      <x:c r="C16" s="14" t="str">
        <x:v>2025A-H1'25+H1'26</x:v>
      </x:c>
    </x:row>
    <x:row r="17">
      <x:c r="A17" s="14" t="str">
        <x:v>2026H1收入同比</x:v>
      </x:c>
      <x:c r="B17" s="40" t="n">
        <x:f>'Historical'!F5</x:f>
        <x:v>0.20838285024620284</x:v>
      </x:c>
      <x:c r="C17" s="14" t="str">
        <x:v>门店净增与下沉扩张驱动</x:v>
      </x:c>
    </x:row>
    <x:row r="18">
      <x:c r="A18" s="14" t="str">
        <x:v>2026H1同店销售增长</x:v>
      </x:c>
      <x:c r="B18" s="40" t="n">
        <x:f>'Unit Economics'!D14</x:f>
        <x:v>-0.048</x:v>
      </x:c>
      <x:c r="C18" s="14" t="str">
        <x:v>客单价下降抵消交易增长</x:v>
      </x:c>
    </x:row>
    <x:row r="19">
      <x:c r="A19" s="14" t="str">
        <x:v>门店经营利润率</x:v>
      </x:c>
      <x:c r="B19" s="40" t="n">
        <x:f>'Historical'!F7</x:f>
        <x:v>0.12456091758014531</x:v>
      </x:c>
      <x:c r="C19" s="14" t="str">
        <x:v>2026H1；同比下降2.1ppt</x:v>
      </x:c>
    </x:row>
    <x:row r="20">
      <x:c r="A20" s="14" t="str">
        <x:v>租赁后自由现金流</x:v>
      </x:c>
      <x:c r="B20" s="41" t="n">
        <x:f>'Historical'!F17</x:f>
        <x:v>-13.457999999999998</x:v>
      </x:c>
      <x:c r="C20" s="14" t="str">
        <x:v>CFO-资本开支-租赁本金</x:v>
      </x:c>
    </x:row>
    <x:row r="21">
      <x:c r="A21" s="14" t="str">
        <x:v>Bear综合价值</x:v>
      </x:c>
      <x:c r="B21" s="42" t="n">
        <x:f>'Valuation'!H5</x:f>
        <x:v>17.186554503074696</x:v>
      </x:c>
      <x:c r="C21" s="14" t="str">
        <x:v>同店弱、利润率不修复</x:v>
      </x:c>
    </x:row>
    <x:row r="22">
      <x:c r="A22" s="14" t="str">
        <x:v>Base综合价值</x:v>
      </x:c>
      <x:c r="B22" s="42" t="n">
        <x:f>'Valuation'!H6</x:f>
        <x:v>40.66993971420014</x:v>
      </x:c>
      <x:c r="C22" s="14" t="str">
        <x:v>客流增长转化为利润率修复</x:v>
      </x:c>
    </x:row>
    <x:row r="23">
      <x:c r="A23" s="14" t="str">
        <x:v>Bull综合价值</x:v>
      </x:c>
      <x:c r="B23" s="42" t="n">
        <x:f>'Valuation'!H7</x:f>
        <x:v>67.56798420434109</x:v>
      </x:c>
      <x:c r="C23" s="14" t="str">
        <x:v>新城成功、品牌续约落地</x:v>
      </x:c>
    </x:row>
    <x:row r="24">
      <x:c r="A24" s="14" t="str">
        <x:v>Base相对现价</x:v>
      </x:c>
      <x:c r="B24" s="40" t="n">
        <x:f>'Valuation'!I6</x:f>
        <x:v>0.3334406463672177</x:v>
      </x:c>
      <x:c r="C24" s="14" t="str">
        <x:v>情景差异，不是收益保证</x:v>
      </x:c>
    </x:row>
    <x:row r="25">
      <x:c r="A25" s="16" t="str">
        <x:v>核心观察</x:v>
      </x:c>
      <x:c r="B25" s="16" t="str">
        <x:v>ATP/SSSG与续约</x:v>
      </x:c>
      <x:c r="C25" s="16" t="str">
        <x:v>2027-06-01主特许期限到期</x:v>
      </x:c>
    </x:row>
    <x:row r="28">
      <x:c r="A28" s="19" t="str">
        <x:v>研究结论</x:v>
      </x:c>
      <x:c r="B28" s="20" t="str">
        <x:v>研究结论</x:v>
      </x:c>
      <x:c r="C28" s="20" t="str">
        <x:v>研究结论</x:v>
      </x:c>
      <x:c r="D28" s="20" t="str">
        <x:v>研究结论</x:v>
      </x:c>
      <x:c r="E28" s="20" t="str">
        <x:v>研究结论</x:v>
      </x:c>
      <x:c r="F28" s="20" t="str">
        <x:v>研究结论</x:v>
      </x:c>
      <x:c r="G28" s="20" t="str">
        <x:v>研究结论</x:v>
      </x:c>
      <x:c r="H28" s="21" t="str">
        <x:v>研究结论</x:v>
      </x:c>
    </x:row>
    <x:row r="29">
      <x:c r="A29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B29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C29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D29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E29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F29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G29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H29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</x:row>
    <x:row r="30">
      <x:c r="A30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B30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C30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D30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E30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F30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G30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H30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</x:row>
    <x:row r="31">
      <x:c r="A31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B31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C31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D31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E31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F31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G31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H31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</x:row>
    <x:row r="32">
      <x:c r="A32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B32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C32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D32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E32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F32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G32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H32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</x:row>
    <x:row r="33">
      <x:c r="A33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B33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C33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D33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E33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F33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G33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H33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</x:row>
    <x:row r="34">
      <x:c r="A34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B34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C34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D34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E34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F34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G34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  <x:c r="H34" s="45" t="str">
        <x:v>达势的增长仍然真实：2026H1收入增长20.8%、交易量增长33.7%、门店增至1,550家。但增长质量正在受考验：ATP下降9.6%、SSSG为-4.8%，门店经营利润率降至12.5%，租赁本金后的自由现金流为负。Base价值约HKD40.7，高于现价约33%，但需以2027年主特许续约落地、ATP企稳及利润率回升为前提，故结论为中性偏积极而非直接看多。</x:v>
      </x:c>
    </x:row>
  </x:sheetData>
  <x:mergeCells>
    <x:mergeCell ref="A1:H1"/>
    <x:mergeCell ref="A28:H28"/>
    <x:mergeCell ref="A29:H34"/>
  </x:mergeCells>
  <x:pageMargins left="0.7" right="0.7" top="0.75" bottom="0.75" header="0.3" footer="0.3"/>
  <x:drawing xmlns:r="http://schemas.openxmlformats.org/officeDocument/2006/relationships" r:id="R4f95c06971bc464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历史财务与现金流质量</x:v>
      </x:c>
      <x:c r="B1" s="3" t="str">
        <x:v>历史财务与现金流质量</x:v>
      </x:c>
      <x:c r="C1" s="3" t="str">
        <x:v>历史财务与现金流质量</x:v>
      </x:c>
      <x:c r="D1" s="3" t="str">
        <x:v>历史财务与现金流质量</x:v>
      </x:c>
      <x:c r="E1" s="3" t="str">
        <x:v>历史财务与现金流质量</x:v>
      </x:c>
      <x:c r="F1" s="3" t="str">
        <x:v>历史财务与现金流质量</x:v>
      </x:c>
    </x:row>
    <x:row r="3">
      <x:c r="A3" s="48" t="str">
        <x:v>指标（RMB mn，除注明外）</x:v>
      </x:c>
      <x:c r="B3" s="49" t="str">
        <x:v>2023A</x:v>
      </x:c>
      <x:c r="C3" s="49" t="str">
        <x:v>2024A</x:v>
      </x:c>
      <x:c r="D3" s="49" t="str">
        <x:v>2025A</x:v>
      </x:c>
      <x:c r="E3" s="49" t="str">
        <x:v>1H25</x:v>
      </x:c>
      <x:c r="F3" s="50" t="str">
        <x:v>1H26</x:v>
      </x:c>
    </x:row>
    <x:row r="4">
      <x:c r="A4" s="11" t="str">
        <x:v>营业收入</x:v>
      </x:c>
      <x:c r="B4" s="73" t="n">
        <x:v>3050.715</x:v>
      </x:c>
      <x:c r="C4" s="73" t="n">
        <x:v>4314.093</x:v>
      </x:c>
      <x:c r="D4" s="73" t="n">
        <x:v>5382.047</x:v>
      </x:c>
      <x:c r="E4" s="73" t="n">
        <x:v>2593.39</x:v>
      </x:c>
      <x:c r="F4" s="73" t="n">
        <x:v>3133.808</x:v>
      </x:c>
    </x:row>
    <x:row r="5">
      <x:c r="A5" s="74" t="str">
        <x:v>收入同比</x:v>
      </x:c>
      <x:c r="B5" s="75"/>
      <x:c r="C5" s="75" t="n">
        <x:f>C4/B4-1</x:f>
        <x:v>0.414125213269676</x:v>
      </x:c>
      <x:c r="D5" s="75" t="n">
        <x:f>D4/C4-1</x:f>
        <x:v>0.24755006440519467</x:v>
      </x:c>
      <x:c r="E5" s="75"/>
      <x:c r="F5" s="75" t="n">
        <x:f>F4/E4-1</x:f>
        <x:v>0.20838285024620284</x:v>
      </x:c>
    </x:row>
    <x:row r="6">
      <x:c r="A6" s="14" t="str">
        <x:v>门店经营利润</x:v>
      </x:c>
      <x:c r="B6" s="76" t="n">
        <x:v>419.732</x:v>
      </x:c>
      <x:c r="C6" s="76" t="n">
        <x:v>624.006</x:v>
      </x:c>
      <x:c r="D6" s="76" t="n">
        <x:v>739.667</x:v>
      </x:c>
      <x:c r="E6" s="76" t="n">
        <x:v>379.188</x:v>
      </x:c>
      <x:c r="F6" s="76" t="n">
        <x:v>390.35</x:v>
      </x:c>
    </x:row>
    <x:row r="7">
      <x:c r="A7" s="74" t="str">
        <x:v>门店经营利润率</x:v>
      </x:c>
      <x:c r="B7" s="77" t="n">
        <x:f>B6/B4</x:f>
        <x:v>0.13758479569543533</x:v>
      </x:c>
      <x:c r="C7" s="77" t="n">
        <x:f>C6/C4</x:f>
        <x:v>0.14464361338524692</x:v>
      </x:c>
      <x:c r="D7" s="77" t="n">
        <x:f>D6/D4</x:f>
        <x:v>0.137432281806532</x:v>
      </x:c>
      <x:c r="E7" s="77" t="n">
        <x:f>E6/E4</x:f>
        <x:v>0.14621325755092757</x:v>
      </x:c>
      <x:c r="F7" s="77" t="n">
        <x:f>F6/F4</x:f>
        <x:v>0.12456091758014531</x:v>
      </x:c>
    </x:row>
    <x:row r="8">
      <x:c r="A8" s="14" t="str">
        <x:v>调整EBITDA</x:v>
      </x:c>
      <x:c r="B8" s="76" t="n">
        <x:v>301.736</x:v>
      </x:c>
      <x:c r="C8" s="76" t="n">
        <x:v>495.158</x:v>
      </x:c>
      <x:c r="D8" s="76" t="n">
        <x:v>634.608</x:v>
      </x:c>
      <x:c r="E8" s="76" t="n">
        <x:v>322.877</x:v>
      </x:c>
      <x:c r="F8" s="76" t="n">
        <x:v>350.675</x:v>
      </x:c>
    </x:row>
    <x:row r="9">
      <x:c r="A9" s="74" t="str">
        <x:v>调整EBITDA率</x:v>
      </x:c>
      <x:c r="B9" s="77" t="n">
        <x:f>B8/B4</x:f>
        <x:v>0.09890664975259897</x:v>
      </x:c>
      <x:c r="C9" s="77" t="n">
        <x:f>C8/C4</x:f>
        <x:v>0.11477684880692188</x:v>
      </x:c>
      <x:c r="D9" s="77" t="n">
        <x:f>D8/D4</x:f>
        <x:v>0.11791201377468462</x:v>
      </x:c>
      <x:c r="E9" s="77" t="n">
        <x:f>E8/E4</x:f>
        <x:v>0.1244999787922372</x:v>
      </x:c>
      <x:c r="F9" s="77" t="n">
        <x:f>F8/F4</x:f>
        <x:v>0.11190060144080301</x:v>
      </x:c>
    </x:row>
    <x:row r="10">
      <x:c r="A10" s="14" t="str">
        <x:v>IFRS归母净利润</x:v>
      </x:c>
      <x:c r="B10" s="41" t="n">
        <x:v>-26.603</x:v>
      </x:c>
      <x:c r="C10" s="41" t="n">
        <x:v>55.195</x:v>
      </x:c>
      <x:c r="D10" s="41" t="n">
        <x:v>141.932</x:v>
      </x:c>
      <x:c r="E10" s="41" t="n">
        <x:v>65.924</x:v>
      </x:c>
      <x:c r="F10" s="41" t="n">
        <x:v>81.045</x:v>
      </x:c>
    </x:row>
    <x:row r="11">
      <x:c r="A11" s="14" t="str">
        <x:v>调整净利润</x:v>
      </x:c>
      <x:c r="B11" s="41" t="n">
        <x:v>8.778</x:v>
      </x:c>
      <x:c r="C11" s="41" t="n">
        <x:v>131.16</x:v>
      </x:c>
      <x:c r="D11" s="41" t="n">
        <x:v>187.9</x:v>
      </x:c>
      <x:c r="E11" s="41" t="n">
        <x:v>91.42</x:v>
      </x:c>
      <x:c r="F11" s="41" t="n">
        <x:v>98.153</x:v>
      </x:c>
    </x:row>
    <x:row r="12">
      <x:c r="A12" s="74" t="str">
        <x:v>调整净利率</x:v>
      </x:c>
      <x:c r="B12" s="77" t="n">
        <x:f>B11/B4</x:f>
        <x:v>0.0028773582586377293</x:v>
      </x:c>
      <x:c r="C12" s="77" t="n">
        <x:f>C11/C4</x:f>
        <x:v>0.03040268255691289</x:v>
      </x:c>
      <x:c r="D12" s="77" t="n">
        <x:f>D11/D4</x:f>
        <x:v>0.034912366986018524</x:v>
      </x:c>
      <x:c r="E12" s="77" t="n">
        <x:f>E11/E4</x:f>
        <x:v>0.03525115775105171</x:v>
      </x:c>
      <x:c r="F12" s="77" t="n">
        <x:f>F11/F4</x:f>
        <x:v>0.031320680781975155</x:v>
      </x:c>
    </x:row>
    <x:row r="13">
      <x:c r="A13" s="14" t="str">
        <x:v>经营现金流</x:v>
      </x:c>
      <x:c r="B13" s="41"/>
      <x:c r="C13" s="41" t="n">
        <x:v>818.421</x:v>
      </x:c>
      <x:c r="D13" s="41" t="n">
        <x:v>892.899</x:v>
      </x:c>
      <x:c r="E13" s="41" t="n">
        <x:v>361.146</x:v>
      </x:c>
      <x:c r="F13" s="41" t="n">
        <x:v>504.905</x:v>
      </x:c>
    </x:row>
    <x:row r="14">
      <x:c r="A14" s="14" t="str">
        <x:v>资本开支</x:v>
      </x:c>
      <x:c r="B14" s="41"/>
      <x:c r="C14" s="41" t="n">
        <x:v>416.245</x:v>
      </x:c>
      <x:c r="D14" s="41" t="n">
        <x:v>506.028</x:v>
      </x:c>
      <x:c r="E14" s="41"/>
      <x:c r="F14" s="41" t="n">
        <x:v>285.054</x:v>
      </x:c>
    </x:row>
    <x:row r="15">
      <x:c r="A15" s="74" t="str">
        <x:v>简化自由现金流</x:v>
      </x:c>
      <x:c r="B15" s="78"/>
      <x:c r="C15" s="78" t="n">
        <x:f>C13-C14</x:f>
        <x:v>402.17600000000004</x:v>
      </x:c>
      <x:c r="D15" s="78" t="n">
        <x:f>D13-D14</x:f>
        <x:v>386.871</x:v>
      </x:c>
      <x:c r="E15" s="78"/>
      <x:c r="F15" s="78" t="n">
        <x:f>F13-F14</x:f>
        <x:v>219.851</x:v>
      </x:c>
    </x:row>
    <x:row r="16">
      <x:c r="A16" s="74" t="str">
        <x:v>租赁本金支付</x:v>
      </x:c>
      <x:c r="B16" s="78"/>
      <x:c r="C16" s="78" t="n">
        <x:v>285.213</x:v>
      </x:c>
      <x:c r="D16" s="78" t="n">
        <x:v>370.212</x:v>
      </x:c>
      <x:c r="E16" s="78"/>
      <x:c r="F16" s="78" t="n">
        <x:v>233.309</x:v>
      </x:c>
    </x:row>
    <x:row r="17">
      <x:c r="A17" s="79" t="str">
        <x:v>租赁后自由现金流</x:v>
      </x:c>
      <x:c r="B17" s="80"/>
      <x:c r="C17" s="80" t="n">
        <x:f>C15-C16</x:f>
        <x:v>116.96300000000002</x:v>
      </x:c>
      <x:c r="D17" s="80" t="n">
        <x:f>D15-D16</x:f>
        <x:v>16.658999999999992</x:v>
      </x:c>
      <x:c r="E17" s="80"/>
      <x:c r="F17" s="80" t="n">
        <x:f>F15-F16</x:f>
        <x:v>-13.457999999999998</x:v>
      </x:c>
    </x:row>
    <x:row r="18">
      <x:c r="A18" s="14" t="str">
        <x:v>CFO/调整净利润</x:v>
      </x:c>
      <x:c r="B18" s="39"/>
      <x:c r="C18" s="39" t="n">
        <x:f>IFERROR(C13/C11,"")</x:f>
        <x:v>6.239867337602928</x:v>
      </x:c>
      <x:c r="D18" s="39" t="n">
        <x:f>IFERROR(D13/D11,"")</x:f>
        <x:v>4.751990420436402</x:v>
      </x:c>
      <x:c r="E18" s="39" t="n">
        <x:f>IFERROR(E13/E11,"")</x:f>
        <x:v>3.9504047254430104</x:v>
      </x:c>
      <x:c r="F18" s="39" t="n">
        <x:f>IFERROR(F13/F11,"")</x:f>
        <x:v>5.1440608030320005</x:v>
      </x:c>
    </x:row>
    <x:row r="19">
      <x:c r="A19" s="81" t="str">
        <x:v>资料口径</x:v>
      </x:c>
      <x:c r="B19" s="81" t="str">
        <x:v>经审计年报</x:v>
      </x:c>
      <x:c r="C19" s="81" t="str">
        <x:v>经审计年报</x:v>
      </x:c>
      <x:c r="D19" s="81" t="str">
        <x:v>经审计年报</x:v>
      </x:c>
      <x:c r="E19" s="81" t="str">
        <x:v>未经审计</x:v>
      </x:c>
      <x:c r="F19" s="81" t="str">
        <x:v>未经审计中报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1cf61d689e40408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27" hidden="0" customWidth="1"/>
    <x:col min="7" max="7" width="19" hidden="0" customWidth="1"/>
    <x:col min="8" max="8" width="19" hidden="0" customWidth="1"/>
  </x:cols>
  <x:sheetData>
    <x:row r="1" ht="30" customHeight="1">
      <x:c r="A1" s="3" t="str">
        <x:v>门店、同店与渠道结构</x:v>
      </x:c>
      <x:c r="B1" s="3" t="str">
        <x:v>门店、同店与渠道结构</x:v>
      </x:c>
      <x:c r="C1" s="3" t="str">
        <x:v>门店、同店与渠道结构</x:v>
      </x:c>
      <x:c r="D1" s="3" t="str">
        <x:v>门店、同店与渠道结构</x:v>
      </x:c>
      <x:c r="E1" s="3" t="str">
        <x:v>门店、同店与渠道结构</x:v>
      </x:c>
      <x:c r="F1" s="3" t="str">
        <x:v>门店、同店与渠道结构</x:v>
      </x:c>
      <x:c r="G1" s="3" t="str">
        <x:v>门店、同店与渠道结构</x:v>
      </x:c>
      <x:c r="H1" s="3" t="str">
        <x:v>门店、同店与渠道结构</x:v>
      </x:c>
    </x:row>
    <x:row r="3">
      <x:c r="A3" s="19" t="str">
        <x:v>网络规模</x:v>
      </x:c>
      <x:c r="B3" s="20" t="str">
        <x:v>2025-06</x:v>
      </x:c>
      <x:c r="C3" s="20" t="str">
        <x:v>2025-12</x:v>
      </x:c>
      <x:c r="D3" s="21" t="str">
        <x:v>2026-06</x:v>
      </x:c>
      <x:c r="F3" s="19" t="str">
        <x:v>渠道（RMB mn）</x:v>
      </x:c>
      <x:c r="G3" s="20" t="str">
        <x:v>1H25</x:v>
      </x:c>
      <x:c r="H3" s="21" t="str">
        <x:v>1H26</x:v>
      </x:c>
    </x:row>
    <x:row r="4">
      <x:c r="A4" s="11" t="str">
        <x:v>门店数</x:v>
      </x:c>
      <x:c r="B4" s="11" t="n">
        <x:v>1198</x:v>
      </x:c>
      <x:c r="C4" s="11" t="n">
        <x:v>1315</x:v>
      </x:c>
      <x:c r="D4" s="11" t="n">
        <x:v>1550</x:v>
      </x:c>
      <x:c r="F4" s="11" t="str">
        <x:v>配送销售</x:v>
      </x:c>
      <x:c r="G4" s="73" t="n">
        <x:v>1118.6</x:v>
      </x:c>
      <x:c r="H4" s="73" t="n">
        <x:v>1618.828</x:v>
      </x:c>
    </x:row>
    <x:row r="5">
      <x:c r="A5" s="14" t="str">
        <x:v>城市数</x:v>
      </x:c>
      <x:c r="B5" s="14" t="n">
        <x:v>48</x:v>
      </x:c>
      <x:c r="C5" s="14" t="n">
        <x:v>60</x:v>
      </x:c>
      <x:c r="D5" s="14" t="n">
        <x:v>75</x:v>
      </x:c>
      <x:c r="F5" s="14" t="str">
        <x:v>3PP配送</x:v>
      </x:c>
      <x:c r="G5" s="76" t="n">
        <x:v>681.5</x:v>
      </x:c>
      <x:c r="H5" s="76" t="n">
        <x:v>1233.531</x:v>
      </x:c>
    </x:row>
    <x:row r="6">
      <x:c r="A6" s="14" t="str">
        <x:v>一线城市门店</x:v>
      </x:c>
      <x:c r="B6" s="14" t="n">
        <x:v>515</x:v>
      </x:c>
      <x:c r="C6" s="14" t="n">
        <x:v>517</x:v>
      </x:c>
      <x:c r="D6" s="14" t="n">
        <x:v>532</x:v>
      </x:c>
      <x:c r="F6" s="14" t="str">
        <x:v>自有渠道配送</x:v>
      </x:c>
      <x:c r="G6" s="76" t="n">
        <x:v>437.1</x:v>
      </x:c>
      <x:c r="H6" s="76" t="n">
        <x:v>385.297</x:v>
      </x:c>
    </x:row>
    <x:row r="7">
      <x:c r="A7" s="14" t="str">
        <x:v>非一线城市门店</x:v>
      </x:c>
      <x:c r="B7" s="14" t="n">
        <x:v>683</x:v>
      </x:c>
      <x:c r="C7" s="14" t="n">
        <x:v>798</x:v>
      </x:c>
      <x:c r="D7" s="14" t="n">
        <x:v>1018</x:v>
      </x:c>
      <x:c r="F7" s="14" t="str">
        <x:v>非配送销售</x:v>
      </x:c>
      <x:c r="G7" s="76" t="n">
        <x:v>1474.8</x:v>
      </x:c>
      <x:c r="H7" s="76" t="n">
        <x:v>1514.98</x:v>
      </x:c>
    </x:row>
    <x:row r="8">
      <x:c r="A8" s="14" t="str">
        <x:v>初始城市门店</x:v>
      </x:c>
      <x:c r="B8" s="14" t="n">
        <x:v>841</x:v>
      </x:c>
      <x:c r="C8" s="14" t="n">
        <x:v>867</x:v>
      </x:c>
      <x:c r="D8" s="14" t="n">
        <x:v>903</x:v>
      </x:c>
      <x:c r="F8" s="14" t="str">
        <x:v>3PP收入占比</x:v>
      </x:c>
      <x:c r="G8" s="94" t="n">
        <x:v>0.263</x:v>
      </x:c>
      <x:c r="H8" s="94" t="n">
        <x:v>0.394</x:v>
      </x:c>
    </x:row>
    <x:row r="9">
      <x:c r="A9" s="16" t="str">
        <x:v>新增长市场门店</x:v>
      </x:c>
      <x:c r="B9" s="16" t="n">
        <x:v>357</x:v>
      </x:c>
      <x:c r="C9" s="16" t="n">
        <x:v>448</x:v>
      </x:c>
      <x:c r="D9" s="16" t="n">
        <x:v>647</x:v>
      </x:c>
      <x:c r="F9" s="16" t="str">
        <x:v>会员收入占比</x:v>
      </x:c>
      <x:c r="G9" s="97"/>
      <x:c r="H9" s="97" t="n">
        <x:v>0.601</x:v>
      </x:c>
    </x:row>
    <x:row r="12">
      <x:c r="A12" s="19" t="str">
        <x:v>同店与订单</x:v>
      </x:c>
      <x:c r="B12" s="20" t="str">
        <x:v>1H25</x:v>
      </x:c>
      <x:c r="C12" s="20" t="str">
        <x:v>FY2025</x:v>
      </x:c>
      <x:c r="D12" s="21" t="str">
        <x:v>1H26</x:v>
      </x:c>
      <x:c r="F12" s="19" t="str">
        <x:v>盈利/效率</x:v>
      </x:c>
      <x:c r="G12" s="20" t="str">
        <x:v>1H25</x:v>
      </x:c>
      <x:c r="H12" s="21" t="str">
        <x:v>1H26</x:v>
      </x:c>
    </x:row>
    <x:row r="13">
      <x:c r="A13" s="11" t="str">
        <x:v>SSTG</x:v>
      </x:c>
      <x:c r="B13" s="91" t="n">
        <x:v>0.039</x:v>
      </x:c>
      <x:c r="C13" s="91" t="n">
        <x:v>0.084</x:v>
      </x:c>
      <x:c r="D13" s="91" t="n">
        <x:v>0.071</x:v>
      </x:c>
      <x:c r="F13" s="11" t="str">
        <x:v>门店经营利润率</x:v>
      </x:c>
      <x:c r="G13" s="98" t="n">
        <x:v>0.146</x:v>
      </x:c>
      <x:c r="H13" s="98" t="n">
        <x:v>0.125</x:v>
      </x:c>
    </x:row>
    <x:row r="14">
      <x:c r="A14" s="14" t="str">
        <x:v>SSSG</x:v>
      </x:c>
      <x:c r="B14" s="40" t="n">
        <x:v>-0.01</x:v>
      </x:c>
      <x:c r="C14" s="40" t="n">
        <x:v>-0.019</x:v>
      </x:c>
      <x:c r="D14" s="40" t="n">
        <x:v>-0.048</x:v>
      </x:c>
      <x:c r="F14" s="14" t="str">
        <x:v>调整EBITDA率</x:v>
      </x:c>
      <x:c r="G14" s="94" t="n">
        <x:v>0.124</x:v>
      </x:c>
      <x:c r="H14" s="94" t="n">
        <x:v>0.112</x:v>
      </x:c>
    </x:row>
    <x:row r="15">
      <x:c r="A15" s="14" t="str">
        <x:v>ATP（RMB）</x:v>
      </x:c>
      <x:c r="B15" s="92" t="n">
        <x:v>80.7</x:v>
      </x:c>
      <x:c r="C15" s="92" t="n">
        <x:v>74.9</x:v>
      </x:c>
      <x:c r="D15" s="92" t="n">
        <x:v>72.9</x:v>
      </x:c>
      <x:c r="F15" s="14" t="str">
        <x:v>调整净利率</x:v>
      </x:c>
      <x:c r="G15" s="94" t="n">
        <x:v>0.035</x:v>
      </x:c>
      <x:c r="H15" s="94" t="n">
        <x:v>0.031</x:v>
      </x:c>
    </x:row>
    <x:row r="16">
      <x:c r="A16" s="14" t="str">
        <x:v>ADS（RMB）</x:v>
      </x:c>
      <x:c r="B16" s="93" t="n">
        <x:v>12915</x:v>
      </x:c>
      <x:c r="C16" s="93" t="n">
        <x:v>12428</x:v>
      </x:c>
      <x:c r="D16" s="93" t="n">
        <x:v>11833</x:v>
      </x:c>
      <x:c r="F16" s="14" t="str">
        <x:v>原材料率</x:v>
      </x:c>
      <x:c r="G16" s="94" t="n">
        <x:v>0.273</x:v>
      </x:c>
      <x:c r="H16" s="94" t="n">
        <x:v>0.276</x:v>
      </x:c>
    </x:row>
    <x:row r="17">
      <x:c r="A17" s="14" t="str">
        <x:v>ADTC（单/日）</x:v>
      </x:c>
      <x:c r="B17" s="93" t="n">
        <x:v>160</x:v>
      </x:c>
      <x:c r="C17" s="93"/>
      <x:c r="D17" s="93" t="n">
        <x:v>162</x:v>
      </x:c>
      <x:c r="F17" s="14" t="str">
        <x:v>人工成本率</x:v>
      </x:c>
      <x:c r="G17" s="94" t="n">
        <x:v>0.338</x:v>
      </x:c>
      <x:c r="H17" s="94" t="n">
        <x:v>0.344</x:v>
      </x:c>
    </x:row>
    <x:row r="18">
      <x:c r="A18" s="14" t="str">
        <x:v>交易量同比</x:v>
      </x:c>
      <x:c r="B18" s="94"/>
      <x:c r="C18" s="94"/>
      <x:c r="D18" s="94" t="n">
        <x:v>0.337</x:v>
      </x:c>
      <x:c r="F18" s="14" t="str">
        <x:v>广告推广费率</x:v>
      </x:c>
      <x:c r="G18" s="94" t="n">
        <x:v>0.053</x:v>
      </x:c>
      <x:c r="H18" s="94" t="n">
        <x:v>0.05</x:v>
      </x:c>
    </x:row>
    <x:row r="19">
      <x:c r="A19" s="14" t="str">
        <x:v>新市场新店ADS（RMB）</x:v>
      </x:c>
      <x:c r="B19" s="95"/>
      <x:c r="C19" s="95"/>
      <x:c r="D19" s="95" t="n">
        <x:v>28230</x:v>
      </x:c>
      <x:c r="F19" s="14" t="str">
        <x:v>按时送达率</x:v>
      </x:c>
      <x:c r="G19" s="94"/>
      <x:c r="H19" s="94" t="n">
        <x:v>0.936</x:v>
      </x:c>
    </x:row>
    <x:row r="20">
      <x:c r="A20" s="16" t="str">
        <x:v>新市场新店回收期（月）</x:v>
      </x:c>
      <x:c r="B20" s="96"/>
      <x:c r="C20" s="96"/>
      <x:c r="D20" s="96" t="n">
        <x:v>14.8</x:v>
      </x:c>
      <x:c r="F20" s="14" t="str">
        <x:v>会员数（mn）</x:v>
      </x:c>
      <x:c r="G20" s="76" t="n">
        <x:v>30.1</x:v>
      </x:c>
      <x:c r="H20" s="76" t="n">
        <x:v>41.9</x:v>
      </x:c>
    </x:row>
    <x:row r="21">
      <x:c r="F21" s="14" t="str">
        <x:v>全职员工</x:v>
      </x:c>
      <x:c r="G21" s="93"/>
      <x:c r="H21" s="93" t="n">
        <x:v>10497</x:v>
      </x:c>
    </x:row>
    <x:row r="22">
      <x:c r="F22" s="16" t="str">
        <x:v>兼职员工</x:v>
      </x:c>
      <x:c r="G22" s="99"/>
      <x:c r="H22" s="99" t="n">
        <x:v>26932</x:v>
      </x:c>
    </x:row>
    <x:row r="24">
      <x:c r="A24" s="64" t="str">
        <x:v>注意：新市场新店ADS RMB28,230与14.8个月回收期仅覆盖2025年末或2026H1进入城市的新开门店，含开业流量红利，不可直接外推全网稳态回报。</x:v>
      </x:c>
      <x:c r="B24" s="64" t="str">
        <x:v>注意：新市场新店ADS RMB28,230与14.8个月回收期仅覆盖2025年末或2026H1进入城市的新开门店，含开业流量红利，不可直接外推全网稳态回报。</x:v>
      </x:c>
      <x:c r="C24" s="64" t="str">
        <x:v>注意：新市场新店ADS RMB28,230与14.8个月回收期仅覆盖2025年末或2026H1进入城市的新开门店，含开业流量红利，不可直接外推全网稳态回报。</x:v>
      </x:c>
      <x:c r="D24" s="64" t="str">
        <x:v>注意：新市场新店ADS RMB28,230与14.8个月回收期仅覆盖2025年末或2026H1进入城市的新开门店，含开业流量红利，不可直接外推全网稳态回报。</x:v>
      </x:c>
      <x:c r="E24" s="64" t="str">
        <x:v>注意：新市场新店ADS RMB28,230与14.8个月回收期仅覆盖2025年末或2026H1进入城市的新开门店，含开业流量红利，不可直接外推全网稳态回报。</x:v>
      </x:c>
      <x:c r="F24" s="64" t="str">
        <x:v>注意：新市场新店ADS RMB28,230与14.8个月回收期仅覆盖2025年末或2026H1进入城市的新开门店，含开业流量红利，不可直接外推全网稳态回报。</x:v>
      </x:c>
      <x:c r="G24" s="64" t="str">
        <x:v>注意：新市场新店ADS RMB28,230与14.8个月回收期仅覆盖2025年末或2026H1进入城市的新开门店，含开业流量红利，不可直接外推全网稳态回报。</x:v>
      </x:c>
      <x:c r="H24" s="64" t="str">
        <x:v>注意：新市场新店ADS RMB28,230与14.8个月回收期仅覆盖2025年末或2026H1进入城市的新开门店，含开业流量红利，不可直接外推全网稳态回报。</x:v>
      </x:c>
    </x:row>
  </x:sheetData>
  <x:mergeCells>
    <x:mergeCell ref="A1:H1"/>
    <x:mergeCell ref="A24:H24"/>
  </x:mergeCells>
  <x:pageMargins left="0.7" right="0.7" top="0.75" bottom="0.75" header="0.3" footer="0.3"/>
  <x:legacyDrawing xmlns:r="http://schemas.openxmlformats.org/officeDocument/2006/relationships" r:id="Rbcd9aaef4a3547f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36" hidden="0" customWidth="1"/>
  </x:cols>
  <x:sheetData>
    <x:row r="1" ht="30" customHeight="1">
      <x:c r="A1" s="3" t="str">
        <x:v>资产负债、租赁与股东现金流</x:v>
      </x:c>
      <x:c r="B1" s="3" t="str">
        <x:v>资产负债、租赁与股东现金流</x:v>
      </x:c>
      <x:c r="C1" s="3" t="str">
        <x:v>资产负债、租赁与股东现金流</x:v>
      </x:c>
      <x:c r="D1" s="3" t="str">
        <x:v>资产负债、租赁与股东现金流</x:v>
      </x:c>
      <x:c r="E1" s="3" t="str">
        <x:v>资产负债、租赁与股东现金流</x:v>
      </x:c>
      <x:c r="F1" s="3" t="str">
        <x:v>资产负债、租赁与股东现金流</x:v>
      </x:c>
    </x:row>
    <x:row r="3">
      <x:c r="A3" s="19" t="str">
        <x:v>指标（RMB mn）</x:v>
      </x:c>
      <x:c r="B3" s="20" t="str">
        <x:v>2024-12</x:v>
      </x:c>
      <x:c r="C3" s="20" t="str">
        <x:v>2025-12</x:v>
      </x:c>
      <x:c r="D3" s="21" t="str">
        <x:v>2026-06</x:v>
      </x:c>
    </x:row>
    <x:row r="4">
      <x:c r="A4" s="11" t="str">
        <x:v>现金及银行结余</x:v>
      </x:c>
      <x:c r="B4" s="104" t="n">
        <x:v>1069.302</x:v>
      </x:c>
      <x:c r="C4" s="104" t="n">
        <x:v>1001.511</x:v>
      </x:c>
      <x:c r="D4" s="104" t="n">
        <x:v>934.706</x:v>
      </x:c>
    </x:row>
    <x:row r="5">
      <x:c r="A5" s="14" t="str">
        <x:v>银行借款</x:v>
      </x:c>
      <x:c r="B5" s="41" t="n">
        <x:v>200</x:v>
      </x:c>
      <x:c r="C5" s="41" t="n">
        <x:v>199.8</x:v>
      </x:c>
      <x:c r="D5" s="41" t="n">
        <x:v>199.6</x:v>
      </x:c>
    </x:row>
    <x:row r="6">
      <x:c r="A6" s="14" t="str">
        <x:v>租赁负债</x:v>
      </x:c>
      <x:c r="B6" s="41" t="n">
        <x:v>1368.178</x:v>
      </x:c>
      <x:c r="C6" s="41" t="n">
        <x:v>1807.29</x:v>
      </x:c>
      <x:c r="D6" s="41" t="n">
        <x:v>2031.101</x:v>
      </x:c>
    </x:row>
    <x:row r="7">
      <x:c r="A7" s="74" t="str">
        <x:v>剔除租赁净现金</x:v>
      </x:c>
      <x:c r="B7" s="78" t="n">
        <x:f>B4-B5</x:f>
        <x:v>869.3019999999999</x:v>
      </x:c>
      <x:c r="C7" s="78" t="n">
        <x:f>C4-C5</x:f>
        <x:v>801.711</x:v>
      </x:c>
      <x:c r="D7" s="78" t="n">
        <x:f>D4-D5</x:f>
        <x:v>735.106</x:v>
      </x:c>
    </x:row>
    <x:row r="8">
      <x:c r="A8" s="74" t="str">
        <x:v>租赁调整净负债</x:v>
      </x:c>
      <x:c r="B8" s="78" t="n">
        <x:f>B5+B6-B4</x:f>
        <x:v>498.8760000000002</x:v>
      </x:c>
      <x:c r="C8" s="78" t="n">
        <x:f>C5+C6-C4</x:f>
        <x:v>1005.579</x:v>
      </x:c>
      <x:c r="D8" s="78" t="n">
        <x:f>D5+D6-D4</x:f>
        <x:v>1295.995</x:v>
      </x:c>
    </x:row>
    <x:row r="9">
      <x:c r="A9" s="14" t="str">
        <x:v>流动资产</x:v>
      </x:c>
      <x:c r="B9" s="41"/>
      <x:c r="C9" s="41"/>
      <x:c r="D9" s="41" t="n">
        <x:v>1341.084</x:v>
      </x:c>
    </x:row>
    <x:row r="10">
      <x:c r="A10" s="14" t="str">
        <x:v>流动负债</x:v>
      </x:c>
      <x:c r="B10" s="41"/>
      <x:c r="C10" s="41"/>
      <x:c r="D10" s="41" t="n">
        <x:v>1587.643</x:v>
      </x:c>
    </x:row>
    <x:row r="11">
      <x:c r="A11" s="74" t="str">
        <x:v>流动比率</x:v>
      </x:c>
      <x:c r="B11" s="105"/>
      <x:c r="C11" s="105"/>
      <x:c r="D11" s="105" t="n">
        <x:v>0.845</x:v>
      </x:c>
    </x:row>
    <x:row r="12">
      <x:c r="A12" s="14" t="str">
        <x:v>总资产</x:v>
      </x:c>
      <x:c r="B12" s="76"/>
      <x:c r="C12" s="76" t="n">
        <x:v>5646.591</x:v>
      </x:c>
      <x:c r="D12" s="76" t="n">
        <x:v>5975.304</x:v>
      </x:c>
    </x:row>
    <x:row r="13">
      <x:c r="A13" s="14" t="str">
        <x:v>总负债</x:v>
      </x:c>
      <x:c r="B13" s="76"/>
      <x:c r="C13" s="76" t="n">
        <x:v>3210.189</x:v>
      </x:c>
      <x:c r="D13" s="76" t="n">
        <x:v>3453.514</x:v>
      </x:c>
    </x:row>
    <x:row r="14">
      <x:c r="A14" s="14" t="str">
        <x:v>总权益</x:v>
      </x:c>
      <x:c r="B14" s="76"/>
      <x:c r="C14" s="76" t="n">
        <x:v>2436.402</x:v>
      </x:c>
      <x:c r="D14" s="76" t="n">
        <x:v>2521.79</x:v>
      </x:c>
    </x:row>
    <x:row r="15">
      <x:c r="A15" s="14" t="str">
        <x:v>存货</x:v>
      </x:c>
      <x:c r="B15" s="76"/>
      <x:c r="C15" s="76" t="n">
        <x:v>132.065</x:v>
      </x:c>
      <x:c r="D15" s="76" t="n">
        <x:v>129.038</x:v>
      </x:c>
    </x:row>
    <x:row r="16">
      <x:c r="A16" s="16" t="str">
        <x:v>应收账款</x:v>
      </x:c>
      <x:c r="B16" s="106"/>
      <x:c r="C16" s="106" t="n">
        <x:v>17.349</x:v>
      </x:c>
      <x:c r="D16" s="106" t="n">
        <x:v>17.53</x:v>
      </x:c>
    </x:row>
    <x:row r="19">
      <x:c r="A19" s="19" t="str">
        <x:v>2026H1现金流桥（RMB mn）</x:v>
      </x:c>
      <x:c r="B19" s="20" t="str">
        <x:v>金额</x:v>
      </x:c>
      <x:c r="C19" s="20" t="str">
        <x:v>占CFO</x:v>
      </x:c>
      <x:c r="D19" s="20" t="str">
        <x:v>判断</x:v>
      </x:c>
      <x:c r="E19" s="20" t="str">
        <x:v>风险</x:v>
      </x:c>
      <x:c r="F19" s="21" t="str">
        <x:v>说明</x:v>
      </x:c>
    </x:row>
    <x:row r="20">
      <x:c r="A20" s="11" t="str">
        <x:v>经营现金流</x:v>
      </x:c>
      <x:c r="B20" s="104" t="n">
        <x:v>504.905</x:v>
      </x:c>
      <x:c r="C20" s="98" t="n">
        <x:f>B20/$B$20</x:f>
        <x:v>1</x:v>
      </x:c>
      <x:c r="D20" s="11" t="str">
        <x:v>强</x:v>
      </x:c>
      <x:c r="E20" s="11" t="str">
        <x:v>低</x:v>
      </x:c>
      <x:c r="F20" s="11" t="str">
        <x:v>利润兑现较好</x:v>
      </x:c>
    </x:row>
    <x:row r="21">
      <x:c r="A21" s="14" t="str">
        <x:v>资本开支</x:v>
      </x:c>
      <x:c r="B21" s="41" t="n">
        <x:v>-285.054</x:v>
      </x:c>
      <x:c r="C21" s="94" t="n">
        <x:f>-B21/$B$20</x:f>
        <x:v>0.5645695724938354</x:v>
      </x:c>
      <x:c r="D21" s="14" t="str">
        <x:v>高投入</x:v>
      </x:c>
      <x:c r="E21" s="14" t="str">
        <x:v>中</x:v>
      </x:c>
      <x:c r="F21" s="14" t="str">
        <x:v>快速开店和供应链投入</x:v>
      </x:c>
    </x:row>
    <x:row r="22">
      <x:c r="A22" s="14" t="str">
        <x:v>简化自由现金流</x:v>
      </x:c>
      <x:c r="B22" s="41" t="n">
        <x:v>219.851</x:v>
      </x:c>
      <x:c r="C22" s="94" t="n">
        <x:f>B22/$B$20</x:f>
        <x:v>0.43543042750616456</x:v>
      </x:c>
      <x:c r="D22" s="14" t="str">
        <x:v>表面为正</x:v>
      </x:c>
      <x:c r="E22" s="14" t="str">
        <x:v>中</x:v>
      </x:c>
      <x:c r="F22" s="14" t="str">
        <x:v>未扣租赁本金</x:v>
      </x:c>
    </x:row>
    <x:row r="23">
      <x:c r="A23" s="14" t="str">
        <x:v>租赁本金</x:v>
      </x:c>
      <x:c r="B23" s="41" t="n">
        <x:v>-233.309</x:v>
      </x:c>
      <x:c r="C23" s="94" t="n">
        <x:f>-B23/$B$20</x:f>
        <x:v>0.46208494667313654</x:v>
      </x:c>
      <x:c r="D23" s="14" t="str">
        <x:v>经营性支出</x:v>
      </x:c>
      <x:c r="E23" s="14" t="str">
        <x:v>高</x:v>
      </x:c>
      <x:c r="F23" s="14" t="str">
        <x:v>租赁密集模式的关键现金流</x:v>
      </x:c>
    </x:row>
    <x:row r="24">
      <x:c r="A24" s="14" t="str">
        <x:v>租赁后自由现金流</x:v>
      </x:c>
      <x:c r="B24" s="41" t="n">
        <x:v>-13.458</x:v>
      </x:c>
      <x:c r="C24" s="94" t="n">
        <x:f>B24/$B$20</x:f>
        <x:v>-0.026654519166972007</x:v>
      </x:c>
      <x:c r="D24" s="14" t="str">
        <x:v>转负</x:v>
      </x:c>
      <x:c r="E24" s="14" t="str">
        <x:v>高</x:v>
      </x:c>
      <x:c r="F24" s="14" t="str">
        <x:v>比简化FCF更接近股东现金流</x:v>
      </x:c>
    </x:row>
    <x:row r="25">
      <x:c r="A25" s="16" t="str">
        <x:v>租赁利息</x:v>
      </x:c>
      <x:c r="B25" s="107" t="n">
        <x:v>-35.344</x:v>
      </x:c>
      <x:c r="C25" s="97" t="n">
        <x:f>-B25/$B$20</x:f>
        <x:v>0.07000128737089156</x:v>
      </x:c>
      <x:c r="D25" s="16" t="str">
        <x:v>融资成本</x:v>
      </x:c>
      <x:c r="E25" s="16" t="str">
        <x:v>中</x:v>
      </x:c>
      <x:c r="F25" s="16" t="str">
        <x:v>IFRS16租赁资金成本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市场输入与情景假设</x:v>
      </x:c>
      <x:c r="B1" s="3" t="str">
        <x:v>市场输入与情景假设</x:v>
      </x:c>
      <x:c r="C1" s="3" t="str">
        <x:v>市场输入与情景假设</x:v>
      </x:c>
      <x:c r="D1" s="3" t="str">
        <x:v>市场输入与情景假设</x:v>
      </x:c>
      <x:c r="E1" s="3" t="str">
        <x:v>市场输入与情景假设</x:v>
      </x:c>
      <x:c r="F1" s="3" t="str">
        <x:v>市场输入与情景假设</x:v>
      </x:c>
      <x:c r="G1" s="3" t="str">
        <x:v>市场输入与情景假设</x:v>
      </x:c>
    </x:row>
    <x:row r="3">
      <x:c r="A3" s="19" t="str">
        <x:v>市场/资本输入</x:v>
      </x:c>
      <x:c r="B3" s="20" t="str">
        <x:v>数值</x:v>
      </x:c>
      <x:c r="C3" s="21" t="str">
        <x:v>说明</x:v>
      </x:c>
    </x:row>
    <x:row r="4">
      <x:c r="A4" s="11" t="str">
        <x:v>当前股价</x:v>
      </x:c>
      <x:c r="B4" s="37" t="n">
        <x:v>30.5</x:v>
      </x:c>
      <x:c r="C4" s="11" t="str">
        <x:v>2026-09-04收盘</x:v>
      </x:c>
    </x:row>
    <x:row r="5">
      <x:c r="A5" s="14" t="str">
        <x:v>法定已发行股份（mn）</x:v>
      </x:c>
      <x:c r="B5" s="115" t="n">
        <x:v>131.524</x:v>
      </x:c>
      <x:c r="C5" s="14" t="str">
        <x:v>按2026-08-31授予比例反推，约数</x:v>
      </x:c>
    </x:row>
    <x:row r="6">
      <x:c r="A6" s="14" t="str">
        <x:v>HKD/RMB</x:v>
      </x:c>
      <x:c r="B6" s="116" t="n">
        <x:v>1.1684</x:v>
      </x:c>
      <x:c r="C6" s="14" t="str">
        <x:v>2026-09-04：1 RMB=1.1684 HKD</x:v>
      </x:c>
    </x:row>
    <x:row r="7">
      <x:c r="A7" s="14" t="str">
        <x:v>市值（HKD bn）</x:v>
      </x:c>
      <x:c r="B7" s="38" t="n">
        <x:f>B4*B5/1000</x:f>
        <x:v>4.011482</x:v>
      </x:c>
      <x:c r="C7" s="14" t="str">
        <x:v>股价×法定股本</x:v>
      </x:c>
    </x:row>
    <x:row r="8">
      <x:c r="A8" s="14" t="str">
        <x:v>TTM调整净利润（RMB mn）</x:v>
      </x:c>
      <x:c r="B8" s="76" t="n">
        <x:f>'Historical'!D11-'Historical'!E11+'Historical'!F11</x:f>
        <x:v>194.633</x:v>
      </x:c>
      <x:c r="C8" s="14" t="str">
        <x:v>2025A-H1'25+H1'26</x:v>
      </x:c>
    </x:row>
    <x:row r="9">
      <x:c r="A9" s="14" t="str">
        <x:v>TTM调整P/E</x:v>
      </x:c>
      <x:c r="B9" s="39" t="n">
        <x:f>B7/(B8*B6/1000)</x:f>
        <x:v>17.63992859300239</x:v>
      </x:c>
      <x:c r="C9" s="14" t="str">
        <x:v>调整口径</x:v>
      </x:c>
    </x:row>
    <x:row r="10">
      <x:c r="A10" s="14" t="str">
        <x:v>模型摊薄股份（mn）</x:v>
      </x:c>
      <x:c r="B10" s="115" t="n">
        <x:v>136</x:v>
      </x:c>
      <x:c r="C10" s="14" t="str">
        <x:v>部分反映已授予奖励，未假设全额10%</x:v>
      </x:c>
    </x:row>
    <x:row r="11">
      <x:c r="A11" s="14" t="str">
        <x:v>已授予管理层期权（mn）</x:v>
      </x:c>
      <x:c r="B11" s="115" t="n">
        <x:v>3.419615</x:v>
      </x:c>
      <x:c r="C11" s="14" t="str">
        <x:v>2026-08-31；行权价HKD35.64</x:v>
      </x:c>
    </x:row>
    <x:row r="12">
      <x:c r="A12" s="14" t="str">
        <x:v>已授予管理层股份奖励（mn）</x:v>
      </x:c>
      <x:c r="B12" s="115" t="n">
        <x:v>1.017083</x:v>
      </x:c>
      <x:c r="C12" s="14" t="str">
        <x:v>2026-08-31；四年等额归属</x:v>
      </x:c>
    </x:row>
    <x:row r="13">
      <x:c r="A13" s="16" t="str">
        <x:v>计划授权上限（mn）</x:v>
      </x:c>
      <x:c r="B13" s="117" t="n">
        <x:v>13.161925</x:v>
      </x:c>
      <x:c r="C13" s="16" t="str">
        <x:v>2026-07-10股东批准的10%上限</x:v>
      </x:c>
    </x:row>
    <x:row r="16">
      <x:c r="A16" s="19" t="str">
        <x:v>情景</x:v>
      </x:c>
      <x:c r="B16" s="20" t="str">
        <x:v>2026收入增速</x:v>
      </x:c>
      <x:c r="C16" s="20" t="str">
        <x:v>2027收入增速</x:v>
      </x:c>
      <x:c r="D16" s="20" t="str">
        <x:v>2028收入增速</x:v>
      </x:c>
      <x:c r="E16" s="20" t="str">
        <x:v>2026调整净利率</x:v>
      </x:c>
      <x:c r="F16" s="20" t="str">
        <x:v>2027调整净利率</x:v>
      </x:c>
      <x:c r="G16" s="21" t="str">
        <x:v>2028调整净利率</x:v>
      </x:c>
    </x:row>
    <x:row r="17">
      <x:c r="A17" s="11" t="str">
        <x:v>Bear</x:v>
      </x:c>
      <x:c r="B17" s="98" t="n">
        <x:v>0.15</x:v>
      </x:c>
      <x:c r="C17" s="98" t="n">
        <x:v>0.12</x:v>
      </x:c>
      <x:c r="D17" s="98" t="n">
        <x:v>0.1</x:v>
      </x:c>
      <x:c r="E17" s="98" t="n">
        <x:v>0.025</x:v>
      </x:c>
      <x:c r="F17" s="98" t="n">
        <x:v>0.028</x:v>
      </x:c>
      <x:c r="G17" s="98" t="n">
        <x:v>0.03</x:v>
      </x:c>
    </x:row>
    <x:row r="18">
      <x:c r="A18" s="123" t="str">
        <x:v>Base</x:v>
      </x:c>
      <x:c r="B18" s="124" t="n">
        <x:v>0.2</x:v>
      </x:c>
      <x:c r="C18" s="124" t="n">
        <x:v>0.22</x:v>
      </x:c>
      <x:c r="D18" s="124" t="n">
        <x:v>0.2</x:v>
      </x:c>
      <x:c r="E18" s="124" t="n">
        <x:v>0.032</x:v>
      </x:c>
      <x:c r="F18" s="124" t="n">
        <x:v>0.04</x:v>
      </x:c>
      <x:c r="G18" s="124" t="n">
        <x:v>0.046</x:v>
      </x:c>
    </x:row>
    <x:row r="19">
      <x:c r="A19" s="16" t="str">
        <x:v>Bull</x:v>
      </x:c>
      <x:c r="B19" s="97" t="n">
        <x:v>0.24</x:v>
      </x:c>
      <x:c r="C19" s="97" t="n">
        <x:v>0.28</x:v>
      </x:c>
      <x:c r="D19" s="97" t="n">
        <x:v>0.25</x:v>
      </x:c>
      <x:c r="E19" s="97" t="n">
        <x:v>0.035</x:v>
      </x:c>
      <x:c r="F19" s="97" t="n">
        <x:v>0.048</x:v>
      </x:c>
      <x:c r="G19" s="97" t="n">
        <x:v>0.055</x:v>
      </x:c>
    </x:row>
    <x:row r="22">
      <x:c r="A22" s="19" t="str">
        <x:v>情景</x:v>
      </x:c>
      <x:c r="B22" s="20" t="str">
        <x:v>2026调整EBITDA率</x:v>
      </x:c>
      <x:c r="C22" s="20" t="str">
        <x:v>2027调整EBITDA率</x:v>
      </x:c>
      <x:c r="D22" s="20" t="str">
        <x:v>2028调整EBITDA率</x:v>
      </x:c>
      <x:c r="E22" s="20" t="str">
        <x:v>2027 P/E</x:v>
      </x:c>
      <x:c r="F22" s="20" t="str">
        <x:v>2027 EV/EBITDA</x:v>
      </x:c>
      <x:c r="G22" s="21" t="str">
        <x:v>租赁调整净负债</x:v>
      </x:c>
    </x:row>
    <x:row r="23">
      <x:c r="A23" s="11" t="str">
        <x:v>Bear</x:v>
      </x:c>
      <x:c r="B23" s="98" t="n">
        <x:v>0.105</x:v>
      </x:c>
      <x:c r="C23" s="98" t="n">
        <x:v>0.105</x:v>
      </x:c>
      <x:c r="D23" s="98" t="n">
        <x:v>0.108</x:v>
      </x:c>
      <x:c r="E23" s="133" t="n">
        <x:v>10</x:v>
      </x:c>
      <x:c r="F23" s="133" t="n">
        <x:v>5</x:v>
      </x:c>
      <x:c r="G23" s="134" t="n">
        <x:v>1500</x:v>
      </x:c>
    </x:row>
    <x:row r="24">
      <x:c r="A24" s="123" t="str">
        <x:v>Base</x:v>
      </x:c>
      <x:c r="B24" s="124" t="n">
        <x:v>0.112</x:v>
      </x:c>
      <x:c r="C24" s="124" t="n">
        <x:v>0.123</x:v>
      </x:c>
      <x:c r="D24" s="124" t="n">
        <x:v>0.13</x:v>
      </x:c>
      <x:c r="E24" s="135" t="n">
        <x:v>14</x:v>
      </x:c>
      <x:c r="F24" s="135" t="n">
        <x:v>7</x:v>
      </x:c>
      <x:c r="G24" s="136" t="n">
        <x:v>1300</x:v>
      </x:c>
    </x:row>
    <x:row r="25">
      <x:c r="A25" s="16" t="str">
        <x:v>Bull</x:v>
      </x:c>
      <x:c r="B25" s="97" t="n">
        <x:v>0.115</x:v>
      </x:c>
      <x:c r="C25" s="97" t="n">
        <x:v>0.13</x:v>
      </x:c>
      <x:c r="D25" s="97" t="n">
        <x:v>0.14</x:v>
      </x:c>
      <x:c r="E25" s="137" t="n">
        <x:v>18</x:v>
      </x:c>
      <x:c r="F25" s="137" t="n">
        <x:v>9</x:v>
      </x:c>
      <x:c r="G25" s="138" t="n">
        <x:v>1000</x:v>
      </x:c>
    </x:row>
    <x:row r="28">
      <x:c r="A28" s="19" t="str">
        <x:v>估值权重</x:v>
      </x:c>
      <x:c r="B28" s="20" t="str">
        <x:v>数值</x:v>
      </x:c>
      <x:c r="C28" s="21" t="str">
        <x:v>说明</x:v>
      </x:c>
    </x:row>
    <x:row r="29">
      <x:c r="A29" s="11" t="str">
        <x:v>调整P/E</x:v>
      </x:c>
      <x:c r="B29" s="142" t="n">
        <x:v>0.7</x:v>
      </x:c>
      <x:c r="C29" s="11" t="str">
        <x:v>反映成熟后盈利能力</x:v>
      </x:c>
    </x:row>
    <x:row r="30">
      <x:c r="A30" s="16" t="str">
        <x:v>租赁调整EV/EBITDA</x:v>
      </x:c>
      <x:c r="B30" s="143" t="n">
        <x:v>0.3</x:v>
      </x:c>
      <x:c r="C30" s="16" t="str">
        <x:v>扣除银行债务与租赁负债、加回现金</x:v>
      </x:c>
    </x:row>
    <x:row r="33">
      <x:c r="A33" s="64" t="str">
        <x:v>所有预测增长、利润率、倍数、净负债和摊薄股本均为分析假设，不是公司指引或一致预期。</x:v>
      </x:c>
      <x:c r="B33" s="64" t="str">
        <x:v>所有预测增长、利润率、倍数、净负债和摊薄股本均为分析假设，不是公司指引或一致预期。</x:v>
      </x:c>
      <x:c r="C33" s="64" t="str">
        <x:v>所有预测增长、利润率、倍数、净负债和摊薄股本均为分析假设，不是公司指引或一致预期。</x:v>
      </x:c>
      <x:c r="D33" s="64" t="str">
        <x:v>所有预测增长、利润率、倍数、净负债和摊薄股本均为分析假设，不是公司指引或一致预期。</x:v>
      </x:c>
      <x:c r="E33" s="64" t="str">
        <x:v>所有预测增长、利润率、倍数、净负债和摊薄股本均为分析假设，不是公司指引或一致预期。</x:v>
      </x:c>
      <x:c r="F33" s="64" t="str">
        <x:v>所有预测增长、利润率、倍数、净负债和摊薄股本均为分析假设，不是公司指引或一致预期。</x:v>
      </x:c>
      <x:c r="G33" s="64" t="str">
        <x:v>所有预测增长、利润率、倍数、净负债和摊薄股本均为分析假设，不是公司指引或一致预期。</x:v>
      </x:c>
    </x:row>
  </x:sheetData>
  <x:mergeCells>
    <x:mergeCell ref="A1:G1"/>
    <x:mergeCell ref="A33:G33"/>
  </x:mergeCells>
  <x:pageMargins left="0.7" right="0.7" top="0.75" bottom="0.75" header="0.3" footer="0.3"/>
  <x:legacyDrawing xmlns:r="http://schemas.openxmlformats.org/officeDocument/2006/relationships" r:id="R16aa32488adc4e7b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</x:cols>
  <x:sheetData>
    <x:row r="1" ht="30" customHeight="1">
      <x:c r="A1" s="3" t="str">
        <x:v>Bear / Base / Bull 财务预测</x:v>
      </x:c>
      <x:c r="B1" s="3" t="str">
        <x:v>Bear / Base / Bull 财务预测</x:v>
      </x:c>
      <x:c r="C1" s="3" t="str">
        <x:v>Bear / Base / Bull 财务预测</x:v>
      </x:c>
      <x:c r="D1" s="3" t="str">
        <x:v>Bear / Base / Bull 财务预测</x:v>
      </x:c>
      <x:c r="E1" s="3" t="str">
        <x:v>Bear / Base / Bull 财务预测</x:v>
      </x:c>
      <x:c r="F1" s="3" t="str">
        <x:v>Bear / Base / Bull 财务预测</x:v>
      </x:c>
      <x:c r="G1" s="3" t="str">
        <x:v>Bear / Base / Bull 财务预测</x:v>
      </x:c>
      <x:c r="H1" s="3" t="str">
        <x:v>Bear / Base / Bull 财务预测</x:v>
      </x:c>
      <x:c r="I1" s="3" t="str">
        <x:v>Bear / Base / Bull 财务预测</x:v>
      </x:c>
      <x:c r="J1" s="3" t="str">
        <x:v>Bear / Base / Bull 财务预测</x:v>
      </x:c>
    </x:row>
    <x:row r="3">
      <x:c r="A3" s="19" t="str">
        <x:v>情景</x:v>
      </x:c>
      <x:c r="B3" s="20" t="str">
        <x:v>指标（RMB mn）</x:v>
      </x:c>
      <x:c r="C3" s="20" t="str">
        <x:v>2025A</x:v>
      </x:c>
      <x:c r="D3" s="20" t="str">
        <x:v>2026E</x:v>
      </x:c>
      <x:c r="E3" s="20" t="str">
        <x:v>2027E</x:v>
      </x:c>
      <x:c r="F3" s="20" t="str">
        <x:v>2028E</x:v>
      </x:c>
      <x:c r="G3" s="20" t="str">
        <x:v>2026同比</x:v>
      </x:c>
      <x:c r="H3" s="20" t="str">
        <x:v>2027同比</x:v>
      </x:c>
      <x:c r="I3" s="20" t="str">
        <x:v>2028同比</x:v>
      </x:c>
      <x:c r="J3" s="21" t="str">
        <x:v>说明</x:v>
      </x:c>
    </x:row>
    <x:row r="4">
      <x:c r="A4" s="11" t="str">
        <x:v>Bear</x:v>
      </x:c>
      <x:c r="B4" s="11" t="str">
        <x:v>收入</x:v>
      </x:c>
      <x:c r="C4" s="73" t="n">
        <x:f>'Historical'!D4</x:f>
        <x:v>5382.047</x:v>
      </x:c>
      <x:c r="D4" s="73" t="n">
        <x:f>C4*(1+'Assumptions'!B17)</x:f>
        <x:v>6189.354049999999</x:v>
      </x:c>
      <x:c r="E4" s="73" t="n">
        <x:f>D4*(1+'Assumptions'!C17)</x:f>
        <x:v>6932.076536</x:v>
      </x:c>
      <x:c r="F4" s="73" t="n">
        <x:f>E4*(1+'Assumptions'!D17)</x:f>
        <x:v>7625.2841896</x:v>
      </x:c>
      <x:c r="G4" s="98" t="n">
        <x:f>D4/C4-1</x:f>
        <x:v>0.1499999999999999</x:v>
      </x:c>
      <x:c r="H4" s="98" t="n">
        <x:f>E4/D4-1</x:f>
        <x:v>0.1200000000000001</x:v>
      </x:c>
      <x:c r="I4" s="98" t="n">
        <x:f>F4/E4-1</x:f>
        <x:v>0.10000000000000009</x:v>
      </x:c>
      <x:c r="J4" s="11" t="str">
        <x:v>Bear收入路径</x:v>
      </x:c>
    </x:row>
    <x:row r="5">
      <x:c r="A5" s="14" t="str">
        <x:v>Bear</x:v>
      </x:c>
      <x:c r="B5" s="14" t="str">
        <x:v>调整净利润</x:v>
      </x:c>
      <x:c r="C5" s="76" t="n">
        <x:f>'Historical'!D11</x:f>
        <x:v>187.9</x:v>
      </x:c>
      <x:c r="D5" s="76" t="n">
        <x:f>D4*D6</x:f>
        <x:v>154.73385125</x:v>
      </x:c>
      <x:c r="E5" s="76" t="n">
        <x:f>E4*E6</x:f>
        <x:v>194.098143008</x:v>
      </x:c>
      <x:c r="F5" s="76" t="n">
        <x:f>F4*F6</x:f>
        <x:v>228.758525688</x:v>
      </x:c>
      <x:c r="G5" s="14"/>
      <x:c r="H5" s="14"/>
      <x:c r="I5" s="14"/>
      <x:c r="J5" s="14" t="str">
        <x:v>利润=收入×净利率</x:v>
      </x:c>
    </x:row>
    <x:row r="6">
      <x:c r="A6" s="14" t="str">
        <x:v>Bear</x:v>
      </x:c>
      <x:c r="B6" s="14" t="str">
        <x:v>调整净利率</x:v>
      </x:c>
      <x:c r="C6" s="94" t="n">
        <x:f>'Historical'!D12</x:f>
        <x:v>0.034912366986018524</x:v>
      </x:c>
      <x:c r="D6" s="94" t="n">
        <x:f>'Assumptions'!E17</x:f>
        <x:v>0.025</x:v>
      </x:c>
      <x:c r="E6" s="94" t="n">
        <x:f>'Assumptions'!F17</x:f>
        <x:v>0.028</x:v>
      </x:c>
      <x:c r="F6" s="94" t="n">
        <x:f>'Assumptions'!G17</x:f>
        <x:v>0.03</x:v>
      </x:c>
      <x:c r="G6" s="14"/>
      <x:c r="H6" s="14"/>
      <x:c r="I6" s="14"/>
      <x:c r="J6" s="14" t="str">
        <x:v>情景输入</x:v>
      </x:c>
    </x:row>
    <x:row r="7">
      <x:c r="A7" s="14" t="str">
        <x:v>Bear</x:v>
      </x:c>
      <x:c r="B7" s="14" t="str">
        <x:v>调整EBITDA</x:v>
      </x:c>
      <x:c r="C7" s="76" t="n">
        <x:f>'Historical'!D8</x:f>
        <x:v>634.608</x:v>
      </x:c>
      <x:c r="D7" s="76" t="n">
        <x:f>D4*D8</x:f>
        <x:v>649.8821752499998</x:v>
      </x:c>
      <x:c r="E7" s="76" t="n">
        <x:f>E4*E8</x:f>
        <x:v>727.86803628</x:v>
      </x:c>
      <x:c r="F7" s="76" t="n">
        <x:f>F4*F8</x:f>
        <x:v>823.5306924768</x:v>
      </x:c>
      <x:c r="G7" s="14"/>
      <x:c r="H7" s="14"/>
      <x:c r="I7" s="14"/>
      <x:c r="J7" s="14" t="str">
        <x:v>收入×EBITDA率</x:v>
      </x:c>
    </x:row>
    <x:row r="8">
      <x:c r="A8" s="16" t="str">
        <x:v>Bear</x:v>
      </x:c>
      <x:c r="B8" s="16" t="str">
        <x:v>调整EBITDA率</x:v>
      </x:c>
      <x:c r="C8" s="97" t="n">
        <x:f>'Historical'!D9</x:f>
        <x:v>0.11791201377468462</x:v>
      </x:c>
      <x:c r="D8" s="97" t="n">
        <x:f>'Assumptions'!B23</x:f>
        <x:v>0.105</x:v>
      </x:c>
      <x:c r="E8" s="97" t="n">
        <x:f>'Assumptions'!C23</x:f>
        <x:v>0.105</x:v>
      </x:c>
      <x:c r="F8" s="97" t="n">
        <x:f>'Assumptions'!D23</x:f>
        <x:v>0.108</x:v>
      </x:c>
      <x:c r="G8" s="16"/>
      <x:c r="H8" s="16"/>
      <x:c r="I8" s="16"/>
      <x:c r="J8" s="16" t="str">
        <x:v>情景输入</x:v>
      </x:c>
    </x:row>
    <x:row r="11">
      <x:c r="A11" s="144" t="str">
        <x:v>Base</x:v>
      </x:c>
      <x:c r="B11" s="144" t="str">
        <x:v>收入</x:v>
      </x:c>
      <x:c r="C11" s="145" t="n">
        <x:f>'Historical'!D4</x:f>
        <x:v>5382.047</x:v>
      </x:c>
      <x:c r="D11" s="145" t="n">
        <x:f>C11*(1+'Assumptions'!B18)</x:f>
        <x:v>6458.456399999999</x:v>
      </x:c>
      <x:c r="E11" s="145" t="n">
        <x:f>D11*(1+'Assumptions'!C18)</x:f>
        <x:v>7879.316807999999</x:v>
      </x:c>
      <x:c r="F11" s="145" t="n">
        <x:f>E11*(1+'Assumptions'!D18)</x:f>
        <x:v>9455.180169599998</x:v>
      </x:c>
      <x:c r="G11" s="146" t="n">
        <x:f>D11/C11-1</x:f>
        <x:v>0.19999999999999996</x:v>
      </x:c>
      <x:c r="H11" s="146" t="n">
        <x:f>E11/D11-1</x:f>
        <x:v>0.21999999999999997</x:v>
      </x:c>
      <x:c r="I11" s="146" t="n">
        <x:f>F11/E11-1</x:f>
        <x:v>0.19999999999999996</x:v>
      </x:c>
      <x:c r="J11" s="144" t="str">
        <x:v>Base收入路径</x:v>
      </x:c>
    </x:row>
    <x:row r="12">
      <x:c r="A12" s="123" t="str">
        <x:v>Base</x:v>
      </x:c>
      <x:c r="B12" s="123" t="str">
        <x:v>调整净利润</x:v>
      </x:c>
      <x:c r="C12" s="147" t="n">
        <x:f>'Historical'!D11</x:f>
        <x:v>187.9</x:v>
      </x:c>
      <x:c r="D12" s="147" t="n">
        <x:f>D11*D13</x:f>
        <x:v>206.67060479999998</x:v>
      </x:c>
      <x:c r="E12" s="147" t="n">
        <x:f>E11*E13</x:f>
        <x:v>315.17267231999995</x:v>
      </x:c>
      <x:c r="F12" s="147" t="n">
        <x:f>F11*F13</x:f>
        <x:v>434.9382878015999</x:v>
      </x:c>
      <x:c r="G12" s="123"/>
      <x:c r="H12" s="123"/>
      <x:c r="I12" s="123"/>
      <x:c r="J12" s="123" t="str">
        <x:v>利润=收入×净利率</x:v>
      </x:c>
    </x:row>
    <x:row r="13">
      <x:c r="A13" s="123" t="str">
        <x:v>Base</x:v>
      </x:c>
      <x:c r="B13" s="123" t="str">
        <x:v>调整净利率</x:v>
      </x:c>
      <x:c r="C13" s="124" t="n">
        <x:f>'Historical'!D12</x:f>
        <x:v>0.034912366986018524</x:v>
      </x:c>
      <x:c r="D13" s="124" t="n">
        <x:f>'Assumptions'!E18</x:f>
        <x:v>0.032</x:v>
      </x:c>
      <x:c r="E13" s="124" t="n">
        <x:f>'Assumptions'!F18</x:f>
        <x:v>0.04</x:v>
      </x:c>
      <x:c r="F13" s="124" t="n">
        <x:f>'Assumptions'!G18</x:f>
        <x:v>0.046</x:v>
      </x:c>
      <x:c r="G13" s="123"/>
      <x:c r="H13" s="123"/>
      <x:c r="I13" s="123"/>
      <x:c r="J13" s="123" t="str">
        <x:v>情景输入</x:v>
      </x:c>
    </x:row>
    <x:row r="14">
      <x:c r="A14" s="123" t="str">
        <x:v>Base</x:v>
      </x:c>
      <x:c r="B14" s="123" t="str">
        <x:v>调整EBITDA</x:v>
      </x:c>
      <x:c r="C14" s="147" t="n">
        <x:f>'Historical'!D8</x:f>
        <x:v>634.608</x:v>
      </x:c>
      <x:c r="D14" s="147" t="n">
        <x:f>D11*D15</x:f>
        <x:v>723.3471167999999</x:v>
      </x:c>
      <x:c r="E14" s="147" t="n">
        <x:f>E11*E15</x:f>
        <x:v>969.1559673839998</x:v>
      </x:c>
      <x:c r="F14" s="147" t="n">
        <x:f>F11*F15</x:f>
        <x:v>1229.1734220479998</x:v>
      </x:c>
      <x:c r="G14" s="123"/>
      <x:c r="H14" s="123"/>
      <x:c r="I14" s="123"/>
      <x:c r="J14" s="123" t="str">
        <x:v>收入×EBITDA率</x:v>
      </x:c>
    </x:row>
    <x:row r="15">
      <x:c r="A15" s="148" t="str">
        <x:v>Base</x:v>
      </x:c>
      <x:c r="B15" s="148" t="str">
        <x:v>调整EBITDA率</x:v>
      </x:c>
      <x:c r="C15" s="149" t="n">
        <x:f>'Historical'!D9</x:f>
        <x:v>0.11791201377468462</x:v>
      </x:c>
      <x:c r="D15" s="149" t="n">
        <x:f>'Assumptions'!B24</x:f>
        <x:v>0.112</x:v>
      </x:c>
      <x:c r="E15" s="149" t="n">
        <x:f>'Assumptions'!C24</x:f>
        <x:v>0.123</x:v>
      </x:c>
      <x:c r="F15" s="149" t="n">
        <x:f>'Assumptions'!D24</x:f>
        <x:v>0.13</x:v>
      </x:c>
      <x:c r="G15" s="148"/>
      <x:c r="H15" s="148"/>
      <x:c r="I15" s="148"/>
      <x:c r="J15" s="148" t="str">
        <x:v>情景输入</x:v>
      </x:c>
    </x:row>
    <x:row r="18">
      <x:c r="A18" s="11" t="str">
        <x:v>Bull</x:v>
      </x:c>
      <x:c r="B18" s="11" t="str">
        <x:v>收入</x:v>
      </x:c>
      <x:c r="C18" s="73" t="n">
        <x:f>'Historical'!D4</x:f>
        <x:v>5382.047</x:v>
      </x:c>
      <x:c r="D18" s="73" t="n">
        <x:f>C18*(1+'Assumptions'!B19)</x:f>
        <x:v>6673.73828</x:v>
      </x:c>
      <x:c r="E18" s="73" t="n">
        <x:f>D18*(1+'Assumptions'!C19)</x:f>
        <x:v>8542.384998399999</x:v>
      </x:c>
      <x:c r="F18" s="73" t="n">
        <x:f>E18*(1+'Assumptions'!D19)</x:f>
        <x:v>10677.981247999998</x:v>
      </x:c>
      <x:c r="G18" s="98" t="n">
        <x:f>D18/C18-1</x:f>
        <x:v>0.24</x:v>
      </x:c>
      <x:c r="H18" s="98" t="n">
        <x:f>E18/D18-1</x:f>
        <x:v>0.28</x:v>
      </x:c>
      <x:c r="I18" s="98" t="n">
        <x:f>F18/E18-1</x:f>
        <x:v>0.25</x:v>
      </x:c>
      <x:c r="J18" s="11" t="str">
        <x:v>Bull收入路径</x:v>
      </x:c>
    </x:row>
    <x:row r="19">
      <x:c r="A19" s="14" t="str">
        <x:v>Bull</x:v>
      </x:c>
      <x:c r="B19" s="14" t="str">
        <x:v>调整净利润</x:v>
      </x:c>
      <x:c r="C19" s="76" t="n">
        <x:f>'Historical'!D11</x:f>
        <x:v>187.9</x:v>
      </x:c>
      <x:c r="D19" s="76" t="n">
        <x:f>D18*D20</x:f>
        <x:v>233.5808398</x:v>
      </x:c>
      <x:c r="E19" s="76" t="n">
        <x:f>E18*E20</x:f>
        <x:v>410.03447992319997</x:v>
      </x:c>
      <x:c r="F19" s="76" t="n">
        <x:f>F18*F20</x:f>
        <x:v>587.2889686399999</x:v>
      </x:c>
      <x:c r="G19" s="14"/>
      <x:c r="H19" s="14"/>
      <x:c r="I19" s="14"/>
      <x:c r="J19" s="14" t="str">
        <x:v>利润=收入×净利率</x:v>
      </x:c>
    </x:row>
    <x:row r="20">
      <x:c r="A20" s="14" t="str">
        <x:v>Bull</x:v>
      </x:c>
      <x:c r="B20" s="14" t="str">
        <x:v>调整净利率</x:v>
      </x:c>
      <x:c r="C20" s="94" t="n">
        <x:f>'Historical'!D12</x:f>
        <x:v>0.034912366986018524</x:v>
      </x:c>
      <x:c r="D20" s="94" t="n">
        <x:f>'Assumptions'!E19</x:f>
        <x:v>0.035</x:v>
      </x:c>
      <x:c r="E20" s="94" t="n">
        <x:f>'Assumptions'!F19</x:f>
        <x:v>0.048</x:v>
      </x:c>
      <x:c r="F20" s="94" t="n">
        <x:f>'Assumptions'!G19</x:f>
        <x:v>0.055</x:v>
      </x:c>
      <x:c r="G20" s="14"/>
      <x:c r="H20" s="14"/>
      <x:c r="I20" s="14"/>
      <x:c r="J20" s="14" t="str">
        <x:v>情景输入</x:v>
      </x:c>
    </x:row>
    <x:row r="21">
      <x:c r="A21" s="14" t="str">
        <x:v>Bull</x:v>
      </x:c>
      <x:c r="B21" s="14" t="str">
        <x:v>调整EBITDA</x:v>
      </x:c>
      <x:c r="C21" s="76" t="n">
        <x:f>'Historical'!D8</x:f>
        <x:v>634.608</x:v>
      </x:c>
      <x:c r="D21" s="76" t="n">
        <x:f>D18*D22</x:f>
        <x:v>767.4799022</x:v>
      </x:c>
      <x:c r="E21" s="76" t="n">
        <x:f>E18*E22</x:f>
        <x:v>1110.5100497919998</x:v>
      </x:c>
      <x:c r="F21" s="76" t="n">
        <x:f>F18*F22</x:f>
        <x:v>1494.91737472</x:v>
      </x:c>
      <x:c r="G21" s="14"/>
      <x:c r="H21" s="14"/>
      <x:c r="I21" s="14"/>
      <x:c r="J21" s="14" t="str">
        <x:v>收入×EBITDA率</x:v>
      </x:c>
    </x:row>
    <x:row r="22">
      <x:c r="A22" s="16" t="str">
        <x:v>Bull</x:v>
      </x:c>
      <x:c r="B22" s="16" t="str">
        <x:v>调整EBITDA率</x:v>
      </x:c>
      <x:c r="C22" s="97" t="n">
        <x:f>'Historical'!D9</x:f>
        <x:v>0.11791201377468462</x:v>
      </x:c>
      <x:c r="D22" s="97" t="n">
        <x:f>'Assumptions'!B25</x:f>
        <x:v>0.115</x:v>
      </x:c>
      <x:c r="E22" s="97" t="n">
        <x:f>'Assumptions'!C25</x:f>
        <x:v>0.13</x:v>
      </x:c>
      <x:c r="F22" s="97" t="n">
        <x:f>'Assumptions'!D25</x:f>
        <x:v>0.14</x:v>
      </x:c>
      <x:c r="G22" s="16"/>
      <x:c r="H22" s="16"/>
      <x:c r="I22" s="16"/>
      <x:c r="J22" s="16" t="str">
        <x:v>情景输入</x:v>
      </x:c>
    </x:row>
  </x:sheetData>
  <x:mergeCells>
    <x:mergeCell ref="A1:J1"/>
    <x:mergeCell ref="A4:A8"/>
    <x:mergeCell ref="A11:A15"/>
    <x:mergeCell ref="A18:A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2027E双方法情景估值</x:v>
      </x:c>
      <x:c r="B1" s="3" t="str">
        <x:v>2027E双方法情景估值</x:v>
      </x:c>
      <x:c r="C1" s="3" t="str">
        <x:v>2027E双方法情景估值</x:v>
      </x:c>
      <x:c r="D1" s="3" t="str">
        <x:v>2027E双方法情景估值</x:v>
      </x:c>
      <x:c r="E1" s="3" t="str">
        <x:v>2027E双方法情景估值</x:v>
      </x:c>
      <x:c r="F1" s="3" t="str">
        <x:v>2027E双方法情景估值</x:v>
      </x:c>
      <x:c r="G1" s="3" t="str">
        <x:v>2027E双方法情景估值</x:v>
      </x:c>
      <x:c r="H1" s="3" t="str">
        <x:v>2027E双方法情景估值</x:v>
      </x:c>
      <x:c r="I1" s="3" t="str">
        <x:v>2027E双方法情景估值</x:v>
      </x:c>
    </x:row>
    <x:row r="3">
      <x:c r="A3" s="19" t="str">
        <x:v>情景</x:v>
      </x:c>
      <x:c r="B3" s="20" t="str">
        <x:v>调整净利润</x:v>
      </x:c>
      <x:c r="C3" s="20" t="str">
        <x:v>P/E价值/股</x:v>
      </x:c>
      <x:c r="D3" s="20" t="str">
        <x:v>调整EBITDA</x:v>
      </x:c>
      <x:c r="E3" s="20" t="str">
        <x:v>EV/EBITDA价值/股</x:v>
      </x:c>
      <x:c r="F3" s="20" t="str">
        <x:v>P/E权重</x:v>
      </x:c>
      <x:c r="G3" s="20" t="str">
        <x:v>EV权重</x:v>
      </x:c>
      <x:c r="H3" s="20" t="str">
        <x:v>综合价值/股</x:v>
      </x:c>
      <x:c r="I3" s="21" t="str">
        <x:v>相对当前价格</x:v>
      </x:c>
    </x:row>
    <x:row r="5">
      <x:c r="A5" s="11" t="str">
        <x:v>Bear</x:v>
      </x:c>
      <x:c r="B5" s="73" t="n">
        <x:f>'Forecast'!E5</x:f>
        <x:v>194.098143008</x:v>
      </x:c>
      <x:c r="C5" s="37" t="n">
        <x:f>B5/'Assumptions'!$B$10*'Assumptions'!E23*'Assumptions'!$B$6</x:f>
        <x:v>16.675313991952002</x:v>
      </x:c>
      <x:c r="D5" s="73" t="n">
        <x:f>'Forecast'!E7</x:f>
        <x:v>727.86803628</x:v>
      </x:c>
      <x:c r="E5" s="37" t="n">
        <x:f>(D5*'Assumptions'!F23-'Assumptions'!G23)/'Assumptions'!$B$10*'Assumptions'!$B$6</x:f>
        <x:v>18.379449029027647</x:v>
      </x:c>
      <x:c r="F5" s="142" t="n">
        <x:f>'Assumptions'!$B$29</x:f>
        <x:v>0.7</x:v>
      </x:c>
      <x:c r="G5" s="142" t="n">
        <x:f>'Assumptions'!$B$30</x:f>
        <x:v>0.3</x:v>
      </x:c>
      <x:c r="H5" s="162" t="n">
        <x:f>C5*F5+E5*G5</x:f>
        <x:v>17.186554503074696</x:v>
      </x:c>
      <x:c r="I5" s="91" t="n">
        <x:f>H5/'Assumptions'!$B$4-1</x:f>
        <x:v>-0.4365064097352559</x:v>
      </x:c>
    </x:row>
    <x:row r="6">
      <x:c r="A6" s="123" t="str">
        <x:v>Base</x:v>
      </x:c>
      <x:c r="B6" s="147" t="n">
        <x:f>'Forecast'!E12</x:f>
        <x:v>315.17267231999995</x:v>
      </x:c>
      <x:c r="C6" s="163" t="n">
        <x:f>B6/'Assumptions'!$B$10*'Assumptions'!E24*'Assumptions'!$B$6</x:f>
        <x:v>37.907856652511995</x:v>
      </x:c>
      <x:c r="D6" s="147" t="n">
        <x:f>'Forecast'!E14</x:f>
        <x:v>969.1559673839998</x:v>
      </x:c>
      <x:c r="E6" s="163" t="n">
        <x:f>(D6*'Assumptions'!F24-'Assumptions'!G24)/'Assumptions'!$B$10*'Assumptions'!$B$6</x:f>
        <x:v>47.11480019147248</x:v>
      </x:c>
      <x:c r="F6" s="164" t="n">
        <x:f>'Assumptions'!$B$29</x:f>
        <x:v>0.7</x:v>
      </x:c>
      <x:c r="G6" s="164" t="n">
        <x:f>'Assumptions'!$B$30</x:f>
        <x:v>0.3</x:v>
      </x:c>
      <x:c r="H6" s="165" t="n">
        <x:f>C6*F6+E6*G6</x:f>
        <x:v>40.66993971420014</x:v>
      </x:c>
      <x:c r="I6" s="166" t="n">
        <x:f>H6/'Assumptions'!$B$4-1</x:f>
        <x:v>0.3334406463672177</x:v>
      </x:c>
    </x:row>
    <x:row r="7">
      <x:c r="A7" s="16" t="str">
        <x:v>Bull</x:v>
      </x:c>
      <x:c r="B7" s="106" t="n">
        <x:f>'Forecast'!E19</x:f>
        <x:v>410.03447992319997</x:v>
      </x:c>
      <x:c r="C7" s="167" t="n">
        <x:f>B7/'Assumptions'!$B$10*'Assumptions'!E25*'Assumptions'!$B$6</x:f>
        <x:v>63.408214368829434</x:v>
      </x:c>
      <x:c r="D7" s="106" t="n">
        <x:f>'Forecast'!E21</x:f>
        <x:v>1110.5100497919998</x:v>
      </x:c>
      <x:c r="E7" s="167" t="n">
        <x:f>(D7*'Assumptions'!F25-'Assumptions'!G25)/'Assumptions'!$B$10*'Assumptions'!$B$6</x:f>
        <x:v>77.27411382053495</x:v>
      </x:c>
      <x:c r="F7" s="143" t="n">
        <x:f>'Assumptions'!$B$29</x:f>
        <x:v>0.7</x:v>
      </x:c>
      <x:c r="G7" s="143" t="n">
        <x:f>'Assumptions'!$B$30</x:f>
        <x:v>0.3</x:v>
      </x:c>
      <x:c r="H7" s="168" t="n">
        <x:f>C7*F7+E7*G7</x:f>
        <x:v>67.56798420434109</x:v>
      </x:c>
      <x:c r="I7" s="169" t="n">
        <x:f>H7/'Assumptions'!$B$4-1</x:f>
        <x:v>1.2153437444046258</x:v>
      </x:c>
    </x:row>
    <x:row r="11">
      <x:c r="A11" s="19" t="str">
        <x:v>Base P/E敏感性：2027调整净利率与P/E（HKD/股）</x:v>
      </x:c>
      <x:c r="B11" s="20" t="str">
        <x:v>Base P/E敏感性：2027调整净利率与P/E（HKD/股）</x:v>
      </x:c>
      <x:c r="C11" s="20" t="str">
        <x:v>Base P/E敏感性：2027调整净利率与P/E（HKD/股）</x:v>
      </x:c>
      <x:c r="D11" s="20" t="str">
        <x:v>Base P/E敏感性：2027调整净利率与P/E（HKD/股）</x:v>
      </x:c>
      <x:c r="E11" s="20" t="str">
        <x:v>Base P/E敏感性：2027调整净利率与P/E（HKD/股）</x:v>
      </x:c>
      <x:c r="F11" s="20" t="str">
        <x:v>Base P/E敏感性：2027调整净利率与P/E（HKD/股）</x:v>
      </x:c>
      <x:c r="G11" s="21" t="str">
        <x:v>Base P/E敏感性：2027调整净利率与P/E（HKD/股）</x:v>
      </x:c>
    </x:row>
    <x:row r="12">
      <x:c r="A12" s="48" t="str">
        <x:v>净利率 \ P/E</x:v>
      </x:c>
      <x:c r="B12" s="49" t="n">
        <x:v>10</x:v>
      </x:c>
      <x:c r="C12" s="49" t="n">
        <x:v>12</x:v>
      </x:c>
      <x:c r="D12" s="49" t="n">
        <x:v>14</x:v>
      </x:c>
      <x:c r="E12" s="49" t="n">
        <x:v>16</x:v>
      </x:c>
      <x:c r="F12" s="49" t="n">
        <x:v>18</x:v>
      </x:c>
      <x:c r="G12" s="50" t="str">
        <x:v>说明</x:v>
      </x:c>
    </x:row>
    <x:row r="13">
      <x:c r="A13" s="98" t="n">
        <x:v>0.03</x:v>
      </x:c>
      <x:c r="B13" s="37" t="n">
        <x:f>'Forecast'!E11*$A13/'Assumptions'!$B$10*B$12*'Assumptions'!$B$6</x:f>
        <x:v>20.307780349559998</x:v>
      </x:c>
      <x:c r="C13" s="37" t="n">
        <x:f>'Forecast'!E11*$A13/'Assumptions'!$B$10*C$12*'Assumptions'!$B$6</x:f>
        <x:v>24.369336419472</x:v>
      </x:c>
      <x:c r="D13" s="37" t="n">
        <x:f>'Forecast'!E11*$A13/'Assumptions'!$B$10*D$12*'Assumptions'!$B$6</x:f>
        <x:v>28.430892489383996</x:v>
      </x:c>
      <x:c r="E13" s="37" t="n">
        <x:f>'Forecast'!E11*$A13/'Assumptions'!$B$10*E$12*'Assumptions'!$B$6</x:f>
        <x:v>32.492448559295994</x:v>
      </x:c>
      <x:c r="F13" s="37" t="n">
        <x:f>'Forecast'!E11*$A13/'Assumptions'!$B$10*F$12*'Assumptions'!$B$6</x:f>
        <x:v>36.554004629207995</x:v>
      </x:c>
      <x:c r="G13" s="11" t="str">
        <x:v>利润率不修复</x:v>
      </x:c>
    </x:row>
    <x:row r="14">
      <x:c r="A14" s="94" t="n">
        <x:v>0.035</x:v>
      </x:c>
      <x:c r="B14" s="42" t="n">
        <x:f>'Forecast'!E11*$A14/'Assumptions'!$B$10*B$12*'Assumptions'!$B$6</x:f>
        <x:v>23.69241040782</x:v>
      </x:c>
      <x:c r="C14" s="42" t="n">
        <x:f>'Forecast'!E11*$A14/'Assumptions'!$B$10*C$12*'Assumptions'!$B$6</x:f>
        <x:v>28.430892489383996</x:v>
      </x:c>
      <x:c r="D14" s="42" t="n">
        <x:f>'Forecast'!E11*$A14/'Assumptions'!$B$10*D$12*'Assumptions'!$B$6</x:f>
        <x:v>33.169374570947994</x:v>
      </x:c>
      <x:c r="E14" s="42" t="n">
        <x:f>'Forecast'!E11*$A14/'Assumptions'!$B$10*E$12*'Assumptions'!$B$6</x:f>
        <x:v>37.907856652511995</x:v>
      </x:c>
      <x:c r="F14" s="42" t="n">
        <x:f>'Forecast'!E11*$A14/'Assumptions'!$B$10*F$12*'Assumptions'!$B$6</x:f>
        <x:v>42.646338734076</x:v>
      </x:c>
      <x:c r="G14" s="14" t="str">
        <x:v>弱修复</x:v>
      </x:c>
    </x:row>
    <x:row r="15">
      <x:c r="A15" s="94" t="n">
        <x:v>0.04</x:v>
      </x:c>
      <x:c r="B15" s="42" t="n">
        <x:f>'Forecast'!E11*$A15/'Assumptions'!$B$10*B$12*'Assumptions'!$B$6</x:f>
        <x:v>27.077040466079996</x:v>
      </x:c>
      <x:c r="C15" s="42" t="n">
        <x:f>'Forecast'!E11*$A15/'Assumptions'!$B$10*C$12*'Assumptions'!$B$6</x:f>
        <x:v>32.492448559295994</x:v>
      </x:c>
      <x:c r="D15" s="42" t="n">
        <x:f>'Forecast'!E11*$A15/'Assumptions'!$B$10*D$12*'Assumptions'!$B$6</x:f>
        <x:v>37.907856652511995</x:v>
      </x:c>
      <x:c r="E15" s="42" t="n">
        <x:f>'Forecast'!E11*$A15/'Assumptions'!$B$10*E$12*'Assumptions'!$B$6</x:f>
        <x:v>43.323264745728</x:v>
      </x:c>
      <x:c r="F15" s="42" t="n">
        <x:f>'Forecast'!E11*$A15/'Assumptions'!$B$10*F$12*'Assumptions'!$B$6</x:f>
        <x:v>48.738672838944</x:v>
      </x:c>
      <x:c r="G15" s="14" t="str">
        <x:v>Base</x:v>
      </x:c>
    </x:row>
    <x:row r="16">
      <x:c r="A16" s="94" t="n">
        <x:v>0.045</x:v>
      </x:c>
      <x:c r="B16" s="42" t="n">
        <x:f>'Forecast'!E11*$A16/'Assumptions'!$B$10*B$12*'Assumptions'!$B$6</x:f>
        <x:v>30.461670524339997</x:v>
      </x:c>
      <x:c r="C16" s="42" t="n">
        <x:f>'Forecast'!E11*$A16/'Assumptions'!$B$10*C$12*'Assumptions'!$B$6</x:f>
        <x:v>36.554004629207995</x:v>
      </x:c>
      <x:c r="D16" s="42" t="n">
        <x:f>'Forecast'!E11*$A16/'Assumptions'!$B$10*D$12*'Assumptions'!$B$6</x:f>
        <x:v>42.646338734076</x:v>
      </x:c>
      <x:c r="E16" s="42" t="n">
        <x:f>'Forecast'!E11*$A16/'Assumptions'!$B$10*E$12*'Assumptions'!$B$6</x:f>
        <x:v>48.738672838944</x:v>
      </x:c>
      <x:c r="F16" s="42" t="n">
        <x:f>'Forecast'!E11*$A16/'Assumptions'!$B$10*F$12*'Assumptions'!$B$6</x:f>
        <x:v>54.83100694381199</x:v>
      </x:c>
      <x:c r="G16" s="14" t="str">
        <x:v>较强修复</x:v>
      </x:c>
    </x:row>
    <x:row r="17">
      <x:c r="A17" s="97" t="n">
        <x:v>0.05</x:v>
      </x:c>
      <x:c r="B17" s="167" t="n">
        <x:f>'Forecast'!E11*$A17/'Assumptions'!$B$10*B$12*'Assumptions'!$B$6</x:f>
        <x:v>33.846300582599994</x:v>
      </x:c>
      <x:c r="C17" s="167" t="n">
        <x:f>'Forecast'!E11*$A17/'Assumptions'!$B$10*C$12*'Assumptions'!$B$6</x:f>
        <x:v>40.615560699119996</x:v>
      </x:c>
      <x:c r="D17" s="167" t="n">
        <x:f>'Forecast'!E11*$A17/'Assumptions'!$B$10*D$12*'Assumptions'!$B$6</x:f>
        <x:v>47.38482081564</x:v>
      </x:c>
      <x:c r="E17" s="167" t="n">
        <x:f>'Forecast'!E11*$A17/'Assumptions'!$B$10*E$12*'Assumptions'!$B$6</x:f>
        <x:v>54.15408093215999</x:v>
      </x:c>
      <x:c r="F17" s="167" t="n">
        <x:f>'Forecast'!E11*$A17/'Assumptions'!$B$10*F$12*'Assumptions'!$B$6</x:f>
        <x:v>60.923341048679994</x:v>
      </x:c>
      <x:c r="G17" s="16" t="str">
        <x:v>显著修复</x:v>
      </x:c>
    </x:row>
    <x:row r="20">
      <x:c r="A20" s="19" t="str">
        <x:v>估值限制</x:v>
      </x:c>
      <x:c r="B20" s="20" t="str">
        <x:v>估值限制</x:v>
      </x:c>
      <x:c r="C20" s="20" t="str">
        <x:v>估值限制</x:v>
      </x:c>
      <x:c r="D20" s="20" t="str">
        <x:v>估值限制</x:v>
      </x:c>
      <x:c r="E20" s="20" t="str">
        <x:v>估值限制</x:v>
      </x:c>
      <x:c r="F20" s="20" t="str">
        <x:v>估值限制</x:v>
      </x:c>
      <x:c r="G20" s="20" t="str">
        <x:v>估值限制</x:v>
      </x:c>
      <x:c r="H20" s="20" t="str">
        <x:v>估值限制</x:v>
      </x:c>
      <x:c r="I20" s="21" t="str">
        <x:v>估值限制</x:v>
      </x:c>
    </x:row>
    <x:row r="21">
      <x:c r="A21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B21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C21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D21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E21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F21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G21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H21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I21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</x:row>
    <x:row r="22">
      <x:c r="A22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B22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C22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D22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E22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F22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G22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H22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I22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</x:row>
    <x:row r="23">
      <x:c r="A23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B23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C23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D23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E23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F23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G23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H23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I23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</x:row>
    <x:row r="24">
      <x:c r="A24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B24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C24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D24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E24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F24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G24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H24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I24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</x:row>
    <x:row r="25">
      <x:c r="A25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B25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C25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D25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E25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F25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G25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H25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I25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</x:row>
    <x:row r="26">
      <x:c r="A26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B26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C26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D26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E26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F26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G26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H26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  <x:c r="I26" s="45" t="str">
        <x:v>P/E法使用2027E调整净利润；EV/EBITDA法将银行借款与租赁负债都视为债务，并扣除现金，较适合租赁密集餐饮模式。模型未单独加入2027年主特许经营权续约失败的极端清算情景；Bear仍假设业务可持续经营。新门店开业流量、平台补贴、租赁负债增长和股权激励实际归属均可能令结果明显偏离。</x:v>
      </x:c>
    </x:row>
  </x:sheetData>
  <x:mergeCells>
    <x:mergeCell ref="A1:I1"/>
    <x:mergeCell ref="A11:G11"/>
    <x:mergeCell ref="A20:I20"/>
    <x:mergeCell ref="A21:I26"/>
  </x:mergeCells>
  <x:conditionalFormatting sqref="B13:F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6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IF(COUNTIF(F5:F15,"FAIL")=0,"OK","FAIL")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估值权重合计</x:v>
      </x:c>
      <x:c r="B5" s="170" t="n">
        <x:f>'Assumptions'!B29+'Assumptions'!B30</x:f>
        <x:v>1</x:v>
      </x:c>
      <x:c r="C5" s="170" t="n">
        <x:f>1</x:f>
        <x:v>1</x:v>
      </x:c>
      <x:c r="D5" s="170" t="n">
        <x:f>B5-C5</x:f>
        <x:v>0</x:v>
      </x:c>
      <x:c r="E5" s="170" t="n">
        <x:f>0.0001</x:f>
        <x:v>0.0001</x:v>
      </x:c>
      <x:c r="F5" s="11" t="str">
        <x:f>IF(ABS(D5)&lt;=E5,"OK","FAIL")</x:f>
        <x:v>OK</x:v>
      </x:c>
      <x:c r="G5" s="11" t="str">
        <x:v>两种估值权重应为100%</x:v>
      </x:c>
    </x:row>
    <x:row r="6">
      <x:c r="A6" s="14" t="str">
        <x:v>市值桥</x:v>
      </x:c>
      <x:c r="B6" s="116" t="n">
        <x:f>'Assumptions'!B7</x:f>
        <x:v>4.011482</x:v>
      </x:c>
      <x:c r="C6" s="116" t="n">
        <x:f>'Assumptions'!B4*'Assumptions'!B5/1000</x:f>
        <x:v>4.011482</x:v>
      </x:c>
      <x:c r="D6" s="116" t="n">
        <x:f>B6-C6</x:f>
        <x:v>0</x:v>
      </x:c>
      <x:c r="E6" s="116" t="n">
        <x:f>0.0001</x:f>
        <x:v>0.0001</x:v>
      </x:c>
      <x:c r="F6" s="14" t="str">
        <x:f>IF(ABS(D6)&lt;=E6,"OK","FAIL")</x:f>
        <x:v>OK</x:v>
      </x:c>
      <x:c r="G6" s="14" t="str">
        <x:v>股价×法定股份</x:v>
      </x:c>
    </x:row>
    <x:row r="7">
      <x:c r="A7" s="14" t="str">
        <x:v>TTM利润桥</x:v>
      </x:c>
      <x:c r="B7" s="116" t="n">
        <x:f>'Assumptions'!B8</x:f>
        <x:v>194.633</x:v>
      </x:c>
      <x:c r="C7" s="116" t="n">
        <x:f>'Historical'!D11-'Historical'!E11+'Historical'!F11</x:f>
        <x:v>194.633</x:v>
      </x:c>
      <x:c r="D7" s="116" t="n">
        <x:f>B7-C7</x:f>
        <x:v>0</x:v>
      </x:c>
      <x:c r="E7" s="116" t="n">
        <x:f>0.0001</x:f>
        <x:v>0.0001</x:v>
      </x:c>
      <x:c r="F7" s="14" t="str">
        <x:f>IF(ABS(D7)&lt;=E7,"OK","FAIL")</x:f>
        <x:v>OK</x:v>
      </x:c>
      <x:c r="G7" s="14" t="str">
        <x:v>2025A-H1'25+H1'26</x:v>
      </x:c>
    </x:row>
    <x:row r="8">
      <x:c r="A8" s="14" t="str">
        <x:v>TTM P/E桥</x:v>
      </x:c>
      <x:c r="B8" s="116" t="n">
        <x:f>'Assumptions'!B9</x:f>
        <x:v>17.63992859300239</x:v>
      </x:c>
      <x:c r="C8" s="116" t="n">
        <x:f>'Assumptions'!B7/('Assumptions'!B8*'Assumptions'!B6/1000)</x:f>
        <x:v>17.63992859300239</x:v>
      </x:c>
      <x:c r="D8" s="116" t="n">
        <x:f>B8-C8</x:f>
        <x:v>0</x:v>
      </x:c>
      <x:c r="E8" s="116" t="n">
        <x:f>0.0001</x:f>
        <x:v>0.0001</x:v>
      </x:c>
      <x:c r="F8" s="14" t="str">
        <x:f>IF(ABS(D8)&lt;=E8,"OK","FAIL")</x:f>
        <x:v>OK</x:v>
      </x:c>
      <x:c r="G8" s="14" t="str">
        <x:v>港币市值/港币利润</x:v>
      </x:c>
    </x:row>
    <x:row r="9">
      <x:c r="A9" s="14" t="str">
        <x:v>H1收入同比</x:v>
      </x:c>
      <x:c r="B9" s="116" t="n">
        <x:f>'Historical'!F5</x:f>
        <x:v>0.20838285024620284</x:v>
      </x:c>
      <x:c r="C9" s="116" t="n">
        <x:f>'Historical'!F4/'Historical'!E4-1</x:f>
        <x:v>0.20838285024620284</x:v>
      </x:c>
      <x:c r="D9" s="116" t="n">
        <x:f>B9-C9</x:f>
        <x:v>0</x:v>
      </x:c>
      <x:c r="E9" s="116" t="n">
        <x:f>0.0001</x:f>
        <x:v>0.0001</x:v>
      </x:c>
      <x:c r="F9" s="14" t="str">
        <x:f>IF(ABS(D9)&lt;=E9,"OK","FAIL")</x:f>
        <x:v>OK</x:v>
      </x:c>
      <x:c r="G9" s="14" t="str">
        <x:v>收入同比公式</x:v>
      </x:c>
    </x:row>
    <x:row r="10">
      <x:c r="A10" s="14" t="str">
        <x:v>H1门店利润率</x:v>
      </x:c>
      <x:c r="B10" s="116" t="n">
        <x:f>'Historical'!F7</x:f>
        <x:v>0.12456091758014531</x:v>
      </x:c>
      <x:c r="C10" s="116" t="n">
        <x:f>'Historical'!F6/'Historical'!F4</x:f>
        <x:v>0.12456091758014531</x:v>
      </x:c>
      <x:c r="D10" s="116" t="n">
        <x:f>B10-C10</x:f>
        <x:v>0</x:v>
      </x:c>
      <x:c r="E10" s="116" t="n">
        <x:f>0.0001</x:f>
        <x:v>0.0001</x:v>
      </x:c>
      <x:c r="F10" s="14" t="str">
        <x:f>IF(ABS(D10)&lt;=E10,"OK","FAIL")</x:f>
        <x:v>OK</x:v>
      </x:c>
      <x:c r="G10" s="14" t="str">
        <x:v>门店利润/收入</x:v>
      </x:c>
    </x:row>
    <x:row r="11">
      <x:c r="A11" s="14" t="str">
        <x:v>H1简化FCF</x:v>
      </x:c>
      <x:c r="B11" s="116" t="n">
        <x:f>'Historical'!F15</x:f>
        <x:v>219.851</x:v>
      </x:c>
      <x:c r="C11" s="116" t="n">
        <x:f>'Historical'!F13-'Historical'!F14</x:f>
        <x:v>219.851</x:v>
      </x:c>
      <x:c r="D11" s="116" t="n">
        <x:f>B11-C11</x:f>
        <x:v>0</x:v>
      </x:c>
      <x:c r="E11" s="116" t="n">
        <x:f>0.0001</x:f>
        <x:v>0.0001</x:v>
      </x:c>
      <x:c r="F11" s="14" t="str">
        <x:f>IF(ABS(D11)&lt;=E11,"OK","FAIL")</x:f>
        <x:v>OK</x:v>
      </x:c>
      <x:c r="G11" s="14" t="str">
        <x:v>CFO-资本开支</x:v>
      </x:c>
    </x:row>
    <x:row r="12">
      <x:c r="A12" s="14" t="str">
        <x:v>H1租赁后FCF</x:v>
      </x:c>
      <x:c r="B12" s="116" t="n">
        <x:f>'Historical'!F17</x:f>
        <x:v>-13.457999999999998</x:v>
      </x:c>
      <x:c r="C12" s="116" t="n">
        <x:f>'Historical'!F13-'Historical'!F14-'Historical'!F16</x:f>
        <x:v>-13.457999999999998</x:v>
      </x:c>
      <x:c r="D12" s="116" t="n">
        <x:f>B12-C12</x:f>
        <x:v>0</x:v>
      </x:c>
      <x:c r="E12" s="116" t="n">
        <x:f>0.0001</x:f>
        <x:v>0.0001</x:v>
      </x:c>
      <x:c r="F12" s="14" t="str">
        <x:f>IF(ABS(D12)&lt;=E12,"OK","FAIL")</x:f>
        <x:v>OK</x:v>
      </x:c>
      <x:c r="G12" s="14" t="str">
        <x:v>再扣租赁本金</x:v>
      </x:c>
    </x:row>
    <x:row r="13">
      <x:c r="A13" s="14" t="str">
        <x:v>净负债桥</x:v>
      </x:c>
      <x:c r="B13" s="116" t="n">
        <x:f>'Balance &amp; Cash'!D8</x:f>
        <x:v>1295.995</x:v>
      </x:c>
      <x:c r="C13" s="116" t="n">
        <x:f>'Balance &amp; Cash'!D5+'Balance &amp; Cash'!D6-'Balance &amp; Cash'!D4</x:f>
        <x:v>1295.995</x:v>
      </x:c>
      <x:c r="D13" s="116" t="n">
        <x:f>B13-C13</x:f>
        <x:v>0</x:v>
      </x:c>
      <x:c r="E13" s="116" t="n">
        <x:f>0.0001</x:f>
        <x:v>0.0001</x:v>
      </x:c>
      <x:c r="F13" s="14" t="str">
        <x:f>IF(ABS(D13)&lt;=E13,"OK","FAIL")</x:f>
        <x:v>OK</x:v>
      </x:c>
      <x:c r="G13" s="14" t="str">
        <x:v>银行债务+租赁-现金</x:v>
      </x:c>
    </x:row>
    <x:row r="14">
      <x:c r="A14" s="14" t="str">
        <x:v>股本与价格为正</x:v>
      </x:c>
      <x:c r="B14" s="116" t="n">
        <x:f>'Assumptions'!B4*'Assumptions'!B10</x:f>
        <x:v>4148</x:v>
      </x:c>
      <x:c r="C14" s="116" t="n">
        <x:f>0</x:f>
        <x:v>0</x:v>
      </x:c>
      <x:c r="D14" s="116" t="n">
        <x:f>B14-C14</x:f>
        <x:v>4148</x:v>
      </x:c>
      <x:c r="E14" s="116" t="n">
        <x:f>0</x:f>
        <x:v>0</x:v>
      </x:c>
      <x:c r="F14" s="14" t="str">
        <x:f>IF(B14&gt;C14,"OK","FAIL")</x:f>
        <x:v>OK</x:v>
      </x:c>
      <x:c r="G14" s="14" t="str">
        <x:v>必须为正</x:v>
      </x:c>
    </x:row>
    <x:row r="15">
      <x:c r="A15" s="16" t="str">
        <x:v>情景价值递增</x:v>
      </x:c>
      <x:c r="B15" s="171" t="n">
        <x:f>'Valuation'!H7-'Valuation'!H5</x:f>
        <x:v>50.38142970126639</x:v>
      </x:c>
      <x:c r="C15" s="171" t="n">
        <x:f>0</x:f>
        <x:v>0</x:v>
      </x:c>
      <x:c r="D15" s="171" t="n">
        <x:f>B15-C15</x:f>
        <x:v>50.38142970126639</x:v>
      </x:c>
      <x:c r="E15" s="171" t="n">
        <x:f>0</x:f>
        <x:v>0</x:v>
      </x:c>
      <x:c r="F15" s="16" t="str">
        <x:f>IF(B15&gt;C15,"OK","FAIL")</x:f>
        <x:v>OK</x:v>
      </x:c>
      <x:c r="G15" s="16" t="str">
        <x:v>Bull必须高于Bear</x:v>
      </x:c>
    </x:row>
  </x:sheetData>
  <x:mergeCells>
    <x:mergeCell ref="A1:G1"/>
    <x:mergeCell ref="A2:E2"/>
  </x:mergeCells>
  <x:conditionalFormatting sqref="F2:F15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17" hidden="0" customWidth="1"/>
    <x:col min="4" max="4" width="18" hidden="0" customWidth="1"/>
    <x:col min="5" max="5" width="16" hidden="0" customWidth="1"/>
    <x:col min="6" max="6" width="28" hidden="0" customWidth="1"/>
    <x:col min="7" max="7" width="76" hidden="0" customWidth="1"/>
    <x:col min="8" max="8" width="34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5" customHeight="1">
      <x:c r="A4" s="11" t="str">
        <x:v>S1</x:v>
      </x:c>
      <x:c r="B4" s="182" t="str">
        <x:v>2026H1财务、门店、同店、渠道、现金流</x:v>
      </x:c>
      <x:c r="C4" s="183"/>
      <x:c r="D4" s="182"/>
      <x:c r="E4" s="182" t="str">
        <x:v>1H26</x:v>
      </x:c>
      <x:c r="F4" s="182" t="str">
        <x:v>达势股份2026中期业绩公告</x:v>
      </x:c>
      <x:c r="G4" s="182" t="str">
        <x:v>https://www.etnet.com.hk/www/tc/stocks/realtime/quote_announcement_doc.php?newsid=5648300&amp;code=1405</x:v>
      </x:c>
      <x:c r="H4" s="182" t="str">
        <x:v>HKEX公告镜像；未经审计</x:v>
      </x:c>
    </x:row>
    <x:row r="5" ht="45" customHeight="1">
      <x:c r="A5" s="14" t="str">
        <x:v>S2</x:v>
      </x:c>
      <x:c r="B5" s="184" t="str">
        <x:v>2025及历史财务、特许经营协议</x:v>
      </x:c>
      <x:c r="C5" s="185"/>
      <x:c r="D5" s="184"/>
      <x:c r="E5" s="184" t="str">
        <x:v>FY2025</x:v>
      </x:c>
      <x:c r="F5" s="184" t="str">
        <x:v>达势股份2025年年度报告</x:v>
      </x:c>
      <x:c r="G5" s="184" t="str">
        <x:v>https://www1.hkexnews.hk/listedco/listconews/sehk/2026/0429/2026042902262.pdf</x:v>
      </x:c>
      <x:c r="H5" s="184" t="str">
        <x:v>PwC审计；标准无保留意见</x:v>
      </x:c>
    </x:row>
    <x:row r="6" ht="45" customHeight="1">
      <x:c r="A6" s="14" t="str">
        <x:v>S3</x:v>
      </x:c>
      <x:c r="B6" s="184" t="str">
        <x:v>2026H1业绩要点</x:v>
      </x:c>
      <x:c r="C6" s="185"/>
      <x:c r="D6" s="184"/>
      <x:c r="E6" s="184" t="str">
        <x:v>1H26</x:v>
      </x:c>
      <x:c r="F6" s="184" t="str">
        <x:v>公司新闻稿</x:v>
      </x:c>
      <x:c r="G6" s="184" t="str">
        <x:v>https://www.prnasia.com/story/545317-1.shtml</x:v>
      </x:c>
      <x:c r="H6" s="184" t="str">
        <x:v>公司发布</x:v>
      </x:c>
    </x:row>
    <x:row r="7" ht="45" customHeight="1">
      <x:c r="A7" s="14" t="str">
        <x:v>S4</x:v>
      </x:c>
      <x:c r="B7" s="184" t="str">
        <x:v>管理层期权与股份奖励</x:v>
      </x:c>
      <x:c r="C7" s="185" t="n">
        <x:v>4.436698</x:v>
      </x:c>
      <x:c r="D7" s="184" t="str">
        <x:v>mn awards/options</x:v>
      </x:c>
      <x:c r="E7" s="184" t="str">
        <x:v>2026-08-31</x:v>
      </x:c>
      <x:c r="F7" s="184" t="str">
        <x:v>授予公告</x:v>
      </x:c>
      <x:c r="G7" s="184" t="str">
        <x:v>https://www.etnet.com.hk/www/tc/stocks/realtime/quote_announcement_doc.php?newsid=5657676&amp;code=1405</x:v>
      </x:c>
      <x:c r="H7" s="184" t="str">
        <x:v>期权行权价HKD35.64；四年归属</x:v>
      </x:c>
    </x:row>
    <x:row r="8" ht="45" customHeight="1">
      <x:c r="A8" s="14" t="str">
        <x:v>M1</x:v>
      </x:c>
      <x:c r="B8" s="184" t="str">
        <x:v>港股收盘价</x:v>
      </x:c>
      <x:c r="C8" s="185" t="n">
        <x:v>30.5</x:v>
      </x:c>
      <x:c r="D8" s="184" t="str">
        <x:v>HKD/股</x:v>
      </x:c>
      <x:c r="E8" s="184" t="str">
        <x:v>2026-09-04</x:v>
      </x:c>
      <x:c r="F8" s="184" t="str">
        <x:v>Investing历史价格</x:v>
      </x:c>
      <x:c r="G8" s="184" t="str">
        <x:v>https://cn.investing.com/equities/dpc-dash-historical-data</x:v>
      </x:c>
      <x:c r="H8" s="184" t="str">
        <x:v>二级市场数据</x:v>
      </x:c>
    </x:row>
    <x:row r="9" ht="45" customHeight="1">
      <x:c r="A9" s="14" t="str">
        <x:v>M2</x:v>
      </x:c>
      <x:c r="B9" s="184" t="str">
        <x:v>HKD/RMB</x:v>
      </x:c>
      <x:c r="C9" s="185" t="n">
        <x:v>1.1684</x:v>
      </x:c>
      <x:c r="D9" s="184" t="str">
        <x:v>HKD/RMB</x:v>
      </x:c>
      <x:c r="E9" s="184" t="str">
        <x:v>2026-09-04</x:v>
      </x:c>
      <x:c r="F9" s="184" t="str">
        <x:v>ExchangeRates UK</x:v>
      </x:c>
      <x:c r="G9" s="184" t="str">
        <x:v>https://www.exchangerates.org.uk/CNY-HKD-spot-exchange-rates-history-2026.html</x:v>
      </x:c>
      <x:c r="H9" s="184" t="str">
        <x:v>1 RMB=1.1684 HKD</x:v>
      </x:c>
    </x:row>
    <x:row r="10" ht="45" customHeight="1">
      <x:c r="A10" s="14" t="str">
        <x:v>A1</x:v>
      </x:c>
      <x:c r="B10" s="184" t="str">
        <x:v>模型摊薄股份</x:v>
      </x:c>
      <x:c r="C10" s="185" t="n">
        <x:v>136</x:v>
      </x:c>
      <x:c r="D10" s="184" t="str">
        <x:v>mn shares</x:v>
      </x:c>
      <x:c r="E10" s="184" t="str">
        <x:v>估值</x:v>
      </x:c>
      <x:c r="F10" s="184" t="str">
        <x:v>分析假设</x:v>
      </x:c>
      <x:c r="G10" s="184" t="str"/>
      <x:c r="H10" s="184" t="str">
        <x:v>未假设10%授权全额归属</x:v>
      </x:c>
    </x:row>
    <x:row r="11" ht="45" customHeight="1">
      <x:c r="A11" s="14" t="str">
        <x:v>A2</x:v>
      </x:c>
      <x:c r="B11" s="184" t="str">
        <x:v>Base 2027收入增速</x:v>
      </x:c>
      <x:c r="C11" s="186" t="n">
        <x:v>0.22</x:v>
      </x:c>
      <x:c r="D11" s="184" t="str">
        <x:v>同比</x:v>
      </x:c>
      <x:c r="E11" s="184" t="str">
        <x:v>2027E</x:v>
      </x:c>
      <x:c r="F11" s="184" t="str">
        <x:v>分析假设</x:v>
      </x:c>
      <x:c r="G11" s="184" t="str"/>
      <x:c r="H11" s="184" t="str">
        <x:v>不是一致预期</x:v>
      </x:c>
    </x:row>
    <x:row r="12" ht="45" customHeight="1">
      <x:c r="A12" s="14" t="str">
        <x:v>A3</x:v>
      </x:c>
      <x:c r="B12" s="184" t="str">
        <x:v>Base 2027调整净利率</x:v>
      </x:c>
      <x:c r="C12" s="186" t="n">
        <x:v>0.04</x:v>
      </x:c>
      <x:c r="D12" s="184" t="str">
        <x:v>净利率</x:v>
      </x:c>
      <x:c r="E12" s="184" t="str">
        <x:v>2027E</x:v>
      </x:c>
      <x:c r="F12" s="184" t="str">
        <x:v>分析假设</x:v>
      </x:c>
      <x:c r="G12" s="184" t="str"/>
      <x:c r="H12" s="184" t="str">
        <x:v>较1H26 3.1%修复</x:v>
      </x:c>
    </x:row>
    <x:row r="13" ht="45" customHeight="1">
      <x:c r="A13" s="14" t="str">
        <x:v>A4</x:v>
      </x:c>
      <x:c r="B13" s="184" t="str">
        <x:v>Base 2027 P/E</x:v>
      </x:c>
      <x:c r="C13" s="185" t="n">
        <x:v>14</x:v>
      </x:c>
      <x:c r="D13" s="184" t="str">
        <x:v>x</x:v>
      </x:c>
      <x:c r="E13" s="184" t="str">
        <x:v>2027E</x:v>
      </x:c>
      <x:c r="F13" s="184" t="str">
        <x:v>分析假设</x:v>
      </x:c>
      <x:c r="G13" s="184" t="str"/>
      <x:c r="H13" s="184" t="str">
        <x:v>续约及利润率风险折价</x:v>
      </x:c>
    </x:row>
    <x:row r="14" ht="45" customHeight="1">
      <x:c r="A14" s="14" t="str">
        <x:v>A5</x:v>
      </x:c>
      <x:c r="B14" s="184" t="str">
        <x:v>Base 2027 EV/EBITDA</x:v>
      </x:c>
      <x:c r="C14" s="185" t="n">
        <x:v>7</x:v>
      </x:c>
      <x:c r="D14" s="184" t="str">
        <x:v>x</x:v>
      </x:c>
      <x:c r="E14" s="184" t="str">
        <x:v>2027E</x:v>
      </x:c>
      <x:c r="F14" s="184" t="str">
        <x:v>分析假设</x:v>
      </x:c>
      <x:c r="G14" s="184" t="str"/>
      <x:c r="H14" s="184" t="str">
        <x:v>租赁调整口径</x:v>
      </x:c>
    </x:row>
    <x:row r="15" ht="45" customHeight="1">
      <x:c r="A15" s="14" t="str">
        <x:v>A6</x:v>
      </x:c>
      <x:c r="B15" s="184" t="str">
        <x:v>Base租赁调整净负债</x:v>
      </x:c>
      <x:c r="C15" s="185" t="n">
        <x:v>1300</x:v>
      </x:c>
      <x:c r="D15" s="184" t="str">
        <x:v>RMB mn</x:v>
      </x:c>
      <x:c r="E15" s="184" t="str">
        <x:v>估值</x:v>
      </x:c>
      <x:c r="F15" s="184" t="str">
        <x:v>分析假设</x:v>
      </x:c>
      <x:c r="G15" s="184" t="str"/>
      <x:c r="H15" s="184" t="str">
        <x:v>接近1H26水平</x:v>
      </x:c>
    </x:row>
    <x:row r="16" ht="45" customHeight="1">
      <x:c r="A16" s="14" t="str">
        <x:v>A7</x:v>
      </x:c>
      <x:c r="B16" s="184" t="str">
        <x:v>P/E法权重</x:v>
      </x:c>
      <x:c r="C16" s="187" t="n">
        <x:v>0.7</x:v>
      </x:c>
      <x:c r="D16" s="184" t="str">
        <x:v>%</x:v>
      </x:c>
      <x:c r="E16" s="184" t="str">
        <x:v>估值</x:v>
      </x:c>
      <x:c r="F16" s="184" t="str">
        <x:v>分析假设</x:v>
      </x:c>
      <x:c r="G16" s="184" t="str"/>
      <x:c r="H16" s="184" t="str">
        <x:v>盈利为主锚</x:v>
      </x:c>
    </x:row>
    <x:row r="17" ht="45" customHeight="1">
      <x:c r="A17" s="16" t="str">
        <x:v>A8</x:v>
      </x:c>
      <x:c r="B17" s="188" t="str">
        <x:v>EV/EBITDA法权重</x:v>
      </x:c>
      <x:c r="C17" s="189" t="n">
        <x:v>0.3</x:v>
      </x:c>
      <x:c r="D17" s="188" t="str">
        <x:v>%</x:v>
      </x:c>
      <x:c r="E17" s="188" t="str">
        <x:v>估值</x:v>
      </x:c>
      <x:c r="F17" s="188" t="str">
        <x:v>分析假设</x:v>
      </x:c>
      <x:c r="G17" s="188" t="str"/>
      <x:c r="H17" s="188" t="str">
        <x:v>资本结构交叉验证</x:v>
      </x:c>
    </x:row>
  </x:sheetData>
  <x:mergeCells>
    <x:mergeCell ref="A1:H1"/>
  </x:mergeCells>
  <x:pageMargins left="0.7" right="0.7" top="0.75" bottom="0.75" header="0.3" footer="0.3"/>
</x:worksheet>
</file>
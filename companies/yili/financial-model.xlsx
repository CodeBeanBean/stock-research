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5a92dd888b47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395d0350a2e74d1a"/>
    <x:sheet xmlns:r="http://schemas.openxmlformats.org/officeDocument/2006/relationships" name="Historical" sheetId="2" r:id="R2179355e65584c1d"/>
    <x:sheet xmlns:r="http://schemas.openxmlformats.org/officeDocument/2006/relationships" name="Segments" sheetId="3" r:id="Rb7d98510fd4f4b1e"/>
    <x:sheet xmlns:r="http://schemas.openxmlformats.org/officeDocument/2006/relationships" name="Cash &amp; Debt" sheetId="4" r:id="R88a70a2ba7b247a6"/>
    <x:sheet xmlns:r="http://schemas.openxmlformats.org/officeDocument/2006/relationships" name="Normalization" sheetId="5" r:id="R11bb4f934c0c45b1"/>
    <x:sheet xmlns:r="http://schemas.openxmlformats.org/officeDocument/2006/relationships" name="Valuation" sheetId="6" r:id="Rf600c18f76174f7a"/>
    <x:sheet xmlns:r="http://schemas.openxmlformats.org/officeDocument/2006/relationships" name="Checks" sheetId="7" r:id="R1f6cf8779a284041"/>
    <x:sheet xmlns:r="http://schemas.openxmlformats.org/officeDocument/2006/relationships" name="Sources Audit" sheetId="8" r:id="R0652c6688b2741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6">
    <x:numFmt numFmtId="200" formatCode="yyyy-mm-dd"/>
    <x:numFmt numFmtId="201" formatCode="&quot;RMB &quot;0.00"/>
    <x:numFmt numFmtId="202" formatCode="0.0&quot; mn&quot;"/>
    <x:numFmt numFmtId="203" formatCode="0.0x"/>
    <x:numFmt numFmtId="204" formatCode="0.0%"/>
    <x:numFmt numFmtId="205" formatCode="0.0&quot; mn&quot;;[Red](0.0&quot; mn&quot;);-"/>
    <x:numFmt numFmtId="206" formatCode="0.0%;[Red](0.0%);-"/>
    <x:numFmt numFmtId="207" formatCode="0.0&quot; d&quot;"/>
    <x:numFmt numFmtId="208" formatCode="0.00x"/>
    <x:numFmt numFmtId="209" formatCode="0.00"/>
    <x:numFmt numFmtId="210" formatCode="0%"/>
    <x:numFmt numFmtId="211" formatCode="0.00&quot; 亿元&quot;"/>
    <x:numFmt numFmtId="212" formatCode="0&quot; mn&quot;"/>
    <x:numFmt numFmtId="213" formatCode="0x"/>
    <x:numFmt numFmtId="214" formatCode="0.0000"/>
    <x:numFmt numFmtId="215" formatCode="0.000"/>
  </x:numFmts>
  <x:fonts count="10">
    <x:font>
      <x:sz val="11"/>
      <x:name val="Carlito"/>
    </x:font>
    <x:font>
      <x:b/>
      <x:sz val="16"/>
      <x:color rgb="FF17365D"/>
      <x:name val="Carlito"/>
    </x:font>
    <x:font>
      <x:b/>
      <x:sz val="11"/>
      <x:color rgb="FF008000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sz val="11"/>
      <x:color rgb="FF0563C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9">
    <x:border/>
    <x:border>
      <x:bottom style="medium">
        <x:color rgb="FF1F4E78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B4C7E7"/>
      </x:bottom>
    </x:border>
  </x:borders>
  <x:cellStyleXfs count="1">
    <x:xf numFmtId="0" fontId="0" fillId="0" borderId="0"/>
  </x:cellStyleXfs>
  <x:cellXfs count="18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4" fillId="0" borderId="2" xfId="0" applyNumberFormat="1" applyFont="1" applyFill="1" applyBorder="1"/>
    <x:xf numFmtId="0" fontId="5" fillId="0" borderId="2" xfId="0" applyNumberFormat="1" applyFont="1" applyFill="1" applyBorder="1"/>
    <x:xf numFmtId="0" fontId="4" fillId="0" borderId="3" xfId="0" applyNumberFormat="1" applyFont="1" applyFill="1" applyBorder="1"/>
    <x:xf numFmtId="200" fontId="5" fillId="0" borderId="3" xfId="0" applyNumberFormat="1" applyFont="1" applyFill="1" applyBorder="1"/>
    <x:xf numFmtId="0" fontId="5" fillId="0" borderId="3" xfId="0" applyNumberFormat="1" applyFont="1" applyFill="1" applyBorder="1"/>
    <x:xf numFmtId="0" fontId="4" fillId="0" borderId="4" xfId="0" applyNumberFormat="1" applyFont="1" applyFill="1" applyBorder="1"/>
    <x:xf numFmtId="0" fontId="5" fillId="0" borderId="4" xfId="0" applyNumberFormat="1" applyFont="1" applyFill="1" applyBorder="1"/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5" xfId="0" applyNumberFormat="1" applyFont="1" applyFill="1" applyBorder="1"/>
    <x:xf numFmtId="0" fontId="6" fillId="2" borderId="6" xfId="0" applyNumberFormat="1" applyFont="1" applyFill="1" applyBorder="1"/>
    <x:xf numFmtId="0" fontId="6" fillId="2" borderId="7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201" fontId="5" fillId="0" borderId="2" xfId="0" applyNumberFormat="1" applyFont="1" applyFill="1" applyBorder="1"/>
    <x:xf numFmtId="202" fontId="5" fillId="0" borderId="3" xfId="0" applyNumberFormat="1" applyFont="1" applyFill="1" applyBorder="1"/>
    <x:xf numFmtId="203" fontId="5" fillId="0" borderId="3" xfId="0" applyNumberFormat="1" applyFont="1" applyFill="1" applyBorder="1"/>
    <x:xf numFmtId="204" fontId="5" fillId="0" borderId="3" xfId="0" applyNumberFormat="1" applyFont="1" applyFill="1" applyBorder="1"/>
    <x:xf numFmtId="201" fontId="5" fillId="0" borderId="3" xfId="0" applyNumberFormat="1" applyFont="1" applyFill="1" applyBorder="1"/>
    <x:xf numFmtId="201" fontId="5" fillId="0" borderId="4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8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5" fontId="0" fillId="3" borderId="0" xfId="0" applyNumberFormat="1" applyFont="1" applyFill="1" applyBorder="1"/>
    <x:xf numFmtId="206" fontId="0" fillId="3" borderId="0" xfId="0" applyNumberFormat="1" applyFont="1" applyFill="1" applyBorder="1"/>
    <x:xf numFmtId="0" fontId="3" fillId="3" borderId="0" xfId="0" applyNumberFormat="1" applyFont="1" applyFill="1" applyBorder="1"/>
    <x:xf numFmtId="205" fontId="3" fillId="3" borderId="0" xfId="0" applyNumberFormat="1" applyFont="1" applyFill="1" applyBorder="1"/>
    <x:xf numFmtId="206" fontId="3" fillId="3" borderId="0" xfId="0" applyNumberFormat="1" applyFont="1" applyFill="1" applyBorder="1"/>
    <x:xf numFmtId="205" fontId="5" fillId="0" borderId="0" xfId="0" applyNumberFormat="1" applyFont="1" applyFill="1" applyBorder="1"/>
    <x:xf numFmtId="206" fontId="5" fillId="0" borderId="0" xfId="0" applyNumberFormat="1" applyFont="1" applyFill="1" applyBorder="1"/>
    <x:xf numFmtId="0" fontId="5" fillId="3" borderId="0" xfId="0" applyNumberFormat="1" applyFont="1" applyFill="1" applyBorder="1"/>
    <x:xf numFmtId="205" fontId="5" fillId="3" borderId="0" xfId="0" applyNumberFormat="1" applyFont="1" applyFill="1" applyBorder="1"/>
    <x:xf numFmtId="206" fontId="5" fillId="3" borderId="0" xfId="0" applyNumberFormat="1" applyFont="1" applyFill="1" applyBorder="1"/>
    <x:xf numFmtId="0" fontId="4" fillId="3" borderId="0" xfId="0" applyNumberFormat="1" applyFont="1" applyFill="1" applyBorder="1"/>
    <x:xf numFmtId="205" fontId="4" fillId="3" borderId="0" xfId="0" applyNumberFormat="1" applyFont="1" applyFill="1" applyBorder="1"/>
    <x:xf numFmtId="206" fontId="4" fillId="3" borderId="0" xfId="0" applyNumberFormat="1" applyFont="1" applyFill="1" applyBorder="1"/>
    <x:xf numFmtId="205" fontId="5" fillId="0" borderId="2" xfId="0" applyNumberFormat="1" applyFont="1" applyFill="1" applyBorder="1"/>
    <x:xf numFmtId="206" fontId="5" fillId="0" borderId="2" xfId="0" applyNumberFormat="1" applyFont="1" applyFill="1" applyBorder="1"/>
    <x:xf numFmtId="206" fontId="5" fillId="0" borderId="3" xfId="0" applyNumberFormat="1" applyFont="1" applyFill="1" applyBorder="1"/>
    <x:xf numFmtId="205" fontId="5" fillId="0" borderId="3" xfId="0" applyNumberFormat="1" applyFont="1" applyFill="1" applyBorder="1"/>
    <x:xf numFmtId="0" fontId="5" fillId="3" borderId="3" xfId="0" applyNumberFormat="1" applyFont="1" applyFill="1" applyBorder="1"/>
    <x:xf numFmtId="205" fontId="5" fillId="3" borderId="3" xfId="0" applyNumberFormat="1" applyFont="1" applyFill="1" applyBorder="1"/>
    <x:xf numFmtId="206" fontId="5" fillId="3" borderId="3" xfId="0" applyNumberFormat="1" applyFont="1" applyFill="1" applyBorder="1"/>
    <x:xf numFmtId="0" fontId="4" fillId="3" borderId="3" xfId="0" applyNumberFormat="1" applyFont="1" applyFill="1" applyBorder="1"/>
    <x:xf numFmtId="205" fontId="4" fillId="3" borderId="3" xfId="0" applyNumberFormat="1" applyFont="1" applyFill="1" applyBorder="1"/>
    <x:xf numFmtId="206" fontId="4" fillId="3" borderId="3" xfId="0" applyNumberFormat="1" applyFont="1" applyFill="1" applyBorder="1"/>
    <x:xf numFmtId="206" fontId="5" fillId="0" borderId="4" xfId="0" applyNumberFormat="1" applyFont="1" applyFill="1" applyBorder="1"/>
    <x:xf numFmtId="202" fontId="3" fillId="0" borderId="0" xfId="0" applyNumberFormat="1" applyFont="1" applyFill="1" applyBorder="1"/>
    <x:xf numFmtId="204" fontId="3" fillId="0" borderId="0" xfId="0" applyNumberFormat="1" applyFont="1" applyFill="1" applyBorder="1"/>
    <x:xf numFmtId="202" fontId="4" fillId="0" borderId="0" xfId="0" applyNumberFormat="1" applyFont="1" applyFill="1" applyBorder="1"/>
    <x:xf numFmtId="204" fontId="4" fillId="0" borderId="0" xfId="0" applyNumberFormat="1" applyFont="1" applyFill="1" applyBorder="1"/>
    <x:xf numFmtId="202" fontId="5" fillId="0" borderId="2" xfId="0" applyNumberFormat="1" applyFont="1" applyFill="1" applyBorder="1"/>
    <x:xf numFmtId="204" fontId="5" fillId="0" borderId="2" xfId="0" applyNumberFormat="1" applyFont="1" applyFill="1" applyBorder="1"/>
    <x:xf numFmtId="202" fontId="4" fillId="0" borderId="4" xfId="0" applyNumberFormat="1" applyFont="1" applyFill="1" applyBorder="1"/>
    <x:xf numFmtId="204" fontId="4" fillId="0" borderId="4" xfId="0" applyNumberFormat="1" applyFont="1" applyFill="1" applyBorder="1"/>
    <x:xf numFmtId="0" fontId="0" fillId="5" borderId="0" xfId="0" applyNumberFormat="1" applyFont="1" applyFill="1" applyBorder="1"/>
    <x:xf numFmtId="204" fontId="0" fillId="5" borderId="0" xfId="0" applyNumberFormat="1" applyFont="1" applyFill="1" applyBorder="1"/>
    <x:xf numFmtId="0" fontId="0" fillId="6" borderId="0" xfId="0" applyNumberFormat="1" applyFont="1" applyFill="1" applyBorder="1"/>
    <x:xf numFmtId="204" fontId="0" fillId="6" borderId="0" xfId="0" applyNumberFormat="1" applyFont="1" applyFill="1" applyBorder="1"/>
    <x:xf numFmtId="0" fontId="5" fillId="5" borderId="0" xfId="0" applyNumberFormat="1" applyFont="1" applyFill="1" applyBorder="1"/>
    <x:xf numFmtId="204" fontId="5" fillId="5" borderId="0" xfId="0" applyNumberFormat="1" applyFont="1" applyFill="1" applyBorder="1"/>
    <x:xf numFmtId="0" fontId="5" fillId="6" borderId="0" xfId="0" applyNumberFormat="1" applyFont="1" applyFill="1" applyBorder="1"/>
    <x:xf numFmtId="204" fontId="5" fillId="6" borderId="0" xfId="0" applyNumberFormat="1" applyFont="1" applyFill="1" applyBorder="1"/>
    <x:xf numFmtId="0" fontId="5" fillId="5" borderId="3" xfId="0" applyNumberFormat="1" applyFont="1" applyFill="1" applyBorder="1"/>
    <x:xf numFmtId="204" fontId="5" fillId="5" borderId="3" xfId="0" applyNumberFormat="1" applyFont="1" applyFill="1" applyBorder="1"/>
    <x:xf numFmtId="0" fontId="5" fillId="6" borderId="3" xfId="0" applyNumberFormat="1" applyFont="1" applyFill="1" applyBorder="1"/>
    <x:xf numFmtId="204" fontId="5" fillId="6" borderId="3" xfId="0" applyNumberFormat="1" applyFont="1" applyFill="1" applyBorder="1"/>
    <x:xf numFmtId="204" fontId="5" fillId="0" borderId="4" xfId="0" applyNumberFormat="1" applyFont="1" applyFill="1" applyBorder="1"/>
    <x:xf numFmtId="202" fontId="0" fillId="5" borderId="0" xfId="0" applyNumberFormat="1" applyFont="1" applyFill="1" applyBorder="1"/>
    <x:xf numFmtId="0" fontId="3" fillId="5" borderId="0" xfId="0" applyNumberFormat="1" applyFont="1" applyFill="1" applyBorder="1"/>
    <x:xf numFmtId="202" fontId="3" fillId="5" borderId="0" xfId="0" applyNumberFormat="1" applyFont="1" applyFill="1" applyBorder="1"/>
    <x:xf numFmtId="0" fontId="4" fillId="5" borderId="0" xfId="0" applyNumberFormat="1" applyFont="1" applyFill="1" applyBorder="1"/>
    <x:xf numFmtId="202" fontId="4" fillId="5" borderId="0" xfId="0" applyNumberFormat="1" applyFont="1" applyFill="1" applyBorder="1"/>
    <x:xf numFmtId="0" fontId="4" fillId="5" borderId="4" xfId="0" applyNumberFormat="1" applyFont="1" applyFill="1" applyBorder="1"/>
    <x:xf numFmtId="202" fontId="4" fillId="5" borderId="4" xfId="0" applyNumberFormat="1" applyFont="1" applyFill="1" applyBorder="1"/>
    <x:xf numFmtId="207" fontId="0" fillId="0" borderId="0" xfId="0" applyNumberFormat="1" applyFont="1" applyFill="1" applyBorder="1"/>
    <x:xf numFmtId="207" fontId="5" fillId="0" borderId="0" xfId="0" applyNumberFormat="1" applyFont="1" applyFill="1" applyBorder="1"/>
    <x:xf numFmtId="207" fontId="5" fillId="0" borderId="2" xfId="0" applyNumberFormat="1" applyFont="1" applyFill="1" applyBorder="1"/>
    <x:xf numFmtId="207" fontId="5" fillId="0" borderId="3" xfId="0" applyNumberFormat="1" applyFont="1" applyFill="1" applyBorder="1"/>
    <x:xf numFmtId="207" fontId="5" fillId="0" borderId="4" xfId="0" applyNumberFormat="1" applyFont="1" applyFill="1" applyBorder="1"/>
    <x:xf numFmtId="202" fontId="4" fillId="0" borderId="3" xfId="0" applyNumberFormat="1" applyFont="1" applyFill="1" applyBorder="1"/>
    <x:xf numFmtId="208" fontId="0" fillId="0" borderId="0" xfId="0" applyNumberFormat="1" applyFont="1" applyFill="1" applyBorder="1"/>
    <x:xf numFmtId="208" fontId="5" fillId="0" borderId="0" xfId="0" applyNumberFormat="1" applyFont="1" applyFill="1" applyBorder="1"/>
    <x:xf numFmtId="208" fontId="5" fillId="0" borderId="4" xfId="0" applyNumberFormat="1" applyFont="1" applyFill="1" applyBorder="1"/>
    <x:xf numFmtId="209" fontId="0" fillId="0" borderId="0" xfId="0" applyNumberFormat="1" applyFont="1" applyFill="1" applyBorder="1"/>
    <x:xf numFmtId="210" fontId="0" fillId="0" borderId="0" xfId="0" applyNumberFormat="1" applyFont="1" applyFill="1" applyBorder="1"/>
    <x:xf numFmtId="209" fontId="0" fillId="3" borderId="0" xfId="0" applyNumberFormat="1" applyFont="1" applyFill="1" applyBorder="1"/>
    <x:xf numFmtId="209" fontId="5" fillId="0" borderId="0" xfId="0" applyNumberFormat="1" applyFont="1" applyFill="1" applyBorder="1"/>
    <x:xf numFmtId="210" fontId="5" fillId="0" borderId="0" xfId="0" applyNumberFormat="1" applyFont="1" applyFill="1" applyBorder="1"/>
    <x:xf numFmtId="209" fontId="5" fillId="3" borderId="0" xfId="0" applyNumberFormat="1" applyFont="1" applyFill="1" applyBorder="1"/>
    <x:xf numFmtId="209" fontId="5" fillId="0" borderId="2" xfId="0" applyNumberFormat="1" applyFont="1" applyFill="1" applyBorder="1"/>
    <x:xf numFmtId="209" fontId="5" fillId="0" borderId="3" xfId="0" applyNumberFormat="1" applyFont="1" applyFill="1" applyBorder="1"/>
    <x:xf numFmtId="210" fontId="5" fillId="0" borderId="3" xfId="0" applyNumberFormat="1" applyFont="1" applyFill="1" applyBorder="1"/>
    <x:xf numFmtId="209" fontId="5" fillId="3" borderId="3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211" fontId="0" fillId="0" borderId="0" xfId="0" applyNumberFormat="1" applyFont="1" applyFill="1" applyBorder="1"/>
    <x:xf numFmtId="211" fontId="0" fillId="5" borderId="0" xfId="0" applyNumberFormat="1" applyFont="1" applyFill="1" applyBorder="1"/>
    <x:xf numFmtId="211" fontId="5" fillId="0" borderId="0" xfId="0" applyNumberFormat="1" applyFont="1" applyFill="1" applyBorder="1"/>
    <x:xf numFmtId="211" fontId="5" fillId="5" borderId="0" xfId="0" applyNumberFormat="1" applyFont="1" applyFill="1" applyBorder="1"/>
    <x:xf numFmtId="211" fontId="5" fillId="0" borderId="2" xfId="0" applyNumberFormat="1" applyFont="1" applyFill="1" applyBorder="1"/>
    <x:xf numFmtId="211" fontId="5" fillId="0" borderId="3" xfId="0" applyNumberFormat="1" applyFont="1" applyFill="1" applyBorder="1"/>
    <x:xf numFmtId="0" fontId="5" fillId="5" borderId="4" xfId="0" applyNumberFormat="1" applyFont="1" applyFill="1" applyBorder="1"/>
    <x:xf numFmtId="211" fontId="5" fillId="5" borderId="4" xfId="0" applyNumberFormat="1" applyFont="1" applyFill="1" applyBorder="1"/>
    <x:xf numFmtId="202" fontId="0" fillId="6" borderId="0" xfId="0" applyNumberFormat="1" applyFont="1" applyFill="1" applyBorder="1"/>
    <x:xf numFmtId="202" fontId="5" fillId="5" borderId="0" xfId="0" applyNumberFormat="1" applyFont="1" applyFill="1" applyBorder="1"/>
    <x:xf numFmtId="202" fontId="5" fillId="6" borderId="0" xfId="0" applyNumberFormat="1" applyFont="1" applyFill="1" applyBorder="1"/>
    <x:xf numFmtId="0" fontId="5" fillId="5" borderId="2" xfId="0" applyNumberFormat="1" applyFont="1" applyFill="1" applyBorder="1"/>
    <x:xf numFmtId="202" fontId="5" fillId="5" borderId="2" xfId="0" applyNumberFormat="1" applyFont="1" applyFill="1" applyBorder="1"/>
    <x:xf numFmtId="204" fontId="5" fillId="5" borderId="2" xfId="0" applyNumberFormat="1" applyFont="1" applyFill="1" applyBorder="1"/>
    <x:xf numFmtId="202" fontId="5" fillId="6" borderId="3" xfId="0" applyNumberFormat="1" applyFont="1" applyFill="1" applyBorder="1"/>
    <x:xf numFmtId="0" fontId="5" fillId="6" borderId="4" xfId="0" applyNumberFormat="1" applyFont="1" applyFill="1" applyBorder="1"/>
    <x:xf numFmtId="202" fontId="5" fillId="6" borderId="4" xfId="0" applyNumberFormat="1" applyFont="1" applyFill="1" applyBorder="1"/>
    <x:xf numFmtId="204" fontId="5" fillId="6" borderId="4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201" fontId="7" fillId="0" borderId="0" xfId="0" applyNumberFormat="1" applyFont="1" applyFill="1" applyBorder="1"/>
    <x:xf numFmtId="202" fontId="7" fillId="0" borderId="0" xfId="0" applyNumberFormat="1" applyFont="1" applyFill="1" applyBorder="1"/>
    <x:xf numFmtId="202" fontId="8" fillId="0" borderId="0" xfId="0" applyNumberFormat="1" applyFont="1" applyFill="1" applyBorder="1"/>
    <x:xf numFmtId="203" fontId="8" fillId="0" borderId="0" xfId="0" applyNumberFormat="1" applyFont="1" applyFill="1" applyBorder="1"/>
    <x:xf numFmtId="204" fontId="7" fillId="0" borderId="0" xfId="0" applyNumberFormat="1" applyFont="1" applyFill="1" applyBorder="1"/>
    <x:xf numFmtId="204" fontId="8" fillId="0" borderId="0" xfId="0" applyNumberFormat="1" applyFont="1" applyFill="1" applyBorder="1"/>
    <x:xf numFmtId="212" fontId="0" fillId="0" borderId="0" xfId="0" applyNumberFormat="1" applyFont="1" applyFill="1" applyBorder="1"/>
    <x:xf numFmtId="213" fontId="0" fillId="0" borderId="0" xfId="0" applyNumberFormat="1" applyFont="1" applyFill="1" applyBorder="1"/>
    <x:xf numFmtId="212" fontId="7" fillId="0" borderId="0" xfId="0" applyNumberFormat="1" applyFont="1" applyFill="1" applyBorder="1"/>
    <x:xf numFmtId="213" fontId="7" fillId="0" borderId="0" xfId="0" applyNumberFormat="1" applyFont="1" applyFill="1" applyBorder="1"/>
    <x:xf numFmtId="212" fontId="7" fillId="5" borderId="0" xfId="0" applyNumberFormat="1" applyFont="1" applyFill="1" applyBorder="1"/>
    <x:xf numFmtId="213" fontId="7" fillId="5" borderId="0" xfId="0" applyNumberFormat="1" applyFont="1" applyFill="1" applyBorder="1"/>
    <x:xf numFmtId="201" fontId="0" fillId="5" borderId="0" xfId="0" applyNumberFormat="1" applyFont="1" applyFill="1" applyBorder="1"/>
    <x:xf numFmtId="206" fontId="0" fillId="5" borderId="0" xfId="0" applyNumberFormat="1" applyFont="1" applyFill="1" applyBorder="1"/>
    <x:xf numFmtId="212" fontId="5" fillId="0" borderId="0" xfId="0" applyNumberFormat="1" applyFont="1" applyFill="1" applyBorder="1"/>
    <x:xf numFmtId="213" fontId="5" fillId="0" borderId="0" xfId="0" applyNumberFormat="1" applyFont="1" applyFill="1" applyBorder="1"/>
    <x:xf numFmtId="212" fontId="5" fillId="5" borderId="0" xfId="0" applyNumberFormat="1" applyFont="1" applyFill="1" applyBorder="1"/>
    <x:xf numFmtId="213" fontId="5" fillId="5" borderId="0" xfId="0" applyNumberFormat="1" applyFont="1" applyFill="1" applyBorder="1"/>
    <x:xf numFmtId="201" fontId="5" fillId="5" borderId="0" xfId="0" applyNumberFormat="1" applyFont="1" applyFill="1" applyBorder="1"/>
    <x:xf numFmtId="206" fontId="5" fillId="5" borderId="0" xfId="0" applyNumberFormat="1" applyFont="1" applyFill="1" applyBorder="1"/>
    <x:xf numFmtId="212" fontId="5" fillId="0" borderId="2" xfId="0" applyNumberFormat="1" applyFont="1" applyFill="1" applyBorder="1"/>
    <x:xf numFmtId="213" fontId="5" fillId="0" borderId="2" xfId="0" applyNumberFormat="1" applyFont="1" applyFill="1" applyBorder="1"/>
    <x:xf numFmtId="212" fontId="5" fillId="5" borderId="3" xfId="0" applyNumberFormat="1" applyFont="1" applyFill="1" applyBorder="1"/>
    <x:xf numFmtId="213" fontId="5" fillId="5" borderId="3" xfId="0" applyNumberFormat="1" applyFont="1" applyFill="1" applyBorder="1"/>
    <x:xf numFmtId="202" fontId="5" fillId="5" borderId="3" xfId="0" applyNumberFormat="1" applyFont="1" applyFill="1" applyBorder="1"/>
    <x:xf numFmtId="201" fontId="5" fillId="5" borderId="3" xfId="0" applyNumberFormat="1" applyFont="1" applyFill="1" applyBorder="1"/>
    <x:xf numFmtId="206" fontId="5" fillId="5" borderId="3" xfId="0" applyNumberFormat="1" applyFont="1" applyFill="1" applyBorder="1"/>
    <x:xf numFmtId="212" fontId="5" fillId="0" borderId="4" xfId="0" applyNumberFormat="1" applyFont="1" applyFill="1" applyBorder="1"/>
    <x:xf numFmtId="213" fontId="5" fillId="0" borderId="4" xfId="0" applyNumberFormat="1" applyFont="1" applyFill="1" applyBorder="1"/>
    <x:xf numFmtId="202" fontId="5" fillId="0" borderId="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213" fontId="4" fillId="4" borderId="8" xfId="0" applyNumberFormat="1" applyFont="1" applyFill="1" applyBorder="1"/>
    <x:xf numFmtId="214" fontId="0" fillId="0" borderId="0" xfId="0" applyNumberFormat="1" applyFont="1" applyFill="1" applyBorder="1"/>
    <x:xf numFmtId="214" fontId="5" fillId="0" borderId="0" xfId="0" applyNumberFormat="1" applyFont="1" applyFill="1" applyBorder="1"/>
    <x:xf numFmtId="214" fontId="5" fillId="0" borderId="2" xfId="0" applyNumberFormat="1" applyFont="1" applyFill="1" applyBorder="1"/>
    <x:xf numFmtId="214" fontId="5" fillId="0" borderId="3" xfId="0" applyNumberFormat="1" applyFont="1" applyFill="1" applyBorder="1"/>
    <x:xf numFmtId="214" fontId="5" fillId="0" borderId="4" xfId="0" applyNumberFormat="1" applyFont="1" applyFill="1" applyBorder="1"/>
    <x:xf numFmtId="215" fontId="0" fillId="0" borderId="0" xfId="0" applyNumberFormat="1" applyFont="1" applyFill="1" applyBorder="1"/>
    <x:xf numFmtId="0" fontId="9" fillId="0" borderId="0" xfId="0" applyNumberFormat="1" applyFont="1" applyFill="1" applyBorder="1"/>
    <x:xf numFmtId="215" fontId="0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215" fontId="5" fillId="0" borderId="0" xfId="0" applyNumberFormat="1" applyFont="1" applyFill="1" applyBorder="1" applyAlignment="1">
      <x:alignment wrapText="1"/>
    </x:xf>
    <x:xf numFmtId="215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215" fontId="5" fillId="0" borderId="3" xfId="0" applyNumberFormat="1" applyFont="1" applyFill="1" applyBorder="1" applyAlignment="1">
      <x:alignment wrapText="1"/>
    </x:xf>
    <x:xf numFmtId="215" fontId="5" fillId="0" borderId="4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76f036095747ce" /><Relationship Type="http://schemas.openxmlformats.org/officeDocument/2006/relationships/theme" Target="/xl/theme/theme1.xml" Id="R569ecf17c5a34e9c" /><Relationship Type="http://schemas.openxmlformats.org/officeDocument/2006/relationships/sharedStrings" Target="/xl/sharedStrings.xml" Id="R76d45318b92e4f6a" /><Relationship Type="http://schemas.openxmlformats.org/officeDocument/2006/relationships/worksheet" Target="/xl/worksheets/sheet1.xml" Id="R395d0350a2e74d1a" /><Relationship Type="http://schemas.openxmlformats.org/officeDocument/2006/relationships/worksheet" Target="/xl/worksheets/sheet2.xml" Id="R2179355e65584c1d" /><Relationship Type="http://schemas.openxmlformats.org/officeDocument/2006/relationships/worksheet" Target="/xl/worksheets/sheet3.xml" Id="Rb7d98510fd4f4b1e" /><Relationship Type="http://schemas.openxmlformats.org/officeDocument/2006/relationships/worksheet" Target="/xl/worksheets/sheet4.xml" Id="R88a70a2ba7b247a6" /><Relationship Type="http://schemas.openxmlformats.org/officeDocument/2006/relationships/worksheet" Target="/xl/worksheets/sheet5.xml" Id="R11bb4f934c0c45b1" /><Relationship Type="http://schemas.openxmlformats.org/officeDocument/2006/relationships/worksheet" Target="/xl/worksheets/sheet6.xml" Id="Rf600c18f76174f7a" /><Relationship Type="http://schemas.openxmlformats.org/officeDocument/2006/relationships/worksheet" Target="/xl/worksheets/sheet7.xml" Id="R1f6cf8779a284041" /><Relationship Type="http://schemas.openxmlformats.org/officeDocument/2006/relationships/worksheet" Target="/xl/worksheets/sheet8.xml" Id="R0652c6688b27419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299d0478e074cd5" /><Relationship Type="http://schemas.openxmlformats.org/officeDocument/2006/relationships/chart" Target="/xl/drawings/charts/chart2.xml" Id="R043e79813222462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情景价值与当前价格（元/股）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情景价值</c:v>
          </c:tx>
          <c:spPr>
            <a:solidFill xmlns:a="http://schemas.openxmlformats.org/drawingml/2006/main">
              <a:srgbClr val="17365D"/>
            </a:solidFill>
          </c:spPr>
          <c:cat>
            <c:strRef>
              <c:f>'Valuation'!$A$16:$A$18</c:f>
              <c:strCache>
                <c:ptCount val="0"/>
              </c:strCache>
            </c:strRef>
          </c:cat>
          <c:val>
            <c:numRef>
              <c:f>'Valuation'!$G$16:$G$18</c:f>
              <c:numCache>
                <c:formatCode>"RMB "0</c:formatCode>
                <c:ptCount val="0"/>
              </c:numCache>
            </c:numRef>
          </c:val>
        </c:ser>
        <c:ser>
          <c:idx val="1"/>
          <c:order val="1"/>
          <c:tx>
            <c:v>当前价格</c:v>
          </c:tx>
          <c:spPr>
            <a:solidFill xmlns:a="http://schemas.openxmlformats.org/drawingml/2006/main">
              <a:srgbClr val="C9A227"/>
            </a:solidFill>
          </c:spPr>
          <c:cat>
            <c:strRef>
              <c:f>'Valuation'!$A$16:$A$18</c:f>
              <c:strCache>
                <c:ptCount val="0"/>
              </c:strCache>
            </c:strRef>
          </c:cat>
          <c:val>
            <c:numRef>
              <c:f>'Cover'!$J$3:$J$5</c:f>
              <c:numCache>
                <c:formatCode>"RMB "0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5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RMB &quot;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报告归母 vs 正常化归母（亿元）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报告归母</c:v>
          </c:tx>
          <c:spPr>
            <a:solidFill xmlns:a="http://schemas.openxmlformats.org/drawingml/2006/main">
              <a:srgbClr val="A6A6A6"/>
            </a:solidFill>
          </c:spPr>
          <c:cat>
            <c:strRef>
              <c:f>'Normalization'!$A$5:$A$7</c:f>
              <c:strCache>
                <c:ptCount val="0"/>
              </c:strCache>
            </c:strRef>
          </c:cat>
          <c:val>
            <c:numRef>
              <c:f>'Normalization'!$B$5:$B$7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正常化归母</c:v>
          </c:tx>
          <c:spPr>
            <a:solidFill xmlns:a="http://schemas.openxmlformats.org/drawingml/2006/main">
              <a:srgbClr val="1F4E78"/>
            </a:solidFill>
          </c:spPr>
          <c:cat>
            <c:strRef>
              <c:f>'Normalization'!$A$5:$A$7</c:f>
              <c:strCache>
                <c:ptCount val="0"/>
              </c:strCache>
            </c:strRef>
          </c:cat>
          <c:val>
            <c:numRef>
              <c:f>'Normalization'!$D$5:$D$7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3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13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99d0478e074cd5"/>
        </a:graphicData>
      </a:graphic>
    </xdr:graphicFrame>
    <xdr:clientData/>
  </xdr:twoCellAnchor>
  <xdr:twoCellAnchor>
    <xdr:from>
      <xdr:col>3</xdr:col>
      <xdr:colOff>0</xdr:colOff>
      <xdr:row>14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3e79813222462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120df085a7c4a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8" hidden="0" customWidth="1"/>
    <x:col min="3" max="3" width="4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3" t="str">
        <x:v>伊利股份（600887.SH）正常化盈利与股东回报模型</x:v>
      </x:c>
      <x:c r="B1" s="3" t="str">
        <x:v>伊利股份（600887.SH）正常化盈利与股东回报模型</x:v>
      </x:c>
      <x:c r="C1" s="3" t="str">
        <x:v>伊利股份（600887.SH）正常化盈利与股东回报模型</x:v>
      </x:c>
      <x:c r="D1" s="3" t="str">
        <x:v>伊利股份（600887.SH）正常化盈利与股东回报模型</x:v>
      </x:c>
      <x:c r="E1" s="3" t="str">
        <x:v>伊利股份（600887.SH）正常化盈利与股东回报模型</x:v>
      </x:c>
      <x:c r="F1" s="3" t="str">
        <x:v>伊利股份（600887.SH）正常化盈利与股东回报模型</x:v>
      </x:c>
      <x:c r="G1" s="3" t="str">
        <x:v>伊利股份（600887.SH）正常化盈利与股东回报模型</x:v>
      </x:c>
      <x:c r="H1" s="3" t="str">
        <x:v>伊利股份（600887.SH）正常化盈利与股东回报模型</x:v>
      </x:c>
    </x:row>
    <x:row r="2">
      <x:c r="J2" t="str">
        <x:v>当前价格</x:v>
      </x:c>
    </x:row>
    <x:row r="3">
      <x:c r="A3" s="10" t="str">
        <x:v>公司</x:v>
      </x:c>
      <x:c r="B3" s="11" t="str">
        <x:v>内蒙古伊利实业集团股份有限公司</x:v>
      </x:c>
      <x:c r="J3" t="n">
        <x:f>'Valuation'!$B$4</x:f>
        <x:v>26.54</x:v>
      </x:c>
    </x:row>
    <x:row r="4">
      <x:c r="A4" s="12" t="str">
        <x:v>价格基准</x:v>
      </x:c>
      <x:c r="B4" s="13" t="n">
        <x:v>46275</x:v>
      </x:c>
      <x:c r="J4" t="n">
        <x:f>'Valuation'!$B$4</x:f>
        <x:v>26.54</x:v>
      </x:c>
    </x:row>
    <x:row r="5">
      <x:c r="A5" s="12" t="str">
        <x:v>资料截止</x:v>
      </x:c>
      <x:c r="B5" s="14" t="str">
        <x:v>2026-09-11</x:v>
      </x:c>
      <x:c r="J5" t="n">
        <x:f>'Valuation'!$B$4</x:f>
        <x:v>26.54</x:v>
      </x:c>
    </x:row>
    <x:row r="6">
      <x:c r="A6" s="12" t="str">
        <x:v>报告货币</x:v>
      </x:c>
      <x:c r="B6" s="14" t="str">
        <x:v>人民币百万元；每股价值为人民币</x:v>
      </x:c>
    </x:row>
    <x:row r="7">
      <x:c r="A7" s="12" t="str">
        <x:v>估值框架</x:v>
      </x:c>
      <x:c r="B7" s="14" t="str">
        <x:v>2027E正常化归母P/E；股息率交叉验证</x:v>
      </x:c>
    </x:row>
    <x:row r="8">
      <x:c r="A8" s="12" t="str">
        <x:v>当前判断</x:v>
      </x:c>
      <x:c r="B8" s="14" t="str">
        <x:v>中性偏积极，等待澳优出清和液态奶量价确认</x:v>
      </x:c>
    </x:row>
    <x:row r="9">
      <x:c r="A9" s="12" t="str">
        <x:v>模型状态</x:v>
      </x:c>
      <x:c r="B9" s="12" t="str">
        <x:f>'Checks'!F2</x:f>
        <x:v>OK</x:v>
      </x:c>
    </x:row>
    <x:row r="10">
      <x:c r="A10" s="12" t="str">
        <x:v>核心矛盾</x:v>
      </x:c>
      <x:c r="B10" s="14" t="str">
        <x:v>国内主业改善能否抵消成熟需求与澳优并购后遗症</x:v>
      </x:c>
    </x:row>
    <x:row r="11">
      <x:c r="A11" s="12" t="str">
        <x:v>正常化口径</x:v>
      </x:c>
      <x:c r="B11" s="14" t="str">
        <x:v>仅加回商誉减值；不加回存货跌价</x:v>
      </x:c>
    </x:row>
    <x:row r="12">
      <x:c r="A12" s="15" t="str">
        <x:v>用途</x:v>
      </x:c>
      <x:c r="B12" s="16" t="str">
        <x:v>研究与情景分析；不构成个性化投资建议</x:v>
      </x:c>
    </x:row>
    <x:row r="14">
      <x:c r="A14" s="19" t="str">
        <x:v>关键输出</x:v>
      </x:c>
      <x:c r="B14" s="20" t="str">
        <x:v>数值</x:v>
      </x:c>
      <x:c r="C14" s="21" t="str">
        <x:v>说明</x:v>
      </x:c>
    </x:row>
    <x:row r="15">
      <x:c r="A15" s="11" t="str">
        <x:v>收盘价</x:v>
      </x:c>
      <x:c r="B15" s="30" t="n">
        <x:f>'Valuation'!B4</x:f>
        <x:v>26.54</x:v>
      </x:c>
      <x:c r="C15" s="11" t="str">
        <x:v>2026-09-10</x:v>
      </x:c>
    </x:row>
    <x:row r="16">
      <x:c r="A16" s="14" t="str">
        <x:v>市值</x:v>
      </x:c>
      <x:c r="B16" s="31" t="n">
        <x:f>'Valuation'!B6</x:f>
        <x:v>167875.07210217998</x:v>
      </x:c>
      <x:c r="C16" s="14" t="str">
        <x:v>按期末总股本</x:v>
      </x:c>
    </x:row>
    <x:row r="17">
      <x:c r="A17" s="14" t="str">
        <x:v>TTM报告归母净利</x:v>
      </x:c>
      <x:c r="B17" s="31" t="n">
        <x:f>'Historical'!F17</x:f>
        <x:v>10123.315999999999</x:v>
      </x:c>
      <x:c r="C17" s="14" t="str">
        <x:v>含商誉减值</x:v>
      </x:c>
    </x:row>
    <x:row r="18">
      <x:c r="A18" s="14" t="str">
        <x:v>TTM正常化归母净利</x:v>
      </x:c>
      <x:c r="B18" s="31" t="n">
        <x:f>'Historical'!F19</x:f>
        <x:v>11810.598999999998</x:v>
      </x:c>
      <x:c r="C18" s="14" t="str">
        <x:v>仅加回商誉减值</x:v>
      </x:c>
    </x:row>
    <x:row r="19">
      <x:c r="A19" s="14" t="str">
        <x:v>TTM报告P/E</x:v>
      </x:c>
      <x:c r="B19" s="32" t="n">
        <x:f>'Valuation'!B8</x:f>
        <x:v>16.583012137740244</x:v>
      </x:c>
      <x:c r="C19" s="14" t="str">
        <x:v>报表口径</x:v>
      </x:c>
    </x:row>
    <x:row r="20">
      <x:c r="A20" s="14" t="str">
        <x:v>TTM正常化P/E</x:v>
      </x:c>
      <x:c r="B20" s="32" t="n">
        <x:f>'Valuation'!B9</x:f>
        <x:v>14.213933781189253</x:v>
      </x:c>
      <x:c r="C20" s="14" t="str">
        <x:v>核心估值校验</x:v>
      </x:c>
    </x:row>
    <x:row r="21">
      <x:c r="A21" s="14" t="str">
        <x:v>2026H1核心经营利润</x:v>
      </x:c>
      <x:c r="B21" s="31" t="n">
        <x:f>'Segments'!E25</x:f>
        <x:v>0</x:v>
      </x:c>
      <x:c r="C21" s="14" t="str">
        <x:v>公司定义口径，同比+9.7%</x:v>
      </x:c>
    </x:row>
    <x:row r="22">
      <x:c r="A22" s="14" t="str">
        <x:v>2026H1液态奶毛利率</x:v>
      </x:c>
      <x:c r="B22" s="33" t="n">
        <x:f>'Segments'!C14</x:f>
        <x:v>0.342</x:v>
      </x:c>
      <x:c r="C22" s="14" t="str">
        <x:v>同比+2.42pct</x:v>
      </x:c>
    </x:row>
    <x:row r="23">
      <x:c r="A23" s="14" t="str">
        <x:v>2026H1奶粉毛利率</x:v>
      </x:c>
      <x:c r="B23" s="33" t="n">
        <x:f>'Segments'!C15</x:f>
        <x:v>0.413</x:v>
      </x:c>
      <x:c r="C23" s="14" t="str">
        <x:v>同比-2.84pct</x:v>
      </x:c>
    </x:row>
    <x:row r="24">
      <x:c r="A24" s="14" t="str">
        <x:v>研究口径可用净现金类</x:v>
      </x:c>
      <x:c r="B24" s="31" t="n">
        <x:f>'Cash &amp; Debt'!B18</x:f>
        <x:v>11842.522000000008</x:v>
      </x:c>
      <x:c r="C24" s="14" t="str">
        <x:v>扣除受限现金和有息负债</x:v>
      </x:c>
    </x:row>
    <x:row r="25">
      <x:c r="A25" s="14" t="str">
        <x:v>历史股息率</x:v>
      </x:c>
      <x:c r="B25" s="33" t="n">
        <x:f>'Valuation'!B12</x:f>
        <x:v>0.05199698568198945</x:v>
      </x:c>
      <x:c r="C25" s="14" t="str">
        <x:v>2025 DPS 1.38元</x:v>
      </x:c>
    </x:row>
    <x:row r="26">
      <x:c r="A26" s="14" t="str">
        <x:v>Bear价值</x:v>
      </x:c>
      <x:c r="B26" s="34" t="n">
        <x:f>'Valuation'!G16</x:f>
        <x:v>21.57979713506825</x:v>
      </x:c>
      <x:c r="C26" s="14" t="str">
        <x:v>需求与澳优继续承压</x:v>
      </x:c>
    </x:row>
    <x:row r="27">
      <x:c r="A27" s="14" t="str">
        <x:v>Base价值</x:v>
      </x:c>
      <x:c r="B27" s="34" t="n">
        <x:f>'Valuation'!G17</x:f>
        <x:v>33.59492227986816</x:v>
      </x:c>
      <x:c r="C27" s="14" t="str">
        <x:v>国内主业稳健、澳优见底</x:v>
      </x:c>
    </x:row>
    <x:row r="28">
      <x:c r="A28" s="16" t="str">
        <x:v>Bull价值</x:v>
      </x:c>
      <x:c r="B28" s="35" t="n">
        <x:f>'Valuation'!G18</x:f>
        <x:v>46.479563060147</x:v>
      </x:c>
      <x:c r="C28" s="16" t="str">
        <x:v>结构升级与费用效率兑现</x:v>
      </x:c>
    </x:row>
    <x:row r="30">
      <x:c r="A30" s="19" t="str">
        <x:v>研究结论</x:v>
      </x:c>
      <x:c r="B30" s="20" t="str">
        <x:v>研究结论</x:v>
      </x:c>
      <x:c r="C30" s="20" t="str">
        <x:v>研究结论</x:v>
      </x:c>
      <x:c r="D30" s="20" t="str">
        <x:v>研究结论</x:v>
      </x:c>
      <x:c r="E30" s="20" t="str">
        <x:v>研究结论</x:v>
      </x:c>
      <x:c r="F30" s="20" t="str">
        <x:v>研究结论</x:v>
      </x:c>
      <x:c r="G30" s="20" t="str">
        <x:v>研究结论</x:v>
      </x:c>
      <x:c r="H30" s="21" t="str">
        <x:v>研究结论</x:v>
      </x:c>
    </x:row>
    <x:row r="31">
      <x:c r="A31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B31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C31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D31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E31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F31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G31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H31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</x:row>
    <x:row r="32">
      <x:c r="A32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B32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C32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D32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E32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F32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G32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H32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</x:row>
    <x:row r="33">
      <x:c r="A33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B33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C33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D33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E33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F33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G33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H33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</x:row>
    <x:row r="34">
      <x:c r="A34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B34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C34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D34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E34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F34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G34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H34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</x:row>
    <x:row r="35">
      <x:c r="A35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B35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C35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D35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E35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F35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G35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H35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</x:row>
    <x:row r="36">
      <x:c r="A36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B36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C36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D36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E36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F36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G36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H36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</x:row>
    <x:row r="37">
      <x:c r="A37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B37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C37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D37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E37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F37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G37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H37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</x:row>
    <x:row r="38">
      <x:c r="A38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B38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C38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D38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E38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F38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G38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H38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</x:row>
    <x:row r="39">
      <x:c r="A39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B39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C39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D39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E39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F39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G39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  <x:c r="H39" s="38" t="str">
        <x:v>2026H1主营收入增长4.0%，核心经营利润增长9.7%，液态奶毛利率提升2.42个百分点，国内主业正在改善。报告归母净利下降20.0%，主要是澳优15.47亿元商誉减值；加回后H1正常化归母约73.05亿元，同比约增1.5%。但澳优还发生9.08亿元存货跌价，且减值测试增长和毛利假设半年内明显下调，说明问题不只是会计项目。当前26.54元对应TTM报告P/E约16.6倍、正常化P/E约14.2倍，2025股息率约5.2%。Base按2027E正常化归母125亿元、17倍P/E得33.59元；估值具吸引力，但应等待澳优恢复真实盈利及液态奶量价继续验证。</x:v>
      </x:c>
    </x:row>
  </x:sheetData>
  <x:mergeCells>
    <x:mergeCell ref="A1:H1"/>
    <x:mergeCell ref="A30:H30"/>
    <x:mergeCell ref="A31:H39"/>
  </x:mergeCells>
  <x:pageMargins left="0.7" right="0.7" top="0.75" bottom="0.75" header="0.3" footer="0.3"/>
  <x:drawing xmlns:r="http://schemas.openxmlformats.org/officeDocument/2006/relationships" r:id="Rd120df085a7c4a6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30" customHeight="1">
      <x:c r="A1" s="3" t="str">
        <x:v>历史财务与现金流质量</x:v>
      </x:c>
      <x:c r="B1" s="3" t="str">
        <x:v>历史财务与现金流质量</x:v>
      </x:c>
      <x:c r="C1" s="3" t="str">
        <x:v>历史财务与现金流质量</x:v>
      </x:c>
      <x:c r="D1" s="3" t="str">
        <x:v>历史财务与现金流质量</x:v>
      </x:c>
      <x:c r="E1" s="3" t="str">
        <x:v>历史财务与现金流质量</x:v>
      </x:c>
      <x:c r="F1" s="3" t="str">
        <x:v>历史财务与现金流质量</x:v>
      </x:c>
      <x:c r="G1" s="3" t="str">
        <x:v>历史财务与现金流质量</x:v>
      </x:c>
    </x:row>
    <x:row r="3">
      <x:c r="A3" s="41" t="str">
        <x:v>指标（RMB mn，除注明外）</x:v>
      </x:c>
      <x:c r="B3" s="41" t="str">
        <x:v>2024A</x:v>
      </x:c>
      <x:c r="C3" s="41" t="str">
        <x:v>2025A</x:v>
      </x:c>
      <x:c r="D3" s="41" t="str">
        <x:v>2025H1</x:v>
      </x:c>
      <x:c r="E3" s="41" t="str">
        <x:v>2026H1</x:v>
      </x:c>
      <x:c r="F3" s="41" t="str">
        <x:v>TTM</x:v>
      </x:c>
      <x:c r="G3" s="41" t="str">
        <x:v>H1同比/变化</x:v>
      </x:c>
    </x:row>
    <x:row r="4">
      <x:c r="A4" s="11" t="str">
        <x:v>营业收入</x:v>
      </x:c>
      <x:c r="B4" s="57" t="n">
        <x:v>115393.311</x:v>
      </x:c>
      <x:c r="C4" s="57" t="n">
        <x:v>115636.231</x:v>
      </x:c>
      <x:c r="D4" s="57" t="n">
        <x:v>61776.747</x:v>
      </x:c>
      <x:c r="E4" s="57" t="n">
        <x:v>64330.937</x:v>
      </x:c>
      <x:c r="F4" s="57" t="n">
        <x:f>C4-D4+E4</x:f>
        <x:v>118190.421</x:v>
      </x:c>
      <x:c r="G4" s="58" t="n">
        <x:f>E4/D4-1</x:f>
        <x:v>0.041345492018218355</x:v>
      </x:c>
    </x:row>
    <x:row r="5">
      <x:c r="A5" s="14" t="str">
        <x:v>收入增速</x:v>
      </x:c>
      <x:c r="B5" s="59"/>
      <x:c r="C5" s="59" t="n">
        <x:v>0.0021</x:v>
      </x:c>
      <x:c r="D5" s="59"/>
      <x:c r="E5" s="59" t="n">
        <x:v>0.0413</x:v>
      </x:c>
      <x:c r="F5" s="59" t="n">
        <x:f>F4/B4-1</x:f>
        <x:v>0.02423979324070169</x:v>
      </x:c>
      <x:c r="G5" s="59"/>
    </x:row>
    <x:row r="6">
      <x:c r="A6" s="14" t="str">
        <x:v>营业成本</x:v>
      </x:c>
      <x:c r="B6" s="60" t="n">
        <x:v>76298.833</x:v>
      </x:c>
      <x:c r="C6" s="60" t="n">
        <x:v>75653.844</x:v>
      </x:c>
      <x:c r="D6" s="60" t="n">
        <x:v>39509.196</x:v>
      </x:c>
      <x:c r="E6" s="60" t="n">
        <x:v>40894.077</x:v>
      </x:c>
      <x:c r="F6" s="60" t="n">
        <x:f>C6-D6+E6</x:f>
        <x:v>77038.72499999999</x:v>
      </x:c>
      <x:c r="G6" s="59" t="n">
        <x:f>E6/D6-1</x:f>
        <x:v>0.03505211799298569</x:v>
      </x:c>
    </x:row>
    <x:row r="7">
      <x:c r="A7" s="61" t="str">
        <x:v>毛利润</x:v>
      </x:c>
      <x:c r="B7" s="62" t="n">
        <x:f>B4-B6</x:f>
        <x:v>39094.478</x:v>
      </x:c>
      <x:c r="C7" s="62" t="n">
        <x:f>C4-C6</x:f>
        <x:v>39982.387</x:v>
      </x:c>
      <x:c r="D7" s="62" t="n">
        <x:f>D4-D6</x:f>
        <x:v>22267.551</x:v>
      </x:c>
      <x:c r="E7" s="62" t="n">
        <x:f>E4-E6</x:f>
        <x:v>23436.86</x:v>
      </x:c>
      <x:c r="F7" s="62" t="n">
        <x:f>C7-D7+E7</x:f>
        <x:v>41151.696</x:v>
      </x:c>
      <x:c r="G7" s="63" t="n">
        <x:f>E7/D7-1</x:f>
        <x:v>0.052511791709829225</x:v>
      </x:c>
    </x:row>
    <x:row r="8">
      <x:c r="A8" s="61" t="str">
        <x:v>毛利率</x:v>
      </x:c>
      <x:c r="B8" s="63" t="n">
        <x:f>B7/B4</x:f>
        <x:v>0.3387932771943774</x:v>
      </x:c>
      <x:c r="C8" s="63" t="n">
        <x:f>C7/C4</x:f>
        <x:v>0.3457600325973959</x:v>
      </x:c>
      <x:c r="D8" s="63" t="n">
        <x:f>D7/D4</x:f>
        <x:v>0.360451983656569</x:v>
      </x:c>
      <x:c r="E8" s="63" t="n">
        <x:f>E7/E4</x:f>
        <x:v>0.36431709365588755</x:v>
      </x:c>
      <x:c r="F8" s="63" t="n">
        <x:f>F7/F4</x:f>
        <x:v>0.34818131327241825</x:v>
      </x:c>
      <x:c r="G8" s="63" t="n">
        <x:f>E8-D8</x:f>
        <x:v>0.00386510999931855</x:v>
      </x:c>
    </x:row>
    <x:row r="9">
      <x:c r="A9" s="14" t="str">
        <x:v>销售费用</x:v>
      </x:c>
      <x:c r="B9" s="60" t="n">
        <x:v>21982.306</x:v>
      </x:c>
      <x:c r="C9" s="60" t="n">
        <x:v>21544.581</x:v>
      </x:c>
      <x:c r="D9" s="60" t="n">
        <x:v>11334.121</x:v>
      </x:c>
      <x:c r="E9" s="60" t="n">
        <x:v>11432.167</x:v>
      </x:c>
      <x:c r="F9" s="60" t="n">
        <x:f>C9-D9+E9</x:f>
        <x:v>21642.627</x:v>
      </x:c>
      <x:c r="G9" s="59" t="n">
        <x:f>E9/D9-1</x:f>
        <x:v>0.008650516436166544</x:v>
      </x:c>
    </x:row>
    <x:row r="10">
      <x:c r="A10" s="14" t="str">
        <x:v>销售费用率</x:v>
      </x:c>
      <x:c r="B10" s="59" t="n">
        <x:f>B9/B4</x:f>
        <x:v>0.19049896228387103</x:v>
      </x:c>
      <x:c r="C10" s="59" t="n">
        <x:f>C9/C4</x:f>
        <x:v>0.18631341417552771</x:v>
      </x:c>
      <x:c r="D10" s="59" t="n">
        <x:f>D9/D4</x:f>
        <x:v>0.18346904863734567</x:v>
      </x:c>
      <x:c r="E10" s="59" t="n">
        <x:f>E9/E4</x:f>
        <x:v>0.17770869713898307</x:v>
      </x:c>
      <x:c r="F10" s="59" t="n">
        <x:f>F9/F4</x:f>
        <x:v>0.18311659114912535</x:v>
      </x:c>
      <x:c r="G10" s="59" t="n">
        <x:f>E10-D10</x:f>
        <x:v>-0.005760351498362598</x:v>
      </x:c>
    </x:row>
    <x:row r="11">
      <x:c r="A11" s="14" t="str">
        <x:v>管理费用</x:v>
      </x:c>
      <x:c r="B11" s="60" t="n">
        <x:v>4465.11</x:v>
      </x:c>
      <x:c r="C11" s="60" t="n">
        <x:v>4695.602</x:v>
      </x:c>
      <x:c r="D11" s="60" t="n">
        <x:v>2335.257</x:v>
      </x:c>
      <x:c r="E11" s="60" t="n">
        <x:v>2470.896</x:v>
      </x:c>
      <x:c r="F11" s="60" t="n">
        <x:f>C11-D11+E11</x:f>
        <x:v>4831.241</x:v>
      </x:c>
      <x:c r="G11" s="59" t="n">
        <x:f>E11/D11-1</x:f>
        <x:v>0.05808311462078919</x:v>
      </x:c>
    </x:row>
    <x:row r="12">
      <x:c r="A12" s="14" t="str">
        <x:v>管理费用率</x:v>
      </x:c>
      <x:c r="B12" s="59" t="n">
        <x:f>B11/B4</x:f>
        <x:v>0.03869470388972546</x:v>
      </x:c>
      <x:c r="C12" s="59" t="n">
        <x:f>C11/C4</x:f>
        <x:v>0.04060666764554095</x:v>
      </x:c>
      <x:c r="D12" s="59" t="n">
        <x:f>D11/D4</x:f>
        <x:v>0.0378015533903072</x:v>
      </x:c>
      <x:c r="E12" s="59" t="n">
        <x:f>E11/E4</x:f>
        <x:v>0.03840914053529176</x:v>
      </x:c>
      <x:c r="F12" s="59" t="n">
        <x:f>F11/F4</x:f>
        <x:v>0.040876755993618126</x:v>
      </x:c>
      <x:c r="G12" s="59" t="n">
        <x:f>E12-D12</x:f>
        <x:v>0.0006075871449845588</x:v>
      </x:c>
    </x:row>
    <x:row r="13">
      <x:c r="A13" s="14" t="str">
        <x:v>研发费用</x:v>
      </x:c>
      <x:c r="B13" s="60" t="n">
        <x:v>869.977</x:v>
      </x:c>
      <x:c r="C13" s="60" t="n">
        <x:v>915.007</x:v>
      </x:c>
      <x:c r="D13" s="60" t="n">
        <x:v>380.305</x:v>
      </x:c>
      <x:c r="E13" s="60" t="n">
        <x:v>397.446</x:v>
      </x:c>
      <x:c r="F13" s="60" t="n">
        <x:f>C13-D13+E13</x:f>
        <x:v>932.148</x:v>
      </x:c>
      <x:c r="G13" s="59" t="n">
        <x:f>E13/D13-1</x:f>
        <x:v>0.0450717187520544</x:v>
      </x:c>
    </x:row>
    <x:row r="14">
      <x:c r="A14" s="14" t="str">
        <x:v>研发费用率</x:v>
      </x:c>
      <x:c r="B14" s="59" t="n">
        <x:f>B13/B4</x:f>
        <x:v>0.007539232495027376</x:v>
      </x:c>
      <x:c r="C14" s="59" t="n">
        <x:f>C13/C4</x:f>
        <x:v>0.007912805459735193</x:v>
      </x:c>
      <x:c r="D14" s="59" t="n">
        <x:f>D13/D4</x:f>
        <x:v>0.006156118903444366</x:v>
      </x:c>
      <x:c r="E14" s="59" t="n">
        <x:f>E13/E4</x:f>
        <x:v>0.006178147226427</x:v>
      </x:c>
      <x:c r="F14" s="59" t="n">
        <x:f>F13/F4</x:f>
        <x:v>0.007886832047074271</x:v>
      </x:c>
      <x:c r="G14" s="59" t="n">
        <x:f>E14-D14</x:f>
        <x:v>0.00002202832298263402</x:v>
      </x:c>
    </x:row>
    <x:row r="15">
      <x:c r="A15" s="14" t="str">
        <x:v>资产减值损失</x:v>
      </x:c>
      <x:c r="B15" s="60" t="n">
        <x:v>4675.846</x:v>
      </x:c>
      <x:c r="C15" s="60" t="n">
        <x:v>730.381</x:v>
      </x:c>
      <x:c r="D15" s="60" t="n">
        <x:v>337.447</x:v>
      </x:c>
      <x:c r="E15" s="60" t="n">
        <x:v>2455.875</x:v>
      </x:c>
      <x:c r="F15" s="60" t="n">
        <x:f>C15-D15+E15</x:f>
        <x:v>2848.809</x:v>
      </x:c>
      <x:c r="G15" s="59" t="n">
        <x:f>E15/D15-1</x:f>
        <x:v>6.277809552314882</x:v>
      </x:c>
    </x:row>
    <x:row r="16">
      <x:c r="A16" s="14" t="str">
        <x:v>营业利润</x:v>
      </x:c>
      <x:c r="B16" s="60" t="n">
        <x:v>10181.769</x:v>
      </x:c>
      <x:c r="C16" s="60" t="n">
        <x:v>13527.807</x:v>
      </x:c>
      <x:c r="D16" s="60" t="n">
        <x:v>8586.277</x:v>
      </x:c>
      <x:c r="E16" s="60" t="n">
        <x:v>7512.387</x:v>
      </x:c>
      <x:c r="F16" s="60" t="n">
        <x:f>C16-D16+E16</x:f>
        <x:v>12453.917000000001</x:v>
      </x:c>
      <x:c r="G16" s="59" t="n">
        <x:f>E16/D16-1</x:f>
        <x:v>-0.12507050494643956</x:v>
      </x:c>
    </x:row>
    <x:row r="17">
      <x:c r="A17" s="61" t="str">
        <x:v>报告归母净利润</x:v>
      </x:c>
      <x:c r="B17" s="62" t="n">
        <x:v>8452.86</x:v>
      </x:c>
      <x:c r="C17" s="62" t="n">
        <x:v>11565.166</x:v>
      </x:c>
      <x:c r="D17" s="62" t="n">
        <x:v>7200.478</x:v>
      </x:c>
      <x:c r="E17" s="62" t="n">
        <x:v>5758.628</x:v>
      </x:c>
      <x:c r="F17" s="62" t="n">
        <x:f>C17-D17+E17</x:f>
        <x:v>10123.315999999999</x:v>
      </x:c>
      <x:c r="G17" s="63" t="n">
        <x:f>E17/D17-1</x:f>
        <x:v>-0.20024365049098136</x:v>
      </x:c>
    </x:row>
    <x:row r="18">
      <x:c r="A18" s="61" t="str">
        <x:v>商誉减值加回</x:v>
      </x:c>
      <x:c r="B18" s="62" t="n">
        <x:v>3075.379</x:v>
      </x:c>
      <x:c r="C18" s="62" t="n">
        <x:v>140.738</x:v>
      </x:c>
      <x:c r="D18" s="62" t="n">
        <x:v>0</x:v>
      </x:c>
      <x:c r="E18" s="62" t="n">
        <x:v>1546.545</x:v>
      </x:c>
      <x:c r="F18" s="62" t="n">
        <x:f>C18-D18+E18</x:f>
        <x:v>1687.2830000000001</x:v>
      </x:c>
      <x:c r="G18" s="63" t="str">
        <x:v>n.m.</x:v>
      </x:c>
    </x:row>
    <x:row r="19">
      <x:c r="A19" s="64" t="str">
        <x:v>正常化归母净利润</x:v>
      </x:c>
      <x:c r="B19" s="65" t="n">
        <x:f>B17+B18</x:f>
        <x:v>11528.239000000001</x:v>
      </x:c>
      <x:c r="C19" s="65" t="n">
        <x:f>C17+C18</x:f>
        <x:v>11705.903999999999</x:v>
      </x:c>
      <x:c r="D19" s="65" t="n">
        <x:f>D17+D18</x:f>
        <x:v>7200.478</x:v>
      </x:c>
      <x:c r="E19" s="65" t="n">
        <x:f>E17+E18</x:f>
        <x:v>7305.173</x:v>
      </x:c>
      <x:c r="F19" s="65" t="n">
        <x:f>C19-D19+E19</x:f>
        <x:v>11810.598999999998</x:v>
      </x:c>
      <x:c r="G19" s="66" t="n">
        <x:f>E19/D19-1</x:f>
        <x:v>0.014540006927317828</x:v>
      </x:c>
    </x:row>
    <x:row r="20">
      <x:c r="A20" s="14" t="str">
        <x:v>扣非归母净利润</x:v>
      </x:c>
      <x:c r="B20" s="60" t="n">
        <x:v>6011.275</x:v>
      </x:c>
      <x:c r="C20" s="60" t="n">
        <x:v>11068.322</x:v>
      </x:c>
      <x:c r="D20" s="60" t="n">
        <x:v>7016.35</x:v>
      </x:c>
      <x:c r="E20" s="60" t="n">
        <x:v>5595.763</x:v>
      </x:c>
      <x:c r="F20" s="60" t="n">
        <x:f>C20-D20+E20</x:f>
        <x:v>9647.735</x:v>
      </x:c>
      <x:c r="G20" s="59" t="n">
        <x:f>E20/D20-1</x:f>
        <x:v>-0.20246809238421692</x:v>
      </x:c>
    </x:row>
    <x:row r="21">
      <x:c r="A21" s="14" t="str">
        <x:v>经营活动现金流</x:v>
      </x:c>
      <x:c r="B21" s="60" t="n">
        <x:v>21739.74</x:v>
      </x:c>
      <x:c r="C21" s="60" t="n">
        <x:v>14343.92</x:v>
      </x:c>
      <x:c r="D21" s="60" t="n">
        <x:v>2964.215</x:v>
      </x:c>
      <x:c r="E21" s="60" t="n">
        <x:v>9759.147</x:v>
      </x:c>
      <x:c r="F21" s="60" t="n">
        <x:f>C21-D21+E21</x:f>
        <x:v>21138.852</x:v>
      </x:c>
      <x:c r="G21" s="59" t="n">
        <x:f>E21/D21-1</x:f>
        <x:v>2.2923209011492083</x:v>
      </x:c>
    </x:row>
    <x:row r="22">
      <x:c r="A22" s="14" t="str">
        <x:v>资本开支</x:v>
      </x:c>
      <x:c r="B22" s="60" t="n">
        <x:v>3978.318</x:v>
      </x:c>
      <x:c r="C22" s="60" t="n">
        <x:v>3036.644</x:v>
      </x:c>
      <x:c r="D22" s="60" t="n">
        <x:v>1452.716</x:v>
      </x:c>
      <x:c r="E22" s="60" t="n">
        <x:v>1304.262</x:v>
      </x:c>
      <x:c r="F22" s="60" t="n">
        <x:f>C22-D22+E22</x:f>
        <x:v>2888.1899999999996</x:v>
      </x:c>
      <x:c r="G22" s="59" t="n">
        <x:f>E22/D22-1</x:f>
        <x:v>-0.10219065529669935</x:v>
      </x:c>
    </x:row>
    <x:row r="23">
      <x:c r="A23" s="14" t="str">
        <x:v>简化自由现金流</x:v>
      </x:c>
      <x:c r="B23" s="60" t="n">
        <x:f>B21-B22</x:f>
        <x:v>17761.422000000002</x:v>
      </x:c>
      <x:c r="C23" s="60" t="n">
        <x:f>C21-C22</x:f>
        <x:v>11307.276</x:v>
      </x:c>
      <x:c r="D23" s="60" t="n">
        <x:f>D21-D22</x:f>
        <x:v>1511.4990000000003</x:v>
      </x:c>
      <x:c r="E23" s="60" t="n">
        <x:f>E21-E22</x:f>
        <x:v>8454.885</x:v>
      </x:c>
      <x:c r="F23" s="60" t="n">
        <x:f>C23-D23+E23</x:f>
        <x:v>18250.662</x:v>
      </x:c>
      <x:c r="G23" s="59" t="n">
        <x:f>E23/D23-1</x:f>
        <x:v>4.59370862964514</x:v>
      </x:c>
    </x:row>
    <x:row r="24">
      <x:c r="A24" s="16" t="str">
        <x:v>CFO/正常化归母</x:v>
      </x:c>
      <x:c r="B24" s="67" t="n">
        <x:f>B21/B19</x:f>
        <x:v>1.8857815144186374</x:v>
      </x:c>
      <x:c r="C24" s="67" t="n">
        <x:f>C21/C19</x:f>
        <x:v>1.2253577340118287</x:v>
      </x:c>
      <x:c r="D24" s="67" t="n">
        <x:f>D21/D19</x:f>
        <x:v>0.41166919751716485</x:v>
      </x:c>
      <x:c r="E24" s="67" t="n">
        <x:f>E21/E19</x:f>
        <x:v>1.3359227769143867</x:v>
      </x:c>
      <x:c r="F24" s="67" t="n">
        <x:f>F21/F19</x:f>
        <x:v>1.789820482432771</x:v>
      </x:c>
      <x:c r="G24" s="67" t="n">
        <x:f>E24-D24</x:f>
        <x:v>0.9242535793972217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25" hidden="0" customWidth="1"/>
    <x:col min="6" max="6" width="35" hidden="0" customWidth="1"/>
  </x:cols>
  <x:sheetData>
    <x:row r="1" ht="30" customHeight="1">
      <x:c r="A1" s="3" t="str">
        <x:v>业务结构、毛利率与经营效率</x:v>
      </x:c>
      <x:c r="B1" s="3" t="str">
        <x:v>业务结构、毛利率与经营效率</x:v>
      </x:c>
      <x:c r="C1" s="3" t="str">
        <x:v>业务结构、毛利率与经营效率</x:v>
      </x:c>
      <x:c r="D1" s="3" t="str">
        <x:v>业务结构、毛利率与经营效率</x:v>
      </x:c>
      <x:c r="E1" s="3" t="str">
        <x:v>业务结构、毛利率与经营效率</x:v>
      </x:c>
      <x:c r="F1" s="3" t="str">
        <x:v>业务结构、毛利率与经营效率</x:v>
      </x:c>
    </x:row>
    <x:row r="3">
      <x:c r="A3" s="19" t="str">
        <x:v>主营业务（RMB mn）</x:v>
      </x:c>
      <x:c r="B3" s="20" t="str">
        <x:v>2025A收入</x:v>
      </x:c>
      <x:c r="C3" s="20" t="str">
        <x:v>2025A同比</x:v>
      </x:c>
      <x:c r="D3" s="20" t="str">
        <x:v>2026H1收入</x:v>
      </x:c>
      <x:c r="E3" s="20" t="str">
        <x:v>2026H1同比</x:v>
      </x:c>
      <x:c r="F3" s="21" t="str">
        <x:v>2026H1占比</x:v>
      </x:c>
    </x:row>
    <x:row r="5">
      <x:c r="A5" s="11" t="str">
        <x:v>液态奶</x:v>
      </x:c>
      <x:c r="B5" s="72" t="n">
        <x:v>70422.48</x:v>
      </x:c>
      <x:c r="C5" s="73" t="n">
        <x:v>-0.0611</x:v>
      </x:c>
      <x:c r="D5" s="72" t="n">
        <x:v>36590</x:v>
      </x:c>
      <x:c r="E5" s="73" t="n">
        <x:v>0.013</x:v>
      </x:c>
      <x:c r="F5" s="73" t="n">
        <x:f>D5/SUM($D$5:$D$8)</x:f>
        <x:v>0.573744786276539</x:v>
      </x:c>
    </x:row>
    <x:row r="6">
      <x:c r="A6" s="14" t="str">
        <x:v>奶粉及奶制品</x:v>
      </x:c>
      <x:c r="B6" s="31" t="n">
        <x:v>32768.635</x:v>
      </x:c>
      <x:c r="C6" s="33" t="n">
        <x:v>0.1042</x:v>
      </x:c>
      <x:c r="D6" s="31" t="n">
        <x:v>16845</x:v>
      </x:c>
      <x:c r="E6" s="33" t="n">
        <x:v>0.016</x:v>
      </x:c>
      <x:c r="F6" s="33" t="n">
        <x:f>D6/SUM($D$5:$D$8)</x:f>
        <x:v>0.26413585473704015</x:v>
      </x:c>
    </x:row>
    <x:row r="7">
      <x:c r="A7" s="14" t="str">
        <x:v>冷饮</x:v>
      </x:c>
      <x:c r="B7" s="31" t="n">
        <x:v>9822.499</x:v>
      </x:c>
      <x:c r="C7" s="33" t="n">
        <x:v>0.1263</x:v>
      </x:c>
      <x:c r="D7" s="31" t="n">
        <x:v>9073</x:v>
      </x:c>
      <x:c r="E7" s="33" t="n">
        <x:v>0.103</x:v>
      </x:c>
      <x:c r="F7" s="33" t="n">
        <x:f>D7/SUM($D$5:$D$8)</x:f>
        <x:v>0.14226800890645092</x:v>
      </x:c>
    </x:row>
    <x:row r="8">
      <x:c r="A8" s="14" t="str">
        <x:v>其他</x:v>
      </x:c>
      <x:c r="B8" s="31" t="n">
        <x:v>1531.679</x:v>
      </x:c>
      <x:c r="C8" s="33" t="n">
        <x:v>1.1226</x:v>
      </x:c>
      <x:c r="D8" s="31" t="n">
        <x:v>1266</x:v>
      </x:c>
      <x:c r="E8" s="33" t="n">
        <x:v>2.282</x:v>
      </x:c>
      <x:c r="F8" s="33" t="n">
        <x:f>D8/SUM($D$5:$D$8)</x:f>
        <x:v>0.019851350079969892</x:v>
      </x:c>
    </x:row>
    <x:row r="9">
      <x:c r="A9" s="15" t="str">
        <x:v>合计</x:v>
      </x:c>
      <x:c r="B9" s="74" t="n">
        <x:f>SUM(B5:B8)</x:f>
        <x:v>114545.29299999999</x:v>
      </x:c>
      <x:c r="C9" s="75"/>
      <x:c r="D9" s="74" t="n">
        <x:f>SUM(D5:D8)</x:f>
        <x:v>63774</x:v>
      </x:c>
      <x:c r="E9" s="75" t="n">
        <x:f>D9/(D9/(1+0.04))-1</x:f>
        <x:v>0.040000000000000036</x:v>
      </x:c>
      <x:c r="F9" s="75" t="n">
        <x:f>1</x:f>
        <x:v>1</x:v>
      </x:c>
    </x:row>
    <x:row r="12">
      <x:c r="A12" s="19" t="str">
        <x:v>毛利率</x:v>
      </x:c>
      <x:c r="B12" s="20" t="str">
        <x:v>2025H1</x:v>
      </x:c>
      <x:c r="C12" s="20" t="str">
        <x:v>2026H1</x:v>
      </x:c>
      <x:c r="D12" s="20" t="str">
        <x:v>同比变化</x:v>
      </x:c>
      <x:c r="E12" s="21" t="str">
        <x:v>判断</x:v>
      </x:c>
    </x:row>
    <x:row r="13">
      <x:c r="A13" s="11" t="str">
        <x:v>综合主营</x:v>
      </x:c>
      <x:c r="B13" s="73" t="n">
        <x:v>0.3605</x:v>
      </x:c>
      <x:c r="C13" s="73" t="n">
        <x:v>0.363</x:v>
      </x:c>
      <x:c r="D13" s="73" t="n">
        <x:f>C13-B13</x:f>
        <x:v>0.0025000000000000022</x:v>
      </x:c>
      <x:c r="E13" s="11" t="str">
        <x:v>费用效率共同改善</x:v>
      </x:c>
    </x:row>
    <x:row r="14">
      <x:c r="A14" s="84" t="str">
        <x:v>液态奶</x:v>
      </x:c>
      <x:c r="B14" s="85" t="n">
        <x:v>0.3178</x:v>
      </x:c>
      <x:c r="C14" s="85" t="n">
        <x:v>0.342</x:v>
      </x:c>
      <x:c r="D14" s="85" t="n">
        <x:f>C14-B14</x:f>
        <x:v>0.0242</x:v>
      </x:c>
      <x:c r="E14" s="84" t="str">
        <x:v>原奶、结构与产能利用率改善</x:v>
      </x:c>
    </x:row>
    <x:row r="15">
      <x:c r="A15" s="86" t="str">
        <x:v>奶粉及奶制品</x:v>
      </x:c>
      <x:c r="B15" s="87" t="n">
        <x:v>0.4414</x:v>
      </x:c>
      <x:c r="C15" s="87" t="n">
        <x:v>0.413</x:v>
      </x:c>
      <x:c r="D15" s="87" t="n">
        <x:f>C15-B15</x:f>
        <x:v>-0.028400000000000036</x:v>
      </x:c>
      <x:c r="E15" s="86" t="str">
        <x:v>澳优清库存和产品组合承压</x:v>
      </x:c>
    </x:row>
    <x:row r="16">
      <x:c r="A16" s="16" t="str">
        <x:v>冷饮</x:v>
      </x:c>
      <x:c r="B16" s="88" t="n">
        <x:v>0.3926</x:v>
      </x:c>
      <x:c r="C16" s="88" t="n">
        <x:v>0.391</x:v>
      </x:c>
      <x:c r="D16" s="88" t="n">
        <x:f>C16-B16</x:f>
        <x:v>-0.0015999999999999903</x:v>
      </x:c>
      <x:c r="E16" s="16" t="str">
        <x:v>大体稳定</x:v>
      </x:c>
    </x:row>
    <x:row r="19">
      <x:c r="A19" s="19" t="str">
        <x:v>核心经营利润桥（RMB mn）</x:v>
      </x:c>
      <x:c r="B19" s="20" t="str">
        <x:v>2025H1</x:v>
      </x:c>
      <x:c r="C19" s="20" t="str">
        <x:v>变化</x:v>
      </x:c>
      <x:c r="D19" s="21" t="str">
        <x:v>2026H1</x:v>
      </x:c>
    </x:row>
    <x:row r="20">
      <x:c r="A20" s="11" t="str">
        <x:v>核心经营利润</x:v>
      </x:c>
      <x:c r="B20" s="72" t="n">
        <x:v>7642</x:v>
      </x:c>
      <x:c r="C20" s="72"/>
      <x:c r="D20" s="72"/>
    </x:row>
    <x:row r="21">
      <x:c r="A21" s="14" t="str">
        <x:v>毛利润增量</x:v>
      </x:c>
      <x:c r="B21" s="31"/>
      <x:c r="C21" s="31" t="n">
        <x:v>1046</x:v>
      </x:c>
      <x:c r="D21" s="31"/>
    </x:row>
    <x:row r="22">
      <x:c r="A22" s="14" t="str">
        <x:v>销售费用变化</x:v>
      </x:c>
      <x:c r="B22" s="31"/>
      <x:c r="C22" s="31" t="n">
        <x:v>-98</x:v>
      </x:c>
      <x:c r="D22" s="31"/>
    </x:row>
    <x:row r="23">
      <x:c r="A23" s="14" t="str">
        <x:v>管理费用变化</x:v>
      </x:c>
      <x:c r="B23" s="31"/>
      <x:c r="C23" s="31" t="n">
        <x:v>-136</x:v>
      </x:c>
      <x:c r="D23" s="31"/>
    </x:row>
    <x:row r="24">
      <x:c r="A24" s="14" t="str">
        <x:v>其他变化</x:v>
      </x:c>
      <x:c r="B24" s="31"/>
      <x:c r="C24" s="31" t="n">
        <x:v>-70</x:v>
      </x:c>
      <x:c r="D24" s="31"/>
    </x:row>
    <x:row r="25">
      <x:c r="A25" s="94" t="str">
        <x:v>核心经营利润</x:v>
      </x:c>
      <x:c r="B25" s="95" t="n">
        <x:f>B20</x:f>
        <x:v>7642</x:v>
      </x:c>
      <x:c r="C25" s="95" t="n">
        <x:f>SUM(C21:C24)</x:f>
        <x:v>742</x:v>
      </x:c>
      <x:c r="D25" s="95" t="n">
        <x:f>B25+C25</x:f>
        <x:v>8384</x:v>
      </x:c>
    </x:row>
    <x:row r="28">
      <x:c r="A28" s="19" t="str">
        <x:v>营运效率</x:v>
      </x:c>
      <x:c r="B28" s="20" t="str">
        <x:v>2025H1</x:v>
      </x:c>
      <x:c r="C28" s="20" t="str">
        <x:v>2026H1</x:v>
      </x:c>
      <x:c r="D28" s="20" t="str">
        <x:v>变化</x:v>
      </x:c>
      <x:c r="E28" s="20" t="str">
        <x:v>单位</x:v>
      </x:c>
      <x:c r="F28" s="21" t="str">
        <x:v>观察</x:v>
      </x:c>
    </x:row>
    <x:row r="29">
      <x:c r="A29" s="11" t="str">
        <x:v>应收票据+应收账款周转天数</x:v>
      </x:c>
      <x:c r="B29" s="98" t="n">
        <x:v>9.5</x:v>
      </x:c>
      <x:c r="C29" s="98" t="n">
        <x:v>10.1</x:v>
      </x:c>
      <x:c r="D29" s="98" t="n">
        <x:f>C29-B29</x:f>
        <x:v>0.5999999999999996</x:v>
      </x:c>
      <x:c r="E29" s="11" t="str">
        <x:v>天</x:v>
      </x:c>
      <x:c r="F29" s="11" t="str">
        <x:v>商超/电商应收增加</x:v>
      </x:c>
    </x:row>
    <x:row r="30">
      <x:c r="A30" s="14" t="str">
        <x:v>存货周转天数</x:v>
      </x:c>
      <x:c r="B30" s="99" t="n">
        <x:v>45.9</x:v>
      </x:c>
      <x:c r="C30" s="99" t="n">
        <x:v>44.7</x:v>
      </x:c>
      <x:c r="D30" s="99" t="n">
        <x:f>C30-B30</x:f>
        <x:v>-1.1999999999999957</x:v>
      </x:c>
      <x:c r="E30" s="14" t="str">
        <x:v>天</x:v>
      </x:c>
      <x:c r="F30" s="14" t="str">
        <x:v>库存效率略改善</x:v>
      </x:c>
    </x:row>
    <x:row r="31">
      <x:c r="A31" s="14" t="str">
        <x:v>应付票据+应付账款周转天数</x:v>
      </x:c>
      <x:c r="B31" s="99" t="n">
        <x:v>59.2</x:v>
      </x:c>
      <x:c r="C31" s="99" t="n">
        <x:v>70.8</x:v>
      </x:c>
      <x:c r="D31" s="99" t="n">
        <x:f>C31-B31</x:f>
        <x:v>11.599999999999994</x:v>
      </x:c>
      <x:c r="E31" s="14" t="str">
        <x:v>天</x:v>
      </x:c>
      <x:c r="F31" s="14" t="str">
        <x:v>供应商与票据融资贡献现金</x:v>
      </x:c>
    </x:row>
    <x:row r="32">
      <x:c r="A32" s="16" t="str">
        <x:v>现金周转天数</x:v>
      </x:c>
      <x:c r="B32" s="100" t="n">
        <x:v>-3.8</x:v>
      </x:c>
      <x:c r="C32" s="100" t="n">
        <x:v>-16</x:v>
      </x:c>
      <x:c r="D32" s="100" t="n">
        <x:f>C32-B32</x:f>
        <x:v>-12.2</x:v>
      </x:c>
      <x:c r="E32" s="16" t="str">
        <x:v>天</x:v>
      </x:c>
      <x:c r="F32" s="16" t="str">
        <x:v>负营运资本增强</x:v>
      </x:c>
    </x:row>
    <x:row r="35">
      <x:c r="A35" s="38" t="str">
        <x:v>判断：液态奶毛利和销售费用率是H1核心亮点，但奶粉毛利下降、澳优库存跌价说明结构升级仍不稳。经营现金流改善包含应付项目从上年同期净流出85.42亿元转为本期净流入4.40亿元的时点反转，不能把负16天现金周期全部视为永久能力。</x:v>
      </x:c>
      <x:c r="B35" s="38" t="str">
        <x:v>判断：液态奶毛利和销售费用率是H1核心亮点，但奶粉毛利下降、澳优库存跌价说明结构升级仍不稳。经营现金流改善包含应付项目从上年同期净流出85.42亿元转为本期净流入4.40亿元的时点反转，不能把负16天现金周期全部视为永久能力。</x:v>
      </x:c>
      <x:c r="C35" s="38" t="str">
        <x:v>判断：液态奶毛利和销售费用率是H1核心亮点，但奶粉毛利下降、澳优库存跌价说明结构升级仍不稳。经营现金流改善包含应付项目从上年同期净流出85.42亿元转为本期净流入4.40亿元的时点反转，不能把负16天现金周期全部视为永久能力。</x:v>
      </x:c>
      <x:c r="D35" s="38" t="str">
        <x:v>判断：液态奶毛利和销售费用率是H1核心亮点，但奶粉毛利下降、澳优库存跌价说明结构升级仍不稳。经营现金流改善包含应付项目从上年同期净流出85.42亿元转为本期净流入4.40亿元的时点反转，不能把负16天现金周期全部视为永久能力。</x:v>
      </x:c>
      <x:c r="E35" s="38" t="str">
        <x:v>判断：液态奶毛利和销售费用率是H1核心亮点，但奶粉毛利下降、澳优库存跌价说明结构升级仍不稳。经营现金流改善包含应付项目从上年同期净流出85.42亿元转为本期净流入4.40亿元的时点反转，不能把负16天现金周期全部视为永久能力。</x:v>
      </x:c>
      <x:c r="F35" s="38" t="str">
        <x:v>判断：液态奶毛利和销售费用率是H1核心亮点，但奶粉毛利下降、澳优库存跌价说明结构升级仍不稳。经营现金流改善包含应付项目从上年同期净流出85.42亿元转为本期净流入4.40亿元的时点反转，不能把负16天现金周期全部视为永久能力。</x:v>
      </x:c>
    </x:row>
    <x:row r="36">
      <x:c r="A36" s="38" t="str">
        <x:v>判断：液态奶毛利和销售费用率是H1核心亮点，但奶粉毛利下降、澳优库存跌价说明结构升级仍不稳。经营现金流改善包含应付项目从上年同期净流出85.42亿元转为本期净流入4.40亿元的时点反转，不能把负16天现金周期全部视为永久能力。</x:v>
      </x:c>
      <x:c r="B36" s="38" t="str">
        <x:v>判断：液态奶毛利和销售费用率是H1核心亮点，但奶粉毛利下降、澳优库存跌价说明结构升级仍不稳。经营现金流改善包含应付项目从上年同期净流出85.42亿元转为本期净流入4.40亿元的时点反转，不能把负16天现金周期全部视为永久能力。</x:v>
      </x:c>
      <x:c r="C36" s="38" t="str">
        <x:v>判断：液态奶毛利和销售费用率是H1核心亮点，但奶粉毛利下降、澳优库存跌价说明结构升级仍不稳。经营现金流改善包含应付项目从上年同期净流出85.42亿元转为本期净流入4.40亿元的时点反转，不能把负16天现金周期全部视为永久能力。</x:v>
      </x:c>
      <x:c r="D36" s="38" t="str">
        <x:v>判断：液态奶毛利和销售费用率是H1核心亮点，但奶粉毛利下降、澳优库存跌价说明结构升级仍不稳。经营现金流改善包含应付项目从上年同期净流出85.42亿元转为本期净流入4.40亿元的时点反转，不能把负16天现金周期全部视为永久能力。</x:v>
      </x:c>
      <x:c r="E36" s="38" t="str">
        <x:v>判断：液态奶毛利和销售费用率是H1核心亮点，但奶粉毛利下降、澳优库存跌价说明结构升级仍不稳。经营现金流改善包含应付项目从上年同期净流出85.42亿元转为本期净流入4.40亿元的时点反转，不能把负16天现金周期全部视为永久能力。</x:v>
      </x:c>
      <x:c r="F36" s="38" t="str">
        <x:v>判断：液态奶毛利和销售费用率是H1核心亮点，但奶粉毛利下降、澳优库存跌价说明结构升级仍不稳。经营现金流改善包含应付项目从上年同期净流出85.42亿元转为本期净流入4.40亿元的时点反转，不能把负16天现金周期全部视为永久能力。</x:v>
      </x:c>
    </x:row>
    <x:row r="37">
      <x:c r="A37" s="38" t="str">
        <x:v>判断：液态奶毛利和销售费用率是H1核心亮点，但奶粉毛利下降、澳优库存跌价说明结构升级仍不稳。经营现金流改善包含应付项目从上年同期净流出85.42亿元转为本期净流入4.40亿元的时点反转，不能把负16天现金周期全部视为永久能力。</x:v>
      </x:c>
      <x:c r="B37" s="38" t="str">
        <x:v>判断：液态奶毛利和销售费用率是H1核心亮点，但奶粉毛利下降、澳优库存跌价说明结构升级仍不稳。经营现金流改善包含应付项目从上年同期净流出85.42亿元转为本期净流入4.40亿元的时点反转，不能把负16天现金周期全部视为永久能力。</x:v>
      </x:c>
      <x:c r="C37" s="38" t="str">
        <x:v>判断：液态奶毛利和销售费用率是H1核心亮点，但奶粉毛利下降、澳优库存跌价说明结构升级仍不稳。经营现金流改善包含应付项目从上年同期净流出85.42亿元转为本期净流入4.40亿元的时点反转，不能把负16天现金周期全部视为永久能力。</x:v>
      </x:c>
      <x:c r="D37" s="38" t="str">
        <x:v>判断：液态奶毛利和销售费用率是H1核心亮点，但奶粉毛利下降、澳优库存跌价说明结构升级仍不稳。经营现金流改善包含应付项目从上年同期净流出85.42亿元转为本期净流入4.40亿元的时点反转，不能把负16天现金周期全部视为永久能力。</x:v>
      </x:c>
      <x:c r="E37" s="38" t="str">
        <x:v>判断：液态奶毛利和销售费用率是H1核心亮点，但奶粉毛利下降、澳优库存跌价说明结构升级仍不稳。经营现金流改善包含应付项目从上年同期净流出85.42亿元转为本期净流入4.40亿元的时点反转，不能把负16天现金周期全部视为永久能力。</x:v>
      </x:c>
      <x:c r="F37" s="38" t="str">
        <x:v>判断：液态奶毛利和销售费用率是H1核心亮点，但奶粉毛利下降、澳优库存跌价说明结构升级仍不稳。经营现金流改善包含应付项目从上年同期净流出85.42亿元转为本期净流入4.40亿元的时点反转，不能把负16天现金周期全部视为永久能力。</x:v>
      </x:c>
    </x:row>
    <x:row r="38">
      <x:c r="A38" s="38" t="str">
        <x:v>判断：液态奶毛利和销售费用率是H1核心亮点，但奶粉毛利下降、澳优库存跌价说明结构升级仍不稳。经营现金流改善包含应付项目从上年同期净流出85.42亿元转为本期净流入4.40亿元的时点反转，不能把负16天现金周期全部视为永久能力。</x:v>
      </x:c>
      <x:c r="B38" s="38" t="str">
        <x:v>判断：液态奶毛利和销售费用率是H1核心亮点，但奶粉毛利下降、澳优库存跌价说明结构升级仍不稳。经营现金流改善包含应付项目从上年同期净流出85.42亿元转为本期净流入4.40亿元的时点反转，不能把负16天现金周期全部视为永久能力。</x:v>
      </x:c>
      <x:c r="C38" s="38" t="str">
        <x:v>判断：液态奶毛利和销售费用率是H1核心亮点，但奶粉毛利下降、澳优库存跌价说明结构升级仍不稳。经营现金流改善包含应付项目从上年同期净流出85.42亿元转为本期净流入4.40亿元的时点反转，不能把负16天现金周期全部视为永久能力。</x:v>
      </x:c>
      <x:c r="D38" s="38" t="str">
        <x:v>判断：液态奶毛利和销售费用率是H1核心亮点，但奶粉毛利下降、澳优库存跌价说明结构升级仍不稳。经营现金流改善包含应付项目从上年同期净流出85.42亿元转为本期净流入4.40亿元的时点反转，不能把负16天现金周期全部视为永久能力。</x:v>
      </x:c>
      <x:c r="E38" s="38" t="str">
        <x:v>判断：液态奶毛利和销售费用率是H1核心亮点，但奶粉毛利下降、澳优库存跌价说明结构升级仍不稳。经营现金流改善包含应付项目从上年同期净流出85.42亿元转为本期净流入4.40亿元的时点反转，不能把负16天现金周期全部视为永久能力。</x:v>
      </x:c>
      <x:c r="F38" s="38" t="str">
        <x:v>判断：液态奶毛利和销售费用率是H1核心亮点，但奶粉毛利下降、澳优库存跌价说明结构升级仍不稳。经营现金流改善包含应付项目从上年同期净流出85.42亿元转为本期净流入4.40亿元的时点反转，不能把负16天现金周期全部视为永久能力。</x:v>
      </x:c>
    </x:row>
  </x:sheetData>
  <x:mergeCells>
    <x:mergeCell ref="A1:F1"/>
    <x:mergeCell ref="A35:F3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8" hidden="0" customWidth="1"/>
    <x:col min="3" max="3" width="43" hidden="0" customWidth="1"/>
    <x:col min="4" max="4" width="26" hidden="0" customWidth="1"/>
    <x:col min="5" max="5" width="28" hidden="0" customWidth="1"/>
    <x:col min="6" max="6" width="28" hidden="0" customWidth="1"/>
  </x:cols>
  <x:sheetData>
    <x:row r="1" ht="30" customHeight="1">
      <x:c r="A1" s="3" t="str">
        <x:v>现金、债务与资本回报</x:v>
      </x:c>
      <x:c r="B1" s="3" t="str">
        <x:v>现金、债务与资本回报</x:v>
      </x:c>
      <x:c r="C1" s="3" t="str">
        <x:v>现金、债务与资本回报</x:v>
      </x:c>
      <x:c r="D1" s="3" t="str">
        <x:v>现金、债务与资本回报</x:v>
      </x:c>
      <x:c r="E1" s="3" t="str">
        <x:v>现金、债务与资本回报</x:v>
      </x:c>
      <x:c r="F1" s="3" t="str">
        <x:v>现金、债务与资本回报</x:v>
      </x:c>
    </x:row>
    <x:row r="3">
      <x:c r="A3" s="19" t="str">
        <x:v>2026H1现金类资产（RMB mn）</x:v>
      </x:c>
      <x:c r="B3" s="20" t="str">
        <x:v>数值</x:v>
      </x:c>
      <x:c r="C3" s="21" t="str">
        <x:v>说明</x:v>
      </x:c>
    </x:row>
    <x:row r="4">
      <x:c r="A4" s="11" t="str">
        <x:v>货币资金</x:v>
      </x:c>
      <x:c r="B4" s="72" t="n">
        <x:v>16616.742</x:v>
      </x:c>
      <x:c r="C4" s="11" t="str">
        <x:v>含财务公司准备金及受限资金</x:v>
      </x:c>
    </x:row>
    <x:row r="5">
      <x:c r="A5" s="14" t="str">
        <x:v>一年内到期大额存单</x:v>
      </x:c>
      <x:c r="B5" s="31" t="n">
        <x:v>1822.313</x:v>
      </x:c>
      <x:c r="C5" s="14" t="str">
        <x:v>从一年内到期非流动资产拆出</x:v>
      </x:c>
    </x:row>
    <x:row r="6">
      <x:c r="A6" s="14" t="str">
        <x:v>短期大额存单及定期存款</x:v>
      </x:c>
      <x:c r="B6" s="31" t="n">
        <x:v>20124.632</x:v>
      </x:c>
      <x:c r="C6" s="14" t="str">
        <x:v>一年期以内</x:v>
      </x:c>
    </x:row>
    <x:row r="7">
      <x:c r="A7" s="14" t="str">
        <x:v>长期大额存单及定期存款</x:v>
      </x:c>
      <x:c r="B7" s="31" t="n">
        <x:v>41318.098</x:v>
      </x:c>
      <x:c r="C7" s="14" t="str">
        <x:v>一年期以上</x:v>
      </x:c>
    </x:row>
    <x:row r="8">
      <x:c r="A8" s="15" t="str">
        <x:v>现金类合计</x:v>
      </x:c>
      <x:c r="B8" s="74" t="n">
        <x:f>SUM(B4:B7)</x:f>
        <x:v>79881.785</x:v>
      </x:c>
      <x:c r="C8" s="15" t="str">
        <x:v>四项合计</x:v>
      </x:c>
    </x:row>
    <x:row r="11">
      <x:c r="A11" s="19" t="str">
        <x:v>有息负债与限制（RMB mn）</x:v>
      </x:c>
      <x:c r="B11" s="20" t="str">
        <x:v>数值</x:v>
      </x:c>
      <x:c r="C11" s="21" t="str">
        <x:v>说明</x:v>
      </x:c>
    </x:row>
    <x:row r="12">
      <x:c r="A12" s="11" t="str">
        <x:v>短期借款</x:v>
      </x:c>
      <x:c r="B12" s="72" t="n">
        <x:v>64677.193</x:v>
      </x:c>
      <x:c r="C12" s="11" t="str">
        <x:v>其中票据贴现48141.014</x:v>
      </x:c>
    </x:row>
    <x:row r="13">
      <x:c r="A13" s="14" t="str">
        <x:v>一年内到期非流动负债</x:v>
      </x:c>
      <x:c r="B13" s="31" t="n">
        <x:v>198.403</x:v>
      </x:c>
      <x:c r="C13" s="14" t="str">
        <x:v>含到期长期借款及租赁</x:v>
      </x:c>
    </x:row>
    <x:row r="14">
      <x:c r="A14" s="14" t="str">
        <x:v>长期借款</x:v>
      </x:c>
      <x:c r="B14" s="31" t="n">
        <x:v>197.708</x:v>
      </x:c>
      <x:c r="C14" s="14" t="str">
        <x:v>长期银行借款</x:v>
      </x:c>
    </x:row>
    <x:row r="15">
      <x:c r="A15" s="14" t="str">
        <x:v>租赁负债</x:v>
      </x:c>
      <x:c r="B15" s="31" t="n">
        <x:v>269.475</x:v>
      </x:c>
      <x:c r="C15" s="14" t="str">
        <x:v>不含一年内到期部分</x:v>
      </x:c>
    </x:row>
    <x:row r="16">
      <x:c r="A16" s="12" t="str">
        <x:v>有息负债合计</x:v>
      </x:c>
      <x:c r="B16" s="101" t="n">
        <x:f>SUM(B12:B15)</x:f>
        <x:v>65342.778999999995</x:v>
      </x:c>
      <x:c r="C16" s="12" t="str">
        <x:v>四项合计</x:v>
      </x:c>
    </x:row>
    <x:row r="17">
      <x:c r="A17" s="14" t="str">
        <x:v>受限货币资金</x:v>
      </x:c>
      <x:c r="B17" s="31" t="n">
        <x:v>2696.484</x:v>
      </x:c>
      <x:c r="C17" s="14" t="str">
        <x:v>含央行准备金、担保保证金</x:v>
      </x:c>
    </x:row>
    <x:row r="18">
      <x:c r="A18" s="94" t="str">
        <x:v>研究口径可用净现金类</x:v>
      </x:c>
      <x:c r="B18" s="95" t="n">
        <x:f>B8-B16-B17</x:f>
        <x:v>11842.522000000008</x:v>
      </x:c>
      <x:c r="C18" s="94" t="str">
        <x:v>现金类-有息负债-受限资金</x:v>
      </x:c>
    </x:row>
    <x:row r="20">
      <x:c r="A20" s="11" t="str">
        <x:v>净现金类/市值</x:v>
      </x:c>
      <x:c r="B20" s="73" t="n">
        <x:f>B18/'Valuation'!B6</x:f>
        <x:v>0.07054365994727232</x:v>
      </x:c>
      <x:c r="C20" s="11" t="str">
        <x:v>不直接加回P/E估值</x:v>
      </x:c>
    </x:row>
    <x:row r="21">
      <x:c r="A21" s="14" t="str">
        <x:v>票据贴现/短期借款</x:v>
      </x:c>
      <x:c r="B21" s="33" t="n">
        <x:f>48141.014/B12</x:f>
        <x:v>0.7443275096988208</x:v>
      </x:c>
      <x:c r="C21" s="14" t="str">
        <x:v>集团内票据贴现借款占比</x:v>
      </x:c>
    </x:row>
    <x:row r="22">
      <x:c r="A22" s="14" t="str">
        <x:v>资产负债率</x:v>
      </x:c>
      <x:c r="B22" s="33" t="n">
        <x:v>0.6356</x:v>
      </x:c>
      <x:c r="C22" s="14" t="str">
        <x:v>报告口径</x:v>
      </x:c>
    </x:row>
    <x:row r="23">
      <x:c r="A23" s="16" t="str">
        <x:v>流动比率</x:v>
      </x:c>
      <x:c r="B23" s="104" t="n">
        <x:v>0.62</x:v>
      </x:c>
      <x:c r="C23" s="16" t="str">
        <x:v>报告口径</x:v>
      </x:c>
    </x:row>
    <x:row r="26">
      <x:c r="A26" s="19" t="str">
        <x:v>资本回报</x:v>
      </x:c>
      <x:c r="B26" s="20" t="str">
        <x:v>数值</x:v>
      </x:c>
      <x:c r="C26" s="20" t="str">
        <x:v>单位</x:v>
      </x:c>
      <x:c r="D26" s="20" t="str">
        <x:v>状态</x:v>
      </x:c>
      <x:c r="E26" s="21" t="str">
        <x:v>估值含义</x:v>
      </x:c>
    </x:row>
    <x:row r="27">
      <x:c r="A27" s="11" t="str">
        <x:v>2025每股股息</x:v>
      </x:c>
      <x:c r="B27" s="111" t="n">
        <x:v>1.38</x:v>
      </x:c>
      <x:c r="C27" s="11" t="str">
        <x:v>RMB/股</x:v>
      </x:c>
      <x:c r="D27" s="11" t="str">
        <x:v>已宣派</x:v>
      </x:c>
      <x:c r="E27" s="11" t="str">
        <x:v>参考价股息率5.2%</x:v>
      </x:c>
    </x:row>
    <x:row r="28">
      <x:c r="A28" s="14" t="str">
        <x:v>2025现金分红</x:v>
      </x:c>
      <x:c r="B28" s="112" t="n">
        <x:v>8728.998</x:v>
      </x:c>
      <x:c r="C28" s="14" t="str">
        <x:v>RMB mn</x:v>
      </x:c>
      <x:c r="D28" s="14" t="str">
        <x:v>已批准</x:v>
      </x:c>
      <x:c r="E28" s="14" t="str">
        <x:v>占归母75.48%</x:v>
      </x:c>
    </x:row>
    <x:row r="29">
      <x:c r="A29" s="14" t="str">
        <x:v>2025—2027最低派息率</x:v>
      </x:c>
      <x:c r="B29" s="113" t="n">
        <x:v>0.75</x:v>
      </x:c>
      <x:c r="C29" s="14" t="str">
        <x:v>%</x:v>
      </x:c>
      <x:c r="D29" s="14" t="str">
        <x:v>股东会已批准</x:v>
      </x:c>
      <x:c r="E29" s="14" t="str">
        <x:v>高现金回报约束</x:v>
      </x:c>
    </x:row>
    <x:row r="30">
      <x:c r="A30" s="14" t="str">
        <x:v>2025—2027最低DPS</x:v>
      </x:c>
      <x:c r="B30" s="112" t="n">
        <x:v>1.22</x:v>
      </x:c>
      <x:c r="C30" s="14" t="str">
        <x:v>RMB/股</x:v>
      </x:c>
      <x:c r="D30" s="14" t="str">
        <x:v>股东会已批准</x:v>
      </x:c>
      <x:c r="E30" s="14" t="str">
        <x:v>参考价收益率4.6%</x:v>
      </x:c>
    </x:row>
    <x:row r="31">
      <x:c r="A31" s="61" t="str">
        <x:v>2026回购下限</x:v>
      </x:c>
      <x:c r="B31" s="114" t="n">
        <x:v>1000</x:v>
      </x:c>
      <x:c r="C31" s="61" t="str">
        <x:v>RMB mn</x:v>
      </x:c>
      <x:c r="D31" s="61" t="str">
        <x:v>待2026-09-16股东会</x:v>
      </x:c>
      <x:c r="E31" s="61" t="str">
        <x:v>注销式回购</x:v>
      </x:c>
    </x:row>
    <x:row r="32">
      <x:c r="A32" s="61" t="str">
        <x:v>2026回购上限</x:v>
      </x:c>
      <x:c r="B32" s="114" t="n">
        <x:v>2000</x:v>
      </x:c>
      <x:c r="C32" s="61" t="str">
        <x:v>RMB mn</x:v>
      </x:c>
      <x:c r="D32" s="61" t="str">
        <x:v>待2026-09-16股东会</x:v>
      </x:c>
      <x:c r="E32" s="61" t="str">
        <x:v>注销式回购</x:v>
      </x:c>
    </x:row>
    <x:row r="33">
      <x:c r="A33" s="14" t="str">
        <x:v>按现价回购股本比例下限</x:v>
      </x:c>
      <x:c r="B33" s="33" t="n">
        <x:f>B31/'Valuation'!B4/'Valuation'!B5</x:f>
        <x:v>0.005956810546543403</x:v>
      </x:c>
      <x:c r="C33" s="14" t="str">
        <x:v>%</x:v>
      </x:c>
      <x:c r="D33" s="14" t="str">
        <x:v>分析假设</x:v>
      </x:c>
      <x:c r="E33" s="14" t="str">
        <x:v>若均价=26.54元</x:v>
      </x:c>
    </x:row>
    <x:row r="34">
      <x:c r="A34" s="16" t="str">
        <x:v>按现价回购股本比例上限</x:v>
      </x:c>
      <x:c r="B34" s="88" t="n">
        <x:f>B32/'Valuation'!B4/'Valuation'!B5</x:f>
        <x:v>0.011913621093086807</x:v>
      </x:c>
      <x:c r="C34" s="16" t="str">
        <x:v>%</x:v>
      </x:c>
      <x:c r="D34" s="16" t="str">
        <x:v>分析假设</x:v>
      </x:c>
      <x:c r="E34" s="16" t="str">
        <x:v>若均价=26.54元</x:v>
      </x:c>
    </x:row>
    <x:row r="37">
      <x:c r="A37" s="116" t="str">
        <x:v>短期借款646.77亿元不能直接等同经营净负债：481.41亿元来自合并范围内企业票据贴现，公司同期持有632.65亿元大额存单及定期存款，并录得净利息收入。但该结构抬高资产负债率并依赖票据、存款和财务公司流动性管理；研究口径可用净现金类只作风险缓冲，不单独加回每股价值。</x:v>
      </x:c>
      <x:c r="B37" s="116" t="str">
        <x:v>短期借款646.77亿元不能直接等同经营净负债：481.41亿元来自合并范围内企业票据贴现，公司同期持有632.65亿元大额存单及定期存款，并录得净利息收入。但该结构抬高资产负债率并依赖票据、存款和财务公司流动性管理；研究口径可用净现金类只作风险缓冲，不单独加回每股价值。</x:v>
      </x:c>
      <x:c r="C37" s="116" t="str">
        <x:v>短期借款646.77亿元不能直接等同经营净负债：481.41亿元来自合并范围内企业票据贴现，公司同期持有632.65亿元大额存单及定期存款，并录得净利息收入。但该结构抬高资产负债率并依赖票据、存款和财务公司流动性管理；研究口径可用净现金类只作风险缓冲，不单独加回每股价值。</x:v>
      </x:c>
      <x:c r="D37" s="116" t="str">
        <x:v>短期借款646.77亿元不能直接等同经营净负债：481.41亿元来自合并范围内企业票据贴现，公司同期持有632.65亿元大额存单及定期存款，并录得净利息收入。但该结构抬高资产负债率并依赖票据、存款和财务公司流动性管理；研究口径可用净现金类只作风险缓冲，不单独加回每股价值。</x:v>
      </x:c>
      <x:c r="E37" s="116" t="str">
        <x:v>短期借款646.77亿元不能直接等同经营净负债：481.41亿元来自合并范围内企业票据贴现，公司同期持有632.65亿元大额存单及定期存款，并录得净利息收入。但该结构抬高资产负债率并依赖票据、存款和财务公司流动性管理；研究口径可用净现金类只作风险缓冲，不单独加回每股价值。</x:v>
      </x:c>
      <x:c r="F37" s="116" t="str">
        <x:v>短期借款646.77亿元不能直接等同经营净负债：481.41亿元来自合并范围内企业票据贴现，公司同期持有632.65亿元大额存单及定期存款，并录得净利息收入。但该结构抬高资产负债率并依赖票据、存款和财务公司流动性管理；研究口径可用净现金类只作风险缓冲，不单独加回每股价值。</x:v>
      </x:c>
    </x:row>
    <x:row r="38">
      <x:c r="A38" s="116" t="str">
        <x:v>短期借款646.77亿元不能直接等同经营净负债：481.41亿元来自合并范围内企业票据贴现，公司同期持有632.65亿元大额存单及定期存款，并录得净利息收入。但该结构抬高资产负债率并依赖票据、存款和财务公司流动性管理；研究口径可用净现金类只作风险缓冲，不单独加回每股价值。</x:v>
      </x:c>
      <x:c r="B38" s="116" t="str">
        <x:v>短期借款646.77亿元不能直接等同经营净负债：481.41亿元来自合并范围内企业票据贴现，公司同期持有632.65亿元大额存单及定期存款，并录得净利息收入。但该结构抬高资产负债率并依赖票据、存款和财务公司流动性管理；研究口径可用净现金类只作风险缓冲，不单独加回每股价值。</x:v>
      </x:c>
      <x:c r="C38" s="116" t="str">
        <x:v>短期借款646.77亿元不能直接等同经营净负债：481.41亿元来自合并范围内企业票据贴现，公司同期持有632.65亿元大额存单及定期存款，并录得净利息收入。但该结构抬高资产负债率并依赖票据、存款和财务公司流动性管理；研究口径可用净现金类只作风险缓冲，不单独加回每股价值。</x:v>
      </x:c>
      <x:c r="D38" s="116" t="str">
        <x:v>短期借款646.77亿元不能直接等同经营净负债：481.41亿元来自合并范围内企业票据贴现，公司同期持有632.65亿元大额存单及定期存款，并录得净利息收入。但该结构抬高资产负债率并依赖票据、存款和财务公司流动性管理；研究口径可用净现金类只作风险缓冲，不单独加回每股价值。</x:v>
      </x:c>
      <x:c r="E38" s="116" t="str">
        <x:v>短期借款646.77亿元不能直接等同经营净负债：481.41亿元来自合并范围内企业票据贴现，公司同期持有632.65亿元大额存单及定期存款，并录得净利息收入。但该结构抬高资产负债率并依赖票据、存款和财务公司流动性管理；研究口径可用净现金类只作风险缓冲，不单独加回每股价值。</x:v>
      </x:c>
      <x:c r="F38" s="116" t="str">
        <x:v>短期借款646.77亿元不能直接等同经营净负债：481.41亿元来自合并范围内企业票据贴现，公司同期持有632.65亿元大额存单及定期存款，并录得净利息收入。但该结构抬高资产负债率并依赖票据、存款和财务公司流动性管理；研究口径可用净现金类只作风险缓冲，不单独加回每股价值。</x:v>
      </x:c>
    </x:row>
    <x:row r="39">
      <x:c r="A39" s="116" t="str">
        <x:v>短期借款646.77亿元不能直接等同经营净负债：481.41亿元来自合并范围内企业票据贴现，公司同期持有632.65亿元大额存单及定期存款，并录得净利息收入。但该结构抬高资产负债率并依赖票据、存款和财务公司流动性管理；研究口径可用净现金类只作风险缓冲，不单独加回每股价值。</x:v>
      </x:c>
      <x:c r="B39" s="116" t="str">
        <x:v>短期借款646.77亿元不能直接等同经营净负债：481.41亿元来自合并范围内企业票据贴现，公司同期持有632.65亿元大额存单及定期存款，并录得净利息收入。但该结构抬高资产负债率并依赖票据、存款和财务公司流动性管理；研究口径可用净现金类只作风险缓冲，不单独加回每股价值。</x:v>
      </x:c>
      <x:c r="C39" s="116" t="str">
        <x:v>短期借款646.77亿元不能直接等同经营净负债：481.41亿元来自合并范围内企业票据贴现，公司同期持有632.65亿元大额存单及定期存款，并录得净利息收入。但该结构抬高资产负债率并依赖票据、存款和财务公司流动性管理；研究口径可用净现金类只作风险缓冲，不单独加回每股价值。</x:v>
      </x:c>
      <x:c r="D39" s="116" t="str">
        <x:v>短期借款646.77亿元不能直接等同经营净负债：481.41亿元来自合并范围内企业票据贴现，公司同期持有632.65亿元大额存单及定期存款，并录得净利息收入。但该结构抬高资产负债率并依赖票据、存款和财务公司流动性管理；研究口径可用净现金类只作风险缓冲，不单独加回每股价值。</x:v>
      </x:c>
      <x:c r="E39" s="116" t="str">
        <x:v>短期借款646.77亿元不能直接等同经营净负债：481.41亿元来自合并范围内企业票据贴现，公司同期持有632.65亿元大额存单及定期存款，并录得净利息收入。但该结构抬高资产负债率并依赖票据、存款和财务公司流动性管理；研究口径可用净现金类只作风险缓冲，不单独加回每股价值。</x:v>
      </x:c>
      <x:c r="F39" s="116" t="str">
        <x:v>短期借款646.77亿元不能直接等同经营净负债：481.41亿元来自合并范围内企业票据贴现，公司同期持有632.65亿元大额存单及定期存款，并录得净利息收入。但该结构抬高资产负债率并依赖票据、存款和财务公司流动性管理；研究口径可用净现金类只作风险缓冲，不单独加回每股价值。</x:v>
      </x:c>
    </x:row>
    <x:row r="40">
      <x:c r="A40" s="116" t="str">
        <x:v>短期借款646.77亿元不能直接等同经营净负债：481.41亿元来自合并范围内企业票据贴现，公司同期持有632.65亿元大额存单及定期存款，并录得净利息收入。但该结构抬高资产负债率并依赖票据、存款和财务公司流动性管理；研究口径可用净现金类只作风险缓冲，不单独加回每股价值。</x:v>
      </x:c>
      <x:c r="B40" s="116" t="str">
        <x:v>短期借款646.77亿元不能直接等同经营净负债：481.41亿元来自合并范围内企业票据贴现，公司同期持有632.65亿元大额存单及定期存款，并录得净利息收入。但该结构抬高资产负债率并依赖票据、存款和财务公司流动性管理；研究口径可用净现金类只作风险缓冲，不单独加回每股价值。</x:v>
      </x:c>
      <x:c r="C40" s="116" t="str">
        <x:v>短期借款646.77亿元不能直接等同经营净负债：481.41亿元来自合并范围内企业票据贴现，公司同期持有632.65亿元大额存单及定期存款，并录得净利息收入。但该结构抬高资产负债率并依赖票据、存款和财务公司流动性管理；研究口径可用净现金类只作风险缓冲，不单独加回每股价值。</x:v>
      </x:c>
      <x:c r="D40" s="116" t="str">
        <x:v>短期借款646.77亿元不能直接等同经营净负债：481.41亿元来自合并范围内企业票据贴现，公司同期持有632.65亿元大额存单及定期存款，并录得净利息收入。但该结构抬高资产负债率并依赖票据、存款和财务公司流动性管理；研究口径可用净现金类只作风险缓冲，不单独加回每股价值。</x:v>
      </x:c>
      <x:c r="E40" s="116" t="str">
        <x:v>短期借款646.77亿元不能直接等同经营净负债：481.41亿元来自合并范围内企业票据贴现，公司同期持有632.65亿元大额存单及定期存款，并录得净利息收入。但该结构抬高资产负债率并依赖票据、存款和财务公司流动性管理；研究口径可用净现金类只作风险缓冲，不单独加回每股价值。</x:v>
      </x:c>
      <x:c r="F40" s="116" t="str">
        <x:v>短期借款646.77亿元不能直接等同经营净负债：481.41亿元来自合并范围内企业票据贴现，公司同期持有632.65亿元大额存单及定期存款，并录得净利息收入。但该结构抬高资产负债率并依赖票据、存款和财务公司流动性管理；研究口径可用净现金类只作风险缓冲，不单独加回每股价值。</x:v>
      </x:c>
    </x:row>
  </x:sheetData>
  <x:mergeCells>
    <x:mergeCell ref="A1:F1"/>
    <x:mergeCell ref="A37:F4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30" hidden="0" customWidth="1"/>
    <x:col min="6" max="6" width="30" hidden="0" customWidth="1"/>
    <x:col min="7" max="7" width="42" hidden="0" customWidth="1"/>
  </x:cols>
  <x:sheetData>
    <x:row r="1" ht="30" customHeight="1">
      <x:c r="A1" s="3" t="str">
        <x:v>商誉减值、渠道清理与正常化利润</x:v>
      </x:c>
      <x:c r="B1" s="3" t="str">
        <x:v>商誉减值、渠道清理与正常化利润</x:v>
      </x:c>
      <x:c r="C1" s="3" t="str">
        <x:v>商誉减值、渠道清理与正常化利润</x:v>
      </x:c>
      <x:c r="D1" s="3" t="str">
        <x:v>商誉减值、渠道清理与正常化利润</x:v>
      </x:c>
      <x:c r="E1" s="3" t="str">
        <x:v>商誉减值、渠道清理与正常化利润</x:v>
      </x:c>
      <x:c r="F1" s="3" t="str">
        <x:v>商誉减值、渠道清理与正常化利润</x:v>
      </x:c>
      <x:c r="G1" s="3" t="str">
        <x:v>商誉减值、渠道清理与正常化利润</x:v>
      </x:c>
    </x:row>
    <x:row r="3">
      <x:c r="A3" s="19" t="str">
        <x:v>期间</x:v>
      </x:c>
      <x:c r="B3" s="20" t="str">
        <x:v>报告归母（亿元）</x:v>
      </x:c>
      <x:c r="C3" s="20" t="str">
        <x:v>商誉减值加回（亿元）</x:v>
      </x:c>
      <x:c r="D3" s="20" t="str">
        <x:v>正常化归母（亿元）</x:v>
      </x:c>
      <x:c r="E3" s="20" t="str">
        <x:v>其他资产减值（亿元）</x:v>
      </x:c>
      <x:c r="F3" s="20" t="str">
        <x:v>是否加回</x:v>
      </x:c>
      <x:c r="G3" s="21" t="str">
        <x:v>判断</x:v>
      </x:c>
    </x:row>
    <x:row r="5">
      <x:c r="A5" s="11" t="str">
        <x:v>2024A</x:v>
      </x:c>
      <x:c r="B5" s="121" t="n">
        <x:v>84.529</x:v>
      </x:c>
      <x:c r="C5" s="121" t="n">
        <x:v>30.754</x:v>
      </x:c>
      <x:c r="D5" s="121" t="n">
        <x:f>B5+C5</x:f>
        <x:v>115.283</x:v>
      </x:c>
      <x:c r="E5" s="121" t="n">
        <x:v>16.005</x:v>
      </x:c>
      <x:c r="F5" s="11" t="str">
        <x:v>否</x:v>
      </x:c>
      <x:c r="G5" s="11" t="str">
        <x:v>澳优商誉减值主导</x:v>
      </x:c>
    </x:row>
    <x:row r="6">
      <x:c r="A6" s="14" t="str">
        <x:v>2025A</x:v>
      </x:c>
      <x:c r="B6" s="122" t="n">
        <x:v>115.652</x:v>
      </x:c>
      <x:c r="C6" s="122" t="n">
        <x:v>1.407</x:v>
      </x:c>
      <x:c r="D6" s="122" t="n">
        <x:f>B6+C6</x:f>
        <x:v>117.059</x:v>
      </x:c>
      <x:c r="E6" s="122" t="n">
        <x:v>5.896</x:v>
      </x:c>
      <x:c r="F6" s="14" t="str">
        <x:v>否</x:v>
      </x:c>
      <x:c r="G6" s="14" t="str">
        <x:v>泰国冷饮商誉减值较小</x:v>
      </x:c>
    </x:row>
    <x:row r="7">
      <x:c r="A7" s="123" t="str">
        <x:v>TTM</x:v>
      </x:c>
      <x:c r="B7" s="124" t="n">
        <x:v>101.233</x:v>
      </x:c>
      <x:c r="C7" s="124" t="n">
        <x:v>16.873</x:v>
      </x:c>
      <x:c r="D7" s="124" t="n">
        <x:f>B7+C7</x:f>
        <x:v>118.10600000000001</x:v>
      </x:c>
      <x:c r="E7" s="124" t="n">
        <x:v>11.624</x:v>
      </x:c>
      <x:c r="F7" s="123" t="str">
        <x:v>否</x:v>
      </x:c>
      <x:c r="G7" s="123" t="str">
        <x:v>含澳优15.47亿元+泰国1.41亿元商誉减值</x:v>
      </x:c>
    </x:row>
    <x:row r="10">
      <x:c r="A10" s="19" t="str">
        <x:v>2026H1资产减值（RMB mn）</x:v>
      </x:c>
      <x:c r="B10" s="20" t="str">
        <x:v>金额</x:v>
      </x:c>
      <x:c r="C10" s="20" t="str">
        <x:v>占资产减值</x:v>
      </x:c>
      <x:c r="D10" s="20" t="str">
        <x:v>现金性质</x:v>
      </x:c>
      <x:c r="E10" s="20" t="str">
        <x:v>正常化处理</x:v>
      </x:c>
      <x:c r="F10" s="21" t="str">
        <x:v>业务含义</x:v>
      </x:c>
    </x:row>
    <x:row r="11">
      <x:c r="A11" s="128" t="str">
        <x:v>澳优商誉减值</x:v>
      </x:c>
      <x:c r="B11" s="129" t="n">
        <x:v>1546.545</x:v>
      </x:c>
      <x:c r="C11" s="130" t="n">
        <x:f>B11/$B$14</x:f>
        <x:v>0.6297327836310888</x:v>
      </x:c>
      <x:c r="D11" s="128" t="str">
        <x:v>非现金</x:v>
      </x:c>
      <x:c r="E11" s="128" t="str">
        <x:v>加回</x:v>
      </x:c>
      <x:c r="F11" s="128" t="str">
        <x:v>未来商誉冲击下降</x:v>
      </x:c>
    </x:row>
    <x:row r="12">
      <x:c r="A12" s="86" t="str">
        <x:v>存货跌价</x:v>
      </x:c>
      <x:c r="B12" s="131" t="n">
        <x:v>907.521</x:v>
      </x:c>
      <x:c r="C12" s="87" t="n">
        <x:f>B12/$B$14</x:f>
        <x:v>0.3695306153611238</x:v>
      </x:c>
      <x:c r="D12" s="86" t="str">
        <x:v>非现金但反映渠道/产品损失</x:v>
      </x:c>
      <x:c r="E12" s="86" t="str">
        <x:v>不加回</x:v>
      </x:c>
      <x:c r="F12" s="86" t="str">
        <x:v>澳优渠道清理和可变现净值压力</x:v>
      </x:c>
    </x:row>
    <x:row r="13">
      <x:c r="A13" s="14" t="str">
        <x:v>固定资产及其他</x:v>
      </x:c>
      <x:c r="B13" s="31" t="n">
        <x:v>1.809</x:v>
      </x:c>
      <x:c r="C13" s="33" t="n">
        <x:f>B13/$B$14</x:f>
        <x:v>0.0007366010077874485</x:v>
      </x:c>
      <x:c r="D13" s="14" t="str">
        <x:v>非现金</x:v>
      </x:c>
      <x:c r="E13" s="14" t="str">
        <x:v>不加回</x:v>
      </x:c>
      <x:c r="F13" s="14" t="str">
        <x:v>设备闲置等一般经营问题</x:v>
      </x:c>
    </x:row>
    <x:row r="14">
      <x:c r="A14" s="15" t="str">
        <x:v>合计</x:v>
      </x:c>
      <x:c r="B14" s="74" t="n">
        <x:v>2455.875</x:v>
      </x:c>
      <x:c r="C14" s="75" t="n">
        <x:f>1</x:f>
        <x:v>1</x:v>
      </x:c>
      <x:c r="D14" s="15" t="str">
        <x:v>非现金</x:v>
      </x:c>
      <x:c r="E14" s="15" t="str">
        <x:v>仅加回商誉</x:v>
      </x:c>
      <x:c r="F14" s="15" t="str">
        <x:v>报表利润不等于可持续利润</x:v>
      </x:c>
    </x:row>
    <x:row r="17">
      <x:c r="A17" s="19" t="str">
        <x:v>澳优商誉测试</x:v>
      </x:c>
      <x:c r="B17" s="20" t="str">
        <x:v>账面价值</x:v>
      </x:c>
      <x:c r="C17" s="20" t="str">
        <x:v>可收回金额</x:v>
      </x:c>
      <x:c r="D17" s="20" t="str">
        <x:v>减值金额</x:v>
      </x:c>
      <x:c r="E17" s="20" t="str">
        <x:v>预测增长</x:v>
      </x:c>
      <x:c r="F17" s="20" t="str">
        <x:v>预测毛利率</x:v>
      </x:c>
      <x:c r="G17" s="21" t="str">
        <x:v>折现率</x:v>
      </x:c>
    </x:row>
    <x:row r="18">
      <x:c r="A18" s="11" t="str">
        <x:v>2025年末</x:v>
      </x:c>
      <x:c r="B18" s="72" t="n">
        <x:v>9839.895</x:v>
      </x:c>
      <x:c r="C18" s="72" t="n">
        <x:v>10463</x:v>
      </x:c>
      <x:c r="D18" s="72" t="n">
        <x:v>0</x:v>
      </x:c>
      <x:c r="E18" s="11" t="str">
        <x:v>7.00%—8.25%</x:v>
      </x:c>
      <x:c r="F18" s="11" t="str">
        <x:v>39.33%—45.70%</x:v>
      </x:c>
      <x:c r="G18" s="73" t="n">
        <x:v>0.1082</x:v>
      </x:c>
    </x:row>
    <x:row r="19">
      <x:c r="A19" s="132" t="str">
        <x:v>2026H1</x:v>
      </x:c>
      <x:c r="B19" s="133" t="n">
        <x:v>9527.731</x:v>
      </x:c>
      <x:c r="C19" s="133" t="n">
        <x:v>6914</x:v>
      </x:c>
      <x:c r="D19" s="133" t="n">
        <x:v>2613.731</x:v>
      </x:c>
      <x:c r="E19" s="132" t="str">
        <x:v>5.05%—7.16%</x:v>
      </x:c>
      <x:c r="F19" s="132" t="str">
        <x:v>37.53%—43.36%</x:v>
      </x:c>
      <x:c r="G19" s="134" t="n">
        <x:v>0.1027</x:v>
      </x:c>
    </x:row>
    <x:row r="22">
      <x:c r="A22" s="38" t="str">
        <x:v>关键结论：2025年末澳优测试仍预计未来收入增长7.00%—8.25%、末期毛利率45.70%，2026H1即下调至增长5.05%—7.16%、毛利率37.53%—43.36%，可收回金额从104.63亿元降至69.14亿元。商誉基本出清会降低未来会计减值，但半年内预测大幅变化削弱并购估值和资本配置的可信度；库存跌价则必须保留在正常化利润中。</x:v>
      </x:c>
      <x:c r="B22" s="38" t="str">
        <x:v>关键结论：2025年末澳优测试仍预计未来收入增长7.00%—8.25%、末期毛利率45.70%，2026H1即下调至增长5.05%—7.16%、毛利率37.53%—43.36%，可收回金额从104.63亿元降至69.14亿元。商誉基本出清会降低未来会计减值，但半年内预测大幅变化削弱并购估值和资本配置的可信度；库存跌价则必须保留在正常化利润中。</x:v>
      </x:c>
      <x:c r="C22" s="38" t="str">
        <x:v>关键结论：2025年末澳优测试仍预计未来收入增长7.00%—8.25%、末期毛利率45.70%，2026H1即下调至增长5.05%—7.16%、毛利率37.53%—43.36%，可收回金额从104.63亿元降至69.14亿元。商誉基本出清会降低未来会计减值，但半年内预测大幅变化削弱并购估值和资本配置的可信度；库存跌价则必须保留在正常化利润中。</x:v>
      </x:c>
      <x:c r="D22" s="38" t="str">
        <x:v>关键结论：2025年末澳优测试仍预计未来收入增长7.00%—8.25%、末期毛利率45.70%，2026H1即下调至增长5.05%—7.16%、毛利率37.53%—43.36%，可收回金额从104.63亿元降至69.14亿元。商誉基本出清会降低未来会计减值，但半年内预测大幅变化削弱并购估值和资本配置的可信度；库存跌价则必须保留在正常化利润中。</x:v>
      </x:c>
      <x:c r="E22" s="38" t="str">
        <x:v>关键结论：2025年末澳优测试仍预计未来收入增长7.00%—8.25%、末期毛利率45.70%，2026H1即下调至增长5.05%—7.16%、毛利率37.53%—43.36%，可收回金额从104.63亿元降至69.14亿元。商誉基本出清会降低未来会计减值，但半年内预测大幅变化削弱并购估值和资本配置的可信度；库存跌价则必须保留在正常化利润中。</x:v>
      </x:c>
      <x:c r="F22" s="38" t="str">
        <x:v>关键结论：2025年末澳优测试仍预计未来收入增长7.00%—8.25%、末期毛利率45.70%，2026H1即下调至增长5.05%—7.16%、毛利率37.53%—43.36%，可收回金额从104.63亿元降至69.14亿元。商誉基本出清会降低未来会计减值，但半年内预测大幅变化削弱并购估值和资本配置的可信度；库存跌价则必须保留在正常化利润中。</x:v>
      </x:c>
      <x:c r="G22" s="38" t="str">
        <x:v>关键结论：2025年末澳优测试仍预计未来收入增长7.00%—8.25%、末期毛利率45.70%，2026H1即下调至增长5.05%—7.16%、毛利率37.53%—43.36%，可收回金额从104.63亿元降至69.14亿元。商誉基本出清会降低未来会计减值，但半年内预测大幅变化削弱并购估值和资本配置的可信度；库存跌价则必须保留在正常化利润中。</x:v>
      </x:c>
    </x:row>
    <x:row r="23">
      <x:c r="A23" s="38" t="str">
        <x:v>关键结论：2025年末澳优测试仍预计未来收入增长7.00%—8.25%、末期毛利率45.70%，2026H1即下调至增长5.05%—7.16%、毛利率37.53%—43.36%，可收回金额从104.63亿元降至69.14亿元。商誉基本出清会降低未来会计减值，但半年内预测大幅变化削弱并购估值和资本配置的可信度；库存跌价则必须保留在正常化利润中。</x:v>
      </x:c>
      <x:c r="B23" s="38" t="str">
        <x:v>关键结论：2025年末澳优测试仍预计未来收入增长7.00%—8.25%、末期毛利率45.70%，2026H1即下调至增长5.05%—7.16%、毛利率37.53%—43.36%，可收回金额从104.63亿元降至69.14亿元。商誉基本出清会降低未来会计减值，但半年内预测大幅变化削弱并购估值和资本配置的可信度；库存跌价则必须保留在正常化利润中。</x:v>
      </x:c>
      <x:c r="C23" s="38" t="str">
        <x:v>关键结论：2025年末澳优测试仍预计未来收入增长7.00%—8.25%、末期毛利率45.70%，2026H1即下调至增长5.05%—7.16%、毛利率37.53%—43.36%，可收回金额从104.63亿元降至69.14亿元。商誉基本出清会降低未来会计减值，但半年内预测大幅变化削弱并购估值和资本配置的可信度；库存跌价则必须保留在正常化利润中。</x:v>
      </x:c>
      <x:c r="D23" s="38" t="str">
        <x:v>关键结论：2025年末澳优测试仍预计未来收入增长7.00%—8.25%、末期毛利率45.70%，2026H1即下调至增长5.05%—7.16%、毛利率37.53%—43.36%，可收回金额从104.63亿元降至69.14亿元。商誉基本出清会降低未来会计减值，但半年内预测大幅变化削弱并购估值和资本配置的可信度；库存跌价则必须保留在正常化利润中。</x:v>
      </x:c>
      <x:c r="E23" s="38" t="str">
        <x:v>关键结论：2025年末澳优测试仍预计未来收入增长7.00%—8.25%、末期毛利率45.70%，2026H1即下调至增长5.05%—7.16%、毛利率37.53%—43.36%，可收回金额从104.63亿元降至69.14亿元。商誉基本出清会降低未来会计减值，但半年内预测大幅变化削弱并购估值和资本配置的可信度；库存跌价则必须保留在正常化利润中。</x:v>
      </x:c>
      <x:c r="F23" s="38" t="str">
        <x:v>关键结论：2025年末澳优测试仍预计未来收入增长7.00%—8.25%、末期毛利率45.70%，2026H1即下调至增长5.05%—7.16%、毛利率37.53%—43.36%，可收回金额从104.63亿元降至69.14亿元。商誉基本出清会降低未来会计减值，但半年内预测大幅变化削弱并购估值和资本配置的可信度；库存跌价则必须保留在正常化利润中。</x:v>
      </x:c>
      <x:c r="G23" s="38" t="str">
        <x:v>关键结论：2025年末澳优测试仍预计未来收入增长7.00%—8.25%、末期毛利率45.70%，2026H1即下调至增长5.05%—7.16%、毛利率37.53%—43.36%，可收回金额从104.63亿元降至69.14亿元。商誉基本出清会降低未来会计减值，但半年内预测大幅变化削弱并购估值和资本配置的可信度；库存跌价则必须保留在正常化利润中。</x:v>
      </x:c>
    </x:row>
    <x:row r="24">
      <x:c r="A24" s="38" t="str">
        <x:v>关键结论：2025年末澳优测试仍预计未来收入增长7.00%—8.25%、末期毛利率45.70%，2026H1即下调至增长5.05%—7.16%、毛利率37.53%—43.36%，可收回金额从104.63亿元降至69.14亿元。商誉基本出清会降低未来会计减值，但半年内预测大幅变化削弱并购估值和资本配置的可信度；库存跌价则必须保留在正常化利润中。</x:v>
      </x:c>
      <x:c r="B24" s="38" t="str">
        <x:v>关键结论：2025年末澳优测试仍预计未来收入增长7.00%—8.25%、末期毛利率45.70%，2026H1即下调至增长5.05%—7.16%、毛利率37.53%—43.36%，可收回金额从104.63亿元降至69.14亿元。商誉基本出清会降低未来会计减值，但半年内预测大幅变化削弱并购估值和资本配置的可信度；库存跌价则必须保留在正常化利润中。</x:v>
      </x:c>
      <x:c r="C24" s="38" t="str">
        <x:v>关键结论：2025年末澳优测试仍预计未来收入增长7.00%—8.25%、末期毛利率45.70%，2026H1即下调至增长5.05%—7.16%、毛利率37.53%—43.36%，可收回金额从104.63亿元降至69.14亿元。商誉基本出清会降低未来会计减值，但半年内预测大幅变化削弱并购估值和资本配置的可信度；库存跌价则必须保留在正常化利润中。</x:v>
      </x:c>
      <x:c r="D24" s="38" t="str">
        <x:v>关键结论：2025年末澳优测试仍预计未来收入增长7.00%—8.25%、末期毛利率45.70%，2026H1即下调至增长5.05%—7.16%、毛利率37.53%—43.36%，可收回金额从104.63亿元降至69.14亿元。商誉基本出清会降低未来会计减值，但半年内预测大幅变化削弱并购估值和资本配置的可信度；库存跌价则必须保留在正常化利润中。</x:v>
      </x:c>
      <x:c r="E24" s="38" t="str">
        <x:v>关键结论：2025年末澳优测试仍预计未来收入增长7.00%—8.25%、末期毛利率45.70%，2026H1即下调至增长5.05%—7.16%、毛利率37.53%—43.36%，可收回金额从104.63亿元降至69.14亿元。商誉基本出清会降低未来会计减值，但半年内预测大幅变化削弱并购估值和资本配置的可信度；库存跌价则必须保留在正常化利润中。</x:v>
      </x:c>
      <x:c r="F24" s="38" t="str">
        <x:v>关键结论：2025年末澳优测试仍预计未来收入增长7.00%—8.25%、末期毛利率45.70%，2026H1即下调至增长5.05%—7.16%、毛利率37.53%—43.36%，可收回金额从104.63亿元降至69.14亿元。商誉基本出清会降低未来会计减值，但半年内预测大幅变化削弱并购估值和资本配置的可信度；库存跌价则必须保留在正常化利润中。</x:v>
      </x:c>
      <x:c r="G24" s="38" t="str">
        <x:v>关键结论：2025年末澳优测试仍预计未来收入增长7.00%—8.25%、末期毛利率45.70%，2026H1即下调至增长5.05%—7.16%、毛利率37.53%—43.36%，可收回金额从104.63亿元降至69.14亿元。商誉基本出清会降低未来会计减值，但半年内预测大幅变化削弱并购估值和资本配置的可信度；库存跌价则必须保留在正常化利润中。</x:v>
      </x:c>
    </x:row>
    <x:row r="25">
      <x:c r="A25" s="38" t="str">
        <x:v>关键结论：2025年末澳优测试仍预计未来收入增长7.00%—8.25%、末期毛利率45.70%，2026H1即下调至增长5.05%—7.16%、毛利率37.53%—43.36%，可收回金额从104.63亿元降至69.14亿元。商誉基本出清会降低未来会计减值，但半年内预测大幅变化削弱并购估值和资本配置的可信度；库存跌价则必须保留在正常化利润中。</x:v>
      </x:c>
      <x:c r="B25" s="38" t="str">
        <x:v>关键结论：2025年末澳优测试仍预计未来收入增长7.00%—8.25%、末期毛利率45.70%，2026H1即下调至增长5.05%—7.16%、毛利率37.53%—43.36%，可收回金额从104.63亿元降至69.14亿元。商誉基本出清会降低未来会计减值，但半年内预测大幅变化削弱并购估值和资本配置的可信度；库存跌价则必须保留在正常化利润中。</x:v>
      </x:c>
      <x:c r="C25" s="38" t="str">
        <x:v>关键结论：2025年末澳优测试仍预计未来收入增长7.00%—8.25%、末期毛利率45.70%，2026H1即下调至增长5.05%—7.16%、毛利率37.53%—43.36%，可收回金额从104.63亿元降至69.14亿元。商誉基本出清会降低未来会计减值，但半年内预测大幅变化削弱并购估值和资本配置的可信度；库存跌价则必须保留在正常化利润中。</x:v>
      </x:c>
      <x:c r="D25" s="38" t="str">
        <x:v>关键结论：2025年末澳优测试仍预计未来收入增长7.00%—8.25%、末期毛利率45.70%，2026H1即下调至增长5.05%—7.16%、毛利率37.53%—43.36%，可收回金额从104.63亿元降至69.14亿元。商誉基本出清会降低未来会计减值，但半年内预测大幅变化削弱并购估值和资本配置的可信度；库存跌价则必须保留在正常化利润中。</x:v>
      </x:c>
      <x:c r="E25" s="38" t="str">
        <x:v>关键结论：2025年末澳优测试仍预计未来收入增长7.00%—8.25%、末期毛利率45.70%，2026H1即下调至增长5.05%—7.16%、毛利率37.53%—43.36%，可收回金额从104.63亿元降至69.14亿元。商誉基本出清会降低未来会计减值，但半年内预测大幅变化削弱并购估值和资本配置的可信度；库存跌价则必须保留在正常化利润中。</x:v>
      </x:c>
      <x:c r="F25" s="38" t="str">
        <x:v>关键结论：2025年末澳优测试仍预计未来收入增长7.00%—8.25%、末期毛利率45.70%，2026H1即下调至增长5.05%—7.16%、毛利率37.53%—43.36%，可收回金额从104.63亿元降至69.14亿元。商誉基本出清会降低未来会计减值，但半年内预测大幅变化削弱并购估值和资本配置的可信度；库存跌价则必须保留在正常化利润中。</x:v>
      </x:c>
      <x:c r="G25" s="38" t="str">
        <x:v>关键结论：2025年末澳优测试仍预计未来收入增长7.00%—8.25%、末期毛利率45.70%，2026H1即下调至增长5.05%—7.16%、毛利率37.53%—43.36%，可收回金额从104.63亿元降至69.14亿元。商誉基本出清会降低未来会计减值，但半年内预测大幅变化削弱并购估值和资本配置的可信度；库存跌价则必须保留在正常化利润中。</x:v>
      </x:c>
    </x:row>
    <x:row r="26">
      <x:c r="A26" s="38" t="str">
        <x:v>关键结论：2025年末澳优测试仍预计未来收入增长7.00%—8.25%、末期毛利率45.70%，2026H1即下调至增长5.05%—7.16%、毛利率37.53%—43.36%，可收回金额从104.63亿元降至69.14亿元。商誉基本出清会降低未来会计减值，但半年内预测大幅变化削弱并购估值和资本配置的可信度；库存跌价则必须保留在正常化利润中。</x:v>
      </x:c>
      <x:c r="B26" s="38" t="str">
        <x:v>关键结论：2025年末澳优测试仍预计未来收入增长7.00%—8.25%、末期毛利率45.70%，2026H1即下调至增长5.05%—7.16%、毛利率37.53%—43.36%，可收回金额从104.63亿元降至69.14亿元。商誉基本出清会降低未来会计减值，但半年内预测大幅变化削弱并购估值和资本配置的可信度；库存跌价则必须保留在正常化利润中。</x:v>
      </x:c>
      <x:c r="C26" s="38" t="str">
        <x:v>关键结论：2025年末澳优测试仍预计未来收入增长7.00%—8.25%、末期毛利率45.70%，2026H1即下调至增长5.05%—7.16%、毛利率37.53%—43.36%，可收回金额从104.63亿元降至69.14亿元。商誉基本出清会降低未来会计减值，但半年内预测大幅变化削弱并购估值和资本配置的可信度；库存跌价则必须保留在正常化利润中。</x:v>
      </x:c>
      <x:c r="D26" s="38" t="str">
        <x:v>关键结论：2025年末澳优测试仍预计未来收入增长7.00%—8.25%、末期毛利率45.70%，2026H1即下调至增长5.05%—7.16%、毛利率37.53%—43.36%，可收回金额从104.63亿元降至69.14亿元。商誉基本出清会降低未来会计减值，但半年内预测大幅变化削弱并购估值和资本配置的可信度；库存跌价则必须保留在正常化利润中。</x:v>
      </x:c>
      <x:c r="E26" s="38" t="str">
        <x:v>关键结论：2025年末澳优测试仍预计未来收入增长7.00%—8.25%、末期毛利率45.70%，2026H1即下调至增长5.05%—7.16%、毛利率37.53%—43.36%，可收回金额从104.63亿元降至69.14亿元。商誉基本出清会降低未来会计减值，但半年内预测大幅变化削弱并购估值和资本配置的可信度；库存跌价则必须保留在正常化利润中。</x:v>
      </x:c>
      <x:c r="F26" s="38" t="str">
        <x:v>关键结论：2025年末澳优测试仍预计未来收入增长7.00%—8.25%、末期毛利率45.70%，2026H1即下调至增长5.05%—7.16%、毛利率37.53%—43.36%，可收回金额从104.63亿元降至69.14亿元。商誉基本出清会降低未来会计减值，但半年内预测大幅变化削弱并购估值和资本配置的可信度；库存跌价则必须保留在正常化利润中。</x:v>
      </x:c>
      <x:c r="G26" s="38" t="str">
        <x:v>关键结论：2025年末澳优测试仍预计未来收入增长7.00%—8.25%、末期毛利率45.70%，2026H1即下调至增长5.05%—7.16%、毛利率37.53%—43.36%，可收回金额从104.63亿元降至69.14亿元。商誉基本出清会降低未来会计减值，但半年内预测大幅变化削弱并购估值和资本配置的可信度；库存跌价则必须保留在正常化利润中。</x:v>
      </x:c>
    </x:row>
  </x:sheetData>
  <x:mergeCells>
    <x:mergeCell ref="A1:G1"/>
    <x:mergeCell ref="A22:G2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2" hidden="0" customWidth="1"/>
  </x:cols>
  <x:sheetData>
    <x:row r="1" ht="30" customHeight="1">
      <x:c r="A1" s="3" t="str">
        <x:v>正常化P/E与股息率估值</x:v>
      </x:c>
      <x:c r="B1" s="3" t="str">
        <x:v>正常化P/E与股息率估值</x:v>
      </x:c>
      <x:c r="C1" s="3" t="str">
        <x:v>正常化P/E与股息率估值</x:v>
      </x:c>
      <x:c r="D1" s="3" t="str">
        <x:v>正常化P/E与股息率估值</x:v>
      </x:c>
      <x:c r="E1" s="3" t="str">
        <x:v>正常化P/E与股息率估值</x:v>
      </x:c>
      <x:c r="F1" s="3" t="str">
        <x:v>正常化P/E与股息率估值</x:v>
      </x:c>
      <x:c r="G1" s="3" t="str">
        <x:v>正常化P/E与股息率估值</x:v>
      </x:c>
      <x:c r="H1" s="3" t="str">
        <x:v>正常化P/E与股息率估值</x:v>
      </x:c>
    </x:row>
    <x:row r="3">
      <x:c r="A3" s="19" t="str">
        <x:v>市场与口径输入</x:v>
      </x:c>
      <x:c r="B3" s="20" t="str">
        <x:v>数值</x:v>
      </x:c>
      <x:c r="C3" s="21" t="str">
        <x:v>说明</x:v>
      </x:c>
    </x:row>
    <x:row r="4">
      <x:c r="A4" s="11" t="str">
        <x:v>当前价格</x:v>
      </x:c>
      <x:c r="B4" s="30" t="n">
        <x:v>26.54</x:v>
      </x:c>
      <x:c r="C4" s="11" t="str">
        <x:v>2026-09-10收盘，RMB/股</x:v>
      </x:c>
    </x:row>
    <x:row r="5">
      <x:c r="A5" s="14" t="str">
        <x:v>总股本</x:v>
      </x:c>
      <x:c r="B5" s="31" t="n">
        <x:v>6325.360667</x:v>
      </x:c>
      <x:c r="C5" s="14" t="str">
        <x:v>mn shares</x:v>
      </x:c>
    </x:row>
    <x:row r="6">
      <x:c r="A6" s="14" t="str">
        <x:v>当前市值</x:v>
      </x:c>
      <x:c r="B6" s="31" t="n">
        <x:f>B4*B5</x:f>
        <x:v>167875.07210217998</x:v>
      </x:c>
      <x:c r="C6" s="14" t="str">
        <x:v>价格×股本</x:v>
      </x:c>
    </x:row>
    <x:row r="7">
      <x:c r="A7" s="14" t="str">
        <x:v>TTM报告归母</x:v>
      </x:c>
      <x:c r="B7" s="31" t="n">
        <x:f>'Historical'!F17</x:f>
        <x:v>10123.315999999999</x:v>
      </x:c>
      <x:c r="C7" s="14" t="str">
        <x:v>2025A-2025H1+2026H1</x:v>
      </x:c>
    </x:row>
    <x:row r="8">
      <x:c r="A8" s="14" t="str">
        <x:v>TTM报告P/E</x:v>
      </x:c>
      <x:c r="B8" s="32" t="n">
        <x:f>B6/B7</x:f>
        <x:v>16.583012137740244</x:v>
      </x:c>
      <x:c r="C8" s="14" t="str">
        <x:v>市值/TTM报告归母</x:v>
      </x:c>
    </x:row>
    <x:row r="9">
      <x:c r="A9" s="14" t="str">
        <x:v>TTM正常化P/E</x:v>
      </x:c>
      <x:c r="B9" s="32" t="n">
        <x:f>B6/'Historical'!F19</x:f>
        <x:v>14.213933781189253</x:v>
      </x:c>
      <x:c r="C9" s="14" t="str">
        <x:v>市值/TTM正常化归母</x:v>
      </x:c>
    </x:row>
    <x:row r="10">
      <x:c r="A10" s="14" t="str">
        <x:v>2025每股股息</x:v>
      </x:c>
      <x:c r="B10" s="34" t="n">
        <x:v>1.38</x:v>
      </x:c>
      <x:c r="C10" s="14" t="str">
        <x:v>RMB/股</x:v>
      </x:c>
    </x:row>
    <x:row r="11">
      <x:c r="A11" s="14" t="str">
        <x:v>最低派息率</x:v>
      </x:c>
      <x:c r="B11" s="33" t="n">
        <x:v>0.75</x:v>
      </x:c>
      <x:c r="C11" s="14" t="str">
        <x:v>2025—2027股东回报规划</x:v>
      </x:c>
    </x:row>
    <x:row r="12">
      <x:c r="A12" s="16" t="str">
        <x:v>历史股息率</x:v>
      </x:c>
      <x:c r="B12" s="88" t="n">
        <x:f>B10/B4</x:f>
        <x:v>0.05199698568198945</x:v>
      </x:c>
      <x:c r="C12" s="16" t="str">
        <x:v>2025 DPS/当前价格</x:v>
      </x:c>
    </x:row>
    <x:row r="15">
      <x:c r="A15" s="19" t="str">
        <x:v>情景</x:v>
      </x:c>
      <x:c r="B15" s="20" t="str">
        <x:v>2027E正常化归母</x:v>
      </x:c>
      <x:c r="C15" s="20" t="str">
        <x:v>P/E</x:v>
      </x:c>
      <x:c r="D15" s="20" t="str">
        <x:v>股权价值</x:v>
      </x:c>
      <x:c r="E15" s="20" t="str">
        <x:v>股本</x:v>
      </x:c>
      <x:c r="F15" s="20" t="str">
        <x:v>股息率交叉验证DPS</x:v>
      </x:c>
      <x:c r="G15" s="20" t="str">
        <x:v>每股价值</x:v>
      </x:c>
      <x:c r="H15" s="21" t="str">
        <x:v>相对现价</x:v>
      </x:c>
    </x:row>
    <x:row r="16">
      <x:c r="A16" s="11" t="str">
        <x:v>Bear</x:v>
      </x:c>
      <x:c r="B16" s="157" t="n">
        <x:v>10500</x:v>
      </x:c>
      <x:c r="C16" s="158" t="n">
        <x:v>13</x:v>
      </x:c>
      <x:c r="D16" s="72" t="n">
        <x:f>B16*C16</x:f>
        <x:v>136500</x:v>
      </x:c>
      <x:c r="E16" s="72" t="n">
        <x:f>$B$5</x:f>
        <x:v>6325.360667</x:v>
      </x:c>
      <x:c r="F16" s="30" t="n">
        <x:f>B16*$B$11/$B$5</x:f>
        <x:v>1.2449882962539376</x:v>
      </x:c>
      <x:c r="G16" s="30" t="n">
        <x:f>D16/E16</x:f>
        <x:v>21.57979713506825</x:v>
      </x:c>
      <x:c r="H16" s="58" t="n">
        <x:f>G16/$B$4-1</x:f>
        <x:v>-0.18689536039682553</x:v>
      </x:c>
    </x:row>
    <x:row r="17">
      <x:c r="A17" s="84" t="str">
        <x:v>Base</x:v>
      </x:c>
      <x:c r="B17" s="159" t="n">
        <x:v>12500</x:v>
      </x:c>
      <x:c r="C17" s="160" t="n">
        <x:v>17</x:v>
      </x:c>
      <x:c r="D17" s="161" t="n">
        <x:f>B17*C17</x:f>
        <x:v>212500</x:v>
      </x:c>
      <x:c r="E17" s="161" t="n">
        <x:f>$B$5</x:f>
        <x:v>6325.360667</x:v>
      </x:c>
      <x:c r="F17" s="162" t="n">
        <x:f>B17*$B$11/$B$5</x:f>
        <x:v>1.4821289241118305</x:v>
      </x:c>
      <x:c r="G17" s="162" t="n">
        <x:f>D17/E17</x:f>
        <x:v>33.59492227986816</x:v>
      </x:c>
      <x:c r="H17" s="163" t="n">
        <x:f>G17/$B$4-1</x:f>
        <x:v>0.26582224114047315</x:v>
      </x:c>
    </x:row>
    <x:row r="18">
      <x:c r="A18" s="16" t="str">
        <x:v>Bull</x:v>
      </x:c>
      <x:c r="B18" s="164" t="n">
        <x:v>14000</x:v>
      </x:c>
      <x:c r="C18" s="165" t="n">
        <x:v>21</x:v>
      </x:c>
      <x:c r="D18" s="166" t="n">
        <x:f>B18*C18</x:f>
        <x:v>294000</x:v>
      </x:c>
      <x:c r="E18" s="166" t="n">
        <x:f>$B$5</x:f>
        <x:v>6325.360667</x:v>
      </x:c>
      <x:c r="F18" s="35" t="n">
        <x:f>B18*$B$11/$B$5</x:f>
        <x:v>1.6599843950052502</x:v>
      </x:c>
      <x:c r="G18" s="35" t="n">
        <x:f>D18/E18</x:f>
        <x:v>46.479563060147</x:v>
      </x:c>
      <x:c r="H18" s="67" t="n">
        <x:f>G18/$B$4-1</x:f>
        <x:v>0.7513023006837605</x:v>
      </x:c>
    </x:row>
    <x:row r="21">
      <x:c r="A21" s="19" t="str">
        <x:v>估值解释</x:v>
      </x:c>
      <x:c r="B21" s="20" t="str">
        <x:v>正常化盈利假设</x:v>
      </x:c>
      <x:c r="C21" s="20" t="str">
        <x:v>倍数逻辑</x:v>
      </x:c>
      <x:c r="D21" s="20" t="str">
        <x:v>DPS交叉验证</x:v>
      </x:c>
      <x:c r="E21" s="20" t="str">
        <x:v>催化</x:v>
      </x:c>
      <x:c r="F21" s="20" t="str">
        <x:v>主要风险</x:v>
      </x:c>
      <x:c r="G21" s="20" t="str">
        <x:v>净现金处理</x:v>
      </x:c>
      <x:c r="H21" s="21" t="str">
        <x:v>结论</x:v>
      </x:c>
    </x:row>
    <x:row r="22">
      <x:c r="A22" s="171" t="str">
        <x:v>Bear</x:v>
      </x:c>
      <x:c r="B22" s="171" t="str">
        <x:v>需求继续弱、澳优难盈利</x:v>
      </x:c>
      <x:c r="C22" s="171" t="str">
        <x:v>13x成熟低增长</x:v>
      </x:c>
      <x:c r="D22" s="171" t="str">
        <x:v>1.25元</x:v>
      </x:c>
      <x:c r="E22" s="171" t="str">
        <x:v>成本控制</x:v>
      </x:c>
      <x:c r="F22" s="171" t="str">
        <x:v>价格战/奶价反弹</x:v>
      </x:c>
      <x:c r="G22" s="171" t="str">
        <x:v>不单独加回</x:v>
      </x:c>
      <x:c r="H22" s="171" t="str">
        <x:v>21.58元</x:v>
      </x:c>
    </x:row>
    <x:row r="23">
      <x:c r="A23" s="172" t="str">
        <x:v>Base</x:v>
      </x:c>
      <x:c r="B23" s="172" t="str">
        <x:v>国内主业稳健、澳优见底</x:v>
      </x:c>
      <x:c r="C23" s="172" t="str">
        <x:v>17x高分红龙头</x:v>
      </x:c>
      <x:c r="D23" s="172" t="str">
        <x:v>1.48元</x:v>
      </x:c>
      <x:c r="E23" s="172" t="str">
        <x:v>液态奶量价+回购</x:v>
      </x:c>
      <x:c r="F23" s="172" t="str">
        <x:v>澳优恢复慢</x:v>
      </x:c>
      <x:c r="G23" s="172" t="str">
        <x:v>质量体现在倍数</x:v>
      </x:c>
      <x:c r="H23" s="172" t="str">
        <x:v>33.59元</x:v>
      </x:c>
    </x:row>
    <x:row r="24">
      <x:c r="A24" s="173" t="str">
        <x:v>Bull</x:v>
      </x:c>
      <x:c r="B24" s="173" t="str">
        <x:v>结构升级与费用效率兑现</x:v>
      </x:c>
      <x:c r="C24" s="173" t="str">
        <x:v>21x稳定复利</x:v>
      </x:c>
      <x:c r="D24" s="173" t="str">
        <x:v>1.66元</x:v>
      </x:c>
      <x:c r="E24" s="173" t="str">
        <x:v>奶粉/冷饮/海外协同</x:v>
      </x:c>
      <x:c r="F24" s="173" t="str">
        <x:v>估值回归失败</x:v>
      </x:c>
      <x:c r="G24" s="173" t="str">
        <x:v>避免重复计价</x:v>
      </x:c>
      <x:c r="H24" s="173" t="str">
        <x:v>46.48元</x:v>
      </x:c>
    </x:row>
    <x:row r="27">
      <x:c r="A27" s="19" t="str">
        <x:v>Base P/E敏感性（元/股）</x:v>
      </x:c>
      <x:c r="B27" s="20" t="str">
        <x:v>Base P/E敏感性（元/股）</x:v>
      </x:c>
      <x:c r="C27" s="20" t="str">
        <x:v>Base P/E敏感性（元/股）</x:v>
      </x:c>
      <x:c r="D27" s="20" t="str">
        <x:v>Base P/E敏感性（元/股）</x:v>
      </x:c>
      <x:c r="E27" s="20" t="str">
        <x:v>Base P/E敏感性（元/股）</x:v>
      </x:c>
      <x:c r="F27" s="20" t="str">
        <x:v>Base P/E敏感性（元/股）</x:v>
      </x:c>
      <x:c r="G27" s="20" t="str">
        <x:v>Base P/E敏感性（元/股）</x:v>
      </x:c>
      <x:c r="H27" s="21" t="str">
        <x:v>Base P/E敏感性（元/股）</x:v>
      </x:c>
    </x:row>
    <x:row r="28">
      <x:c r="A28" s="41" t="str">
        <x:v>P/E</x:v>
      </x:c>
      <x:c r="B28" s="174" t="n">
        <x:v>13</x:v>
      </x:c>
      <x:c r="C28" s="174" t="n">
        <x:v>15</x:v>
      </x:c>
      <x:c r="D28" s="174" t="n">
        <x:v>17</x:v>
      </x:c>
      <x:c r="E28" s="174" t="n">
        <x:v>19</x:v>
      </x:c>
      <x:c r="F28" s="174" t="n">
        <x:v>21</x:v>
      </x:c>
      <x:c r="G28" s="174" t="n">
        <x:v>23</x:v>
      </x:c>
      <x:c r="H28" s="174" t="n">
        <x:v>25</x:v>
      </x:c>
    </x:row>
    <x:row r="29">
      <x:c r="A29" s="8" t="str">
        <x:v>每股价值</x:v>
      </x:c>
      <x:c r="B29" s="26" t="n">
        <x:f>$B$17*B$28/$B$5</x:f>
        <x:v>25.69023468460506</x:v>
      </x:c>
      <x:c r="C29" s="26" t="n">
        <x:f>$B$17*C$28/$B$5</x:f>
        <x:v>29.64257848223661</x:v>
      </x:c>
      <x:c r="D29" s="26" t="n">
        <x:f>$B$17*D$28/$B$5</x:f>
        <x:v>33.59492227986816</x:v>
      </x:c>
      <x:c r="E29" s="26" t="n">
        <x:f>$B$17*E$28/$B$5</x:f>
        <x:v>37.54726607749971</x:v>
      </x:c>
      <x:c r="F29" s="26" t="n">
        <x:f>$B$17*F$28/$B$5</x:f>
        <x:v>41.49960987513125</x:v>
      </x:c>
      <x:c r="G29" s="26" t="n">
        <x:f>$B$17*G$28/$B$5</x:f>
        <x:v>45.4519536727628</x:v>
      </x:c>
      <x:c r="H29" s="26" t="n">
        <x:f>$B$17*H$28/$B$5</x:f>
        <x:v>49.40429747039435</x:v>
      </x:c>
    </x:row>
    <x:row r="32">
      <x:c r="A32" s="116" t="str">
        <x:v>估值限制：2027正常化归母为分析假设，不是公司指引。17倍Base P/E高于当前正常化约14.2倍，要求澳优风险下降、液态奶维持量价稳定和销售费用率不反弹。研究口径净现金类约118.4亿元仅作为风险缓冲，不在P/E估值上重复加回；尚待股东会批准的10亿—20亿元回购也未提前计入股本。</x:v>
      </x:c>
      <x:c r="B32" s="116" t="str">
        <x:v>估值限制：2027正常化归母为分析假设，不是公司指引。17倍Base P/E高于当前正常化约14.2倍，要求澳优风险下降、液态奶维持量价稳定和销售费用率不反弹。研究口径净现金类约118.4亿元仅作为风险缓冲，不在P/E估值上重复加回；尚待股东会批准的10亿—20亿元回购也未提前计入股本。</x:v>
      </x:c>
      <x:c r="C32" s="116" t="str">
        <x:v>估值限制：2027正常化归母为分析假设，不是公司指引。17倍Base P/E高于当前正常化约14.2倍，要求澳优风险下降、液态奶维持量价稳定和销售费用率不反弹。研究口径净现金类约118.4亿元仅作为风险缓冲，不在P/E估值上重复加回；尚待股东会批准的10亿—20亿元回购也未提前计入股本。</x:v>
      </x:c>
      <x:c r="D32" s="116" t="str">
        <x:v>估值限制：2027正常化归母为分析假设，不是公司指引。17倍Base P/E高于当前正常化约14.2倍，要求澳优风险下降、液态奶维持量价稳定和销售费用率不反弹。研究口径净现金类约118.4亿元仅作为风险缓冲，不在P/E估值上重复加回；尚待股东会批准的10亿—20亿元回购也未提前计入股本。</x:v>
      </x:c>
      <x:c r="E32" s="116" t="str">
        <x:v>估值限制：2027正常化归母为分析假设，不是公司指引。17倍Base P/E高于当前正常化约14.2倍，要求澳优风险下降、液态奶维持量价稳定和销售费用率不反弹。研究口径净现金类约118.4亿元仅作为风险缓冲，不在P/E估值上重复加回；尚待股东会批准的10亿—20亿元回购也未提前计入股本。</x:v>
      </x:c>
      <x:c r="F32" s="116" t="str">
        <x:v>估值限制：2027正常化归母为分析假设，不是公司指引。17倍Base P/E高于当前正常化约14.2倍，要求澳优风险下降、液态奶维持量价稳定和销售费用率不反弹。研究口径净现金类约118.4亿元仅作为风险缓冲，不在P/E估值上重复加回；尚待股东会批准的10亿—20亿元回购也未提前计入股本。</x:v>
      </x:c>
      <x:c r="G32" s="116" t="str">
        <x:v>估值限制：2027正常化归母为分析假设，不是公司指引。17倍Base P/E高于当前正常化约14.2倍，要求澳优风险下降、液态奶维持量价稳定和销售费用率不反弹。研究口径净现金类约118.4亿元仅作为风险缓冲，不在P/E估值上重复加回；尚待股东会批准的10亿—20亿元回购也未提前计入股本。</x:v>
      </x:c>
      <x:c r="H32" s="116" t="str">
        <x:v>估值限制：2027正常化归母为分析假设，不是公司指引。17倍Base P/E高于当前正常化约14.2倍，要求澳优风险下降、液态奶维持量价稳定和销售费用率不反弹。研究口径净现金类约118.4亿元仅作为风险缓冲，不在P/E估值上重复加回；尚待股东会批准的10亿—20亿元回购也未提前计入股本。</x:v>
      </x:c>
    </x:row>
    <x:row r="33">
      <x:c r="A33" s="116" t="str">
        <x:v>估值限制：2027正常化归母为分析假设，不是公司指引。17倍Base P/E高于当前正常化约14.2倍，要求澳优风险下降、液态奶维持量价稳定和销售费用率不反弹。研究口径净现金类约118.4亿元仅作为风险缓冲，不在P/E估值上重复加回；尚待股东会批准的10亿—20亿元回购也未提前计入股本。</x:v>
      </x:c>
      <x:c r="B33" s="116" t="str">
        <x:v>估值限制：2027正常化归母为分析假设，不是公司指引。17倍Base P/E高于当前正常化约14.2倍，要求澳优风险下降、液态奶维持量价稳定和销售费用率不反弹。研究口径净现金类约118.4亿元仅作为风险缓冲，不在P/E估值上重复加回；尚待股东会批准的10亿—20亿元回购也未提前计入股本。</x:v>
      </x:c>
      <x:c r="C33" s="116" t="str">
        <x:v>估值限制：2027正常化归母为分析假设，不是公司指引。17倍Base P/E高于当前正常化约14.2倍，要求澳优风险下降、液态奶维持量价稳定和销售费用率不反弹。研究口径净现金类约118.4亿元仅作为风险缓冲，不在P/E估值上重复加回；尚待股东会批准的10亿—20亿元回购也未提前计入股本。</x:v>
      </x:c>
      <x:c r="D33" s="116" t="str">
        <x:v>估值限制：2027正常化归母为分析假设，不是公司指引。17倍Base P/E高于当前正常化约14.2倍，要求澳优风险下降、液态奶维持量价稳定和销售费用率不反弹。研究口径净现金类约118.4亿元仅作为风险缓冲，不在P/E估值上重复加回；尚待股东会批准的10亿—20亿元回购也未提前计入股本。</x:v>
      </x:c>
      <x:c r="E33" s="116" t="str">
        <x:v>估值限制：2027正常化归母为分析假设，不是公司指引。17倍Base P/E高于当前正常化约14.2倍，要求澳优风险下降、液态奶维持量价稳定和销售费用率不反弹。研究口径净现金类约118.4亿元仅作为风险缓冲，不在P/E估值上重复加回；尚待股东会批准的10亿—20亿元回购也未提前计入股本。</x:v>
      </x:c>
      <x:c r="F33" s="116" t="str">
        <x:v>估值限制：2027正常化归母为分析假设，不是公司指引。17倍Base P/E高于当前正常化约14.2倍，要求澳优风险下降、液态奶维持量价稳定和销售费用率不反弹。研究口径净现金类约118.4亿元仅作为风险缓冲，不在P/E估值上重复加回；尚待股东会批准的10亿—20亿元回购也未提前计入股本。</x:v>
      </x:c>
      <x:c r="G33" s="116" t="str">
        <x:v>估值限制：2027正常化归母为分析假设，不是公司指引。17倍Base P/E高于当前正常化约14.2倍，要求澳优风险下降、液态奶维持量价稳定和销售费用率不反弹。研究口径净现金类约118.4亿元仅作为风险缓冲，不在P/E估值上重复加回；尚待股东会批准的10亿—20亿元回购也未提前计入股本。</x:v>
      </x:c>
      <x:c r="H33" s="116" t="str">
        <x:v>估值限制：2027正常化归母为分析假设，不是公司指引。17倍Base P/E高于当前正常化约14.2倍，要求澳优风险下降、液态奶维持量价稳定和销售费用率不反弹。研究口径净现金类约118.4亿元仅作为风险缓冲，不在P/E估值上重复加回；尚待股东会批准的10亿—20亿元回购也未提前计入股本。</x:v>
      </x:c>
    </x:row>
    <x:row r="34">
      <x:c r="A34" s="116" t="str">
        <x:v>估值限制：2027正常化归母为分析假设，不是公司指引。17倍Base P/E高于当前正常化约14.2倍，要求澳优风险下降、液态奶维持量价稳定和销售费用率不反弹。研究口径净现金类约118.4亿元仅作为风险缓冲，不在P/E估值上重复加回；尚待股东会批准的10亿—20亿元回购也未提前计入股本。</x:v>
      </x:c>
      <x:c r="B34" s="116" t="str">
        <x:v>估值限制：2027正常化归母为分析假设，不是公司指引。17倍Base P/E高于当前正常化约14.2倍，要求澳优风险下降、液态奶维持量价稳定和销售费用率不反弹。研究口径净现金类约118.4亿元仅作为风险缓冲，不在P/E估值上重复加回；尚待股东会批准的10亿—20亿元回购也未提前计入股本。</x:v>
      </x:c>
      <x:c r="C34" s="116" t="str">
        <x:v>估值限制：2027正常化归母为分析假设，不是公司指引。17倍Base P/E高于当前正常化约14.2倍，要求澳优风险下降、液态奶维持量价稳定和销售费用率不反弹。研究口径净现金类约118.4亿元仅作为风险缓冲，不在P/E估值上重复加回；尚待股东会批准的10亿—20亿元回购也未提前计入股本。</x:v>
      </x:c>
      <x:c r="D34" s="116" t="str">
        <x:v>估值限制：2027正常化归母为分析假设，不是公司指引。17倍Base P/E高于当前正常化约14.2倍，要求澳优风险下降、液态奶维持量价稳定和销售费用率不反弹。研究口径净现金类约118.4亿元仅作为风险缓冲，不在P/E估值上重复加回；尚待股东会批准的10亿—20亿元回购也未提前计入股本。</x:v>
      </x:c>
      <x:c r="E34" s="116" t="str">
        <x:v>估值限制：2027正常化归母为分析假设，不是公司指引。17倍Base P/E高于当前正常化约14.2倍，要求澳优风险下降、液态奶维持量价稳定和销售费用率不反弹。研究口径净现金类约118.4亿元仅作为风险缓冲，不在P/E估值上重复加回；尚待股东会批准的10亿—20亿元回购也未提前计入股本。</x:v>
      </x:c>
      <x:c r="F34" s="116" t="str">
        <x:v>估值限制：2027正常化归母为分析假设，不是公司指引。17倍Base P/E高于当前正常化约14.2倍，要求澳优风险下降、液态奶维持量价稳定和销售费用率不反弹。研究口径净现金类约118.4亿元仅作为风险缓冲，不在P/E估值上重复加回；尚待股东会批准的10亿—20亿元回购也未提前计入股本。</x:v>
      </x:c>
      <x:c r="G34" s="116" t="str">
        <x:v>估值限制：2027正常化归母为分析假设，不是公司指引。17倍Base P/E高于当前正常化约14.2倍，要求澳优风险下降、液态奶维持量价稳定和销售费用率不反弹。研究口径净现金类约118.4亿元仅作为风险缓冲，不在P/E估值上重复加回；尚待股东会批准的10亿—20亿元回购也未提前计入股本。</x:v>
      </x:c>
      <x:c r="H34" s="116" t="str">
        <x:v>估值限制：2027正常化归母为分析假设，不是公司指引。17倍Base P/E高于当前正常化约14.2倍，要求澳优风险下降、液态奶维持量价稳定和销售费用率不反弹。研究口径净现金类约118.4亿元仅作为风险缓冲，不在P/E估值上重复加回；尚待股东会批准的10亿—20亿元回购也未提前计入股本。</x:v>
      </x:c>
    </x:row>
    <x:row r="35">
      <x:c r="A35" s="116" t="str">
        <x:v>估值限制：2027正常化归母为分析假设，不是公司指引。17倍Base P/E高于当前正常化约14.2倍，要求澳优风险下降、液态奶维持量价稳定和销售费用率不反弹。研究口径净现金类约118.4亿元仅作为风险缓冲，不在P/E估值上重复加回；尚待股东会批准的10亿—20亿元回购也未提前计入股本。</x:v>
      </x:c>
      <x:c r="B35" s="116" t="str">
        <x:v>估值限制：2027正常化归母为分析假设，不是公司指引。17倍Base P/E高于当前正常化约14.2倍，要求澳优风险下降、液态奶维持量价稳定和销售费用率不反弹。研究口径净现金类约118.4亿元仅作为风险缓冲，不在P/E估值上重复加回；尚待股东会批准的10亿—20亿元回购也未提前计入股本。</x:v>
      </x:c>
      <x:c r="C35" s="116" t="str">
        <x:v>估值限制：2027正常化归母为分析假设，不是公司指引。17倍Base P/E高于当前正常化约14.2倍，要求澳优风险下降、液态奶维持量价稳定和销售费用率不反弹。研究口径净现金类约118.4亿元仅作为风险缓冲，不在P/E估值上重复加回；尚待股东会批准的10亿—20亿元回购也未提前计入股本。</x:v>
      </x:c>
      <x:c r="D35" s="116" t="str">
        <x:v>估值限制：2027正常化归母为分析假设，不是公司指引。17倍Base P/E高于当前正常化约14.2倍，要求澳优风险下降、液态奶维持量价稳定和销售费用率不反弹。研究口径净现金类约118.4亿元仅作为风险缓冲，不在P/E估值上重复加回；尚待股东会批准的10亿—20亿元回购也未提前计入股本。</x:v>
      </x:c>
      <x:c r="E35" s="116" t="str">
        <x:v>估值限制：2027正常化归母为分析假设，不是公司指引。17倍Base P/E高于当前正常化约14.2倍，要求澳优风险下降、液态奶维持量价稳定和销售费用率不反弹。研究口径净现金类约118.4亿元仅作为风险缓冲，不在P/E估值上重复加回；尚待股东会批准的10亿—20亿元回购也未提前计入股本。</x:v>
      </x:c>
      <x:c r="F35" s="116" t="str">
        <x:v>估值限制：2027正常化归母为分析假设，不是公司指引。17倍Base P/E高于当前正常化约14.2倍，要求澳优风险下降、液态奶维持量价稳定和销售费用率不反弹。研究口径净现金类约118.4亿元仅作为风险缓冲，不在P/E估值上重复加回；尚待股东会批准的10亿—20亿元回购也未提前计入股本。</x:v>
      </x:c>
      <x:c r="G35" s="116" t="str">
        <x:v>估值限制：2027正常化归母为分析假设，不是公司指引。17倍Base P/E高于当前正常化约14.2倍，要求澳优风险下降、液态奶维持量价稳定和销售费用率不反弹。研究口径净现金类约118.4亿元仅作为风险缓冲，不在P/E估值上重复加回；尚待股东会批准的10亿—20亿元回购也未提前计入股本。</x:v>
      </x:c>
      <x:c r="H35" s="116" t="str">
        <x:v>估值限制：2027正常化归母为分析假设，不是公司指引。17倍Base P/E高于当前正常化约14.2倍，要求澳优风险下降、液态奶维持量价稳定和销售费用率不反弹。研究口径净现金类约118.4亿元仅作为风险缓冲，不在P/E估值上重复加回；尚待股东会批准的10亿—20亿元回购也未提前计入股本。</x:v>
      </x:c>
    </x:row>
    <x:row r="36">
      <x:c r="A36" s="116" t="str">
        <x:v>估值限制：2027正常化归母为分析假设，不是公司指引。17倍Base P/E高于当前正常化约14.2倍，要求澳优风险下降、液态奶维持量价稳定和销售费用率不反弹。研究口径净现金类约118.4亿元仅作为风险缓冲，不在P/E估值上重复加回；尚待股东会批准的10亿—20亿元回购也未提前计入股本。</x:v>
      </x:c>
      <x:c r="B36" s="116" t="str">
        <x:v>估值限制：2027正常化归母为分析假设，不是公司指引。17倍Base P/E高于当前正常化约14.2倍，要求澳优风险下降、液态奶维持量价稳定和销售费用率不反弹。研究口径净现金类约118.4亿元仅作为风险缓冲，不在P/E估值上重复加回；尚待股东会批准的10亿—20亿元回购也未提前计入股本。</x:v>
      </x:c>
      <x:c r="C36" s="116" t="str">
        <x:v>估值限制：2027正常化归母为分析假设，不是公司指引。17倍Base P/E高于当前正常化约14.2倍，要求澳优风险下降、液态奶维持量价稳定和销售费用率不反弹。研究口径净现金类约118.4亿元仅作为风险缓冲，不在P/E估值上重复加回；尚待股东会批准的10亿—20亿元回购也未提前计入股本。</x:v>
      </x:c>
      <x:c r="D36" s="116" t="str">
        <x:v>估值限制：2027正常化归母为分析假设，不是公司指引。17倍Base P/E高于当前正常化约14.2倍，要求澳优风险下降、液态奶维持量价稳定和销售费用率不反弹。研究口径净现金类约118.4亿元仅作为风险缓冲，不在P/E估值上重复加回；尚待股东会批准的10亿—20亿元回购也未提前计入股本。</x:v>
      </x:c>
      <x:c r="E36" s="116" t="str">
        <x:v>估值限制：2027正常化归母为分析假设，不是公司指引。17倍Base P/E高于当前正常化约14.2倍，要求澳优风险下降、液态奶维持量价稳定和销售费用率不反弹。研究口径净现金类约118.4亿元仅作为风险缓冲，不在P/E估值上重复加回；尚待股东会批准的10亿—20亿元回购也未提前计入股本。</x:v>
      </x:c>
      <x:c r="F36" s="116" t="str">
        <x:v>估值限制：2027正常化归母为分析假设，不是公司指引。17倍Base P/E高于当前正常化约14.2倍，要求澳优风险下降、液态奶维持量价稳定和销售费用率不反弹。研究口径净现金类约118.4亿元仅作为风险缓冲，不在P/E估值上重复加回；尚待股东会批准的10亿—20亿元回购也未提前计入股本。</x:v>
      </x:c>
      <x:c r="G36" s="116" t="str">
        <x:v>估值限制：2027正常化归母为分析假设，不是公司指引。17倍Base P/E高于当前正常化约14.2倍，要求澳优风险下降、液态奶维持量价稳定和销售费用率不反弹。研究口径净现金类约118.4亿元仅作为风险缓冲，不在P/E估值上重复加回；尚待股东会批准的10亿—20亿元回购也未提前计入股本。</x:v>
      </x:c>
      <x:c r="H36" s="116" t="str">
        <x:v>估值限制：2027正常化归母为分析假设，不是公司指引。17倍Base P/E高于当前正常化约14.2倍，要求澳优风险下降、液态奶维持量价稳定和销售费用率不反弹。研究口径净现金类约118.4亿元仅作为风险缓冲，不在P/E估值上重复加回；尚待股东会批准的10亿—20亿元回购也未提前计入股本。</x:v>
      </x:c>
    </x:row>
  </x:sheetData>
  <x:mergeCells>
    <x:mergeCell ref="A1:H1"/>
    <x:mergeCell ref="A27:H27"/>
    <x:mergeCell ref="A32:H36"/>
  </x:mergeCells>
  <x:conditionalFormatting sqref="B29:H29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41" hidden="0" customWidth="1"/>
  </x:cols>
  <x:sheetData>
    <x:row r="1" ht="30" customHeight="1">
      <x:c r="A1" s="3" t="str">
        <x:v>模型检查</x:v>
      </x:c>
      <x:c r="B1" s="3" t="str">
        <x:v>模型检查</x:v>
      </x:c>
      <x:c r="C1" s="3" t="str">
        <x:v>模型检查</x:v>
      </x:c>
      <x:c r="D1" s="3" t="str">
        <x:v>模型检查</x:v>
      </x:c>
      <x:c r="E1" s="3" t="str">
        <x:v>模型检查</x:v>
      </x:c>
      <x:c r="F1" s="3" t="str">
        <x:v>模型检查</x:v>
      </x:c>
      <x:c r="G1" s="3" t="str">
        <x:v>模型检查</x:v>
      </x:c>
    </x:row>
    <x:row r="2">
      <x:c r="A2" t="str">
        <x:v>总体模型状态</x:v>
      </x:c>
      <x:c r="B2" t="str">
        <x:v>总体模型状态</x:v>
      </x:c>
      <x:c r="C2" t="str">
        <x:v>总体模型状态</x:v>
      </x:c>
      <x:c r="D2" t="str">
        <x:v>总体模型状态</x:v>
      </x:c>
      <x:c r="E2" t="str">
        <x:v>总体模型状态</x:v>
      </x:c>
      <x:c r="F2" t="str">
        <x:f>IF(COUNTIF(F5:F17,"FAIL")=0,"OK","FAIL")</x:f>
        <x:v>OK</x:v>
      </x:c>
    </x:row>
    <x:row r="4">
      <x:c r="A4" s="19" t="str">
        <x:v>检查项</x:v>
      </x:c>
      <x:c r="B4" s="20" t="str">
        <x:v>实际值</x:v>
      </x:c>
      <x:c r="C4" s="20" t="str">
        <x:v>预期/阈值</x:v>
      </x:c>
      <x:c r="D4" s="20" t="str">
        <x:v>差异</x:v>
      </x:c>
      <x:c r="E4" s="20" t="str">
        <x:v>容差</x:v>
      </x:c>
      <x:c r="F4" s="20" t="str">
        <x:v>状态</x:v>
      </x:c>
      <x:c r="G4" s="21" t="str">
        <x:v>说明</x:v>
      </x:c>
    </x:row>
    <x:row r="5">
      <x:c r="A5" s="11" t="str">
        <x:v>2026H1毛利润</x:v>
      </x:c>
      <x:c r="B5" s="177" t="n">
        <x:f>'Historical'!E7</x:f>
        <x:v>23436.86</x:v>
      </x:c>
      <x:c r="C5" s="177" t="n">
        <x:f>'Historical'!E4-'Historical'!E6</x:f>
        <x:v>23436.86</x:v>
      </x:c>
      <x:c r="D5" s="177" t="n">
        <x:f>B5-C5</x:f>
        <x:v>0</x:v>
      </x:c>
      <x:c r="E5" s="177" t="n">
        <x:f>0.01</x:f>
        <x:v>0.01</x:v>
      </x:c>
      <x:c r="F5" s="11" t="str">
        <x:f>IF(ABS(D5)&lt;=E5,"OK","FAIL")</x:f>
        <x:v>OK</x:v>
      </x:c>
      <x:c r="G5" s="11" t="str">
        <x:v>收入-成本</x:v>
      </x:c>
    </x:row>
    <x:row r="6">
      <x:c r="A6" s="14" t="str">
        <x:v>2026H1毛利率</x:v>
      </x:c>
      <x:c r="B6" s="178" t="n">
        <x:f>'Historical'!E8</x:f>
        <x:v>0.36431709365588755</x:v>
      </x:c>
      <x:c r="C6" s="178" t="n">
        <x:f>('Historical'!E4-'Historical'!E6)/'Historical'!E4</x:f>
        <x:v>0.36431709365588755</x:v>
      </x:c>
      <x:c r="D6" s="178" t="n">
        <x:f>B6-C6</x:f>
        <x:v>0</x:v>
      </x:c>
      <x:c r="E6" s="178" t="n">
        <x:f>0.0001</x:f>
        <x:v>0.0001</x:v>
      </x:c>
      <x:c r="F6" s="14" t="str">
        <x:f>IF(ABS(D6)&lt;=E6,"OK","FAIL")</x:f>
        <x:v>OK</x:v>
      </x:c>
      <x:c r="G6" s="14" t="str">
        <x:v>毛利/收入</x:v>
      </x:c>
    </x:row>
    <x:row r="7">
      <x:c r="A7" s="14" t="str">
        <x:v>TTM收入桥</x:v>
      </x:c>
      <x:c r="B7" s="178" t="n">
        <x:f>'Historical'!F4</x:f>
        <x:v>118190.421</x:v>
      </x:c>
      <x:c r="C7" s="178" t="n">
        <x:f>'Historical'!C4-'Historical'!D4+'Historical'!E4</x:f>
        <x:v>118190.421</x:v>
      </x:c>
      <x:c r="D7" s="178" t="n">
        <x:f>B7-C7</x:f>
        <x:v>0</x:v>
      </x:c>
      <x:c r="E7" s="178" t="n">
        <x:f>0.01</x:f>
        <x:v>0.01</x:v>
      </x:c>
      <x:c r="F7" s="14" t="str">
        <x:f>IF(ABS(D7)&lt;=E7,"OK","FAIL")</x:f>
        <x:v>OK</x:v>
      </x:c>
      <x:c r="G7" s="14" t="str">
        <x:v>2025A-2025H1+2026H1</x:v>
      </x:c>
    </x:row>
    <x:row r="8">
      <x:c r="A8" s="14" t="str">
        <x:v>TTM报告归母桥</x:v>
      </x:c>
      <x:c r="B8" s="178" t="n">
        <x:f>'Historical'!F17</x:f>
        <x:v>10123.315999999999</x:v>
      </x:c>
      <x:c r="C8" s="178" t="n">
        <x:f>'Historical'!C17-'Historical'!D17+'Historical'!E17</x:f>
        <x:v>10123.315999999999</x:v>
      </x:c>
      <x:c r="D8" s="178" t="n">
        <x:f>B8-C8</x:f>
        <x:v>0</x:v>
      </x:c>
      <x:c r="E8" s="178" t="n">
        <x:f>0.01</x:f>
        <x:v>0.01</x:v>
      </x:c>
      <x:c r="F8" s="14" t="str">
        <x:f>IF(ABS(D8)&lt;=E8,"OK","FAIL")</x:f>
        <x:v>OK</x:v>
      </x:c>
      <x:c r="G8" s="14" t="str">
        <x:v>同口径滚动</x:v>
      </x:c>
    </x:row>
    <x:row r="9">
      <x:c r="A9" s="14" t="str">
        <x:v>TTM正常化桥</x:v>
      </x:c>
      <x:c r="B9" s="178" t="n">
        <x:f>'Historical'!F19</x:f>
        <x:v>11810.598999999998</x:v>
      </x:c>
      <x:c r="C9" s="178" t="n">
        <x:f>'Historical'!C19-'Historical'!D19+'Historical'!E19</x:f>
        <x:v>11810.598999999998</x:v>
      </x:c>
      <x:c r="D9" s="178" t="n">
        <x:f>B9-C9</x:f>
        <x:v>0</x:v>
      </x:c>
      <x:c r="E9" s="178" t="n">
        <x:f>0.01</x:f>
        <x:v>0.01</x:v>
      </x:c>
      <x:c r="F9" s="14" t="str">
        <x:f>IF(ABS(D9)&lt;=E9,"OK","FAIL")</x:f>
        <x:v>OK</x:v>
      </x:c>
      <x:c r="G9" s="14" t="str">
        <x:v>报告归母+TTM商誉减值</x:v>
      </x:c>
    </x:row>
    <x:row r="10">
      <x:c r="A10" s="14" t="str">
        <x:v>TTM现金流桥</x:v>
      </x:c>
      <x:c r="B10" s="178" t="n">
        <x:f>'Historical'!F21</x:f>
        <x:v>21138.852</x:v>
      </x:c>
      <x:c r="C10" s="178" t="n">
        <x:f>'Historical'!C21-'Historical'!D21+'Historical'!E21</x:f>
        <x:v>21138.852</x:v>
      </x:c>
      <x:c r="D10" s="178" t="n">
        <x:f>B10-C10</x:f>
        <x:v>0</x:v>
      </x:c>
      <x:c r="E10" s="178" t="n">
        <x:f>0.01</x:f>
        <x:v>0.01</x:v>
      </x:c>
      <x:c r="F10" s="14" t="str">
        <x:f>IF(ABS(D10)&lt;=E10,"OK","FAIL")</x:f>
        <x:v>OK</x:v>
      </x:c>
      <x:c r="G10" s="14" t="str">
        <x:v>同口径滚动</x:v>
      </x:c>
    </x:row>
    <x:row r="11">
      <x:c r="A11" s="14" t="str">
        <x:v>2026H1分部收入合计</x:v>
      </x:c>
      <x:c r="B11" s="178" t="n">
        <x:f>'Segments'!D9</x:f>
        <x:v>63774</x:v>
      </x:c>
      <x:c r="C11" s="178" t="n">
        <x:f>SUM('Segments'!D5:D8)</x:f>
        <x:v>63774</x:v>
      </x:c>
      <x:c r="D11" s="178" t="n">
        <x:f>B11-C11</x:f>
        <x:v>0</x:v>
      </x:c>
      <x:c r="E11" s="178" t="n">
        <x:f>0.01</x:f>
        <x:v>0.01</x:v>
      </x:c>
      <x:c r="F11" s="14" t="str">
        <x:f>IF(ABS(D11)&lt;=E11,"OK","FAIL")</x:f>
        <x:v>OK</x:v>
      </x:c>
      <x:c r="G11" s="14" t="str">
        <x:v>分部收入求和</x:v>
      </x:c>
    </x:row>
    <x:row r="12">
      <x:c r="A12" s="14" t="str">
        <x:v>核心经营利润桥</x:v>
      </x:c>
      <x:c r="B12" s="178" t="n">
        <x:f>'Segments'!D25</x:f>
        <x:v>8384</x:v>
      </x:c>
      <x:c r="C12" s="178" t="n">
        <x:f>'Segments'!B25+'Segments'!C25</x:f>
        <x:v>8384</x:v>
      </x:c>
      <x:c r="D12" s="178" t="n">
        <x:f>B12-C12</x:f>
        <x:v>0</x:v>
      </x:c>
      <x:c r="E12" s="178" t="n">
        <x:f>0.01</x:f>
        <x:v>0.01</x:v>
      </x:c>
      <x:c r="F12" s="14" t="str">
        <x:f>IF(ABS(D12)&lt;=E12,"OK","FAIL")</x:f>
        <x:v>OK</x:v>
      </x:c>
      <x:c r="G12" s="14" t="str">
        <x:v>7642+742</x:v>
      </x:c>
    </x:row>
    <x:row r="13">
      <x:c r="A13" s="14" t="str">
        <x:v>现金类合计</x:v>
      </x:c>
      <x:c r="B13" s="178" t="n">
        <x:f>'Cash &amp; Debt'!B8</x:f>
        <x:v>79881.785</x:v>
      </x:c>
      <x:c r="C13" s="178" t="n">
        <x:f>SUM('Cash &amp; Debt'!B4:B7)</x:f>
        <x:v>79881.785</x:v>
      </x:c>
      <x:c r="D13" s="178" t="n">
        <x:f>B13-C13</x:f>
        <x:v>0</x:v>
      </x:c>
      <x:c r="E13" s="178" t="n">
        <x:f>0.01</x:f>
        <x:v>0.01</x:v>
      </x:c>
      <x:c r="F13" s="14" t="str">
        <x:f>IF(ABS(D13)&lt;=E13,"OK","FAIL")</x:f>
        <x:v>OK</x:v>
      </x:c>
      <x:c r="G13" s="14" t="str">
        <x:v>四项现金类合计</x:v>
      </x:c>
    </x:row>
    <x:row r="14">
      <x:c r="A14" s="14" t="str">
        <x:v>有息负债合计</x:v>
      </x:c>
      <x:c r="B14" s="178" t="n">
        <x:f>'Cash &amp; Debt'!B16</x:f>
        <x:v>65342.778999999995</x:v>
      </x:c>
      <x:c r="C14" s="178" t="n">
        <x:f>SUM('Cash &amp; Debt'!B12:B15)</x:f>
        <x:v>65342.778999999995</x:v>
      </x:c>
      <x:c r="D14" s="178" t="n">
        <x:f>B14-C14</x:f>
        <x:v>0</x:v>
      </x:c>
      <x:c r="E14" s="178" t="n">
        <x:f>0.01</x:f>
        <x:v>0.01</x:v>
      </x:c>
      <x:c r="F14" s="14" t="str">
        <x:f>IF(ABS(D14)&lt;=E14,"OK","FAIL")</x:f>
        <x:v>OK</x:v>
      </x:c>
      <x:c r="G14" s="14" t="str">
        <x:v>四项负债合计</x:v>
      </x:c>
    </x:row>
    <x:row r="15">
      <x:c r="A15" s="14" t="str">
        <x:v>可用净现金类</x:v>
      </x:c>
      <x:c r="B15" s="178" t="n">
        <x:f>'Cash &amp; Debt'!B18</x:f>
        <x:v>11842.522000000008</x:v>
      </x:c>
      <x:c r="C15" s="178" t="n">
        <x:f>'Cash &amp; Debt'!B8-'Cash &amp; Debt'!B16-'Cash &amp; Debt'!B17</x:f>
        <x:v>11842.522000000008</x:v>
      </x:c>
      <x:c r="D15" s="178" t="n">
        <x:f>B15-C15</x:f>
        <x:v>0</x:v>
      </x:c>
      <x:c r="E15" s="178" t="n">
        <x:f>0.01</x:f>
        <x:v>0.01</x:v>
      </x:c>
      <x:c r="F15" s="14" t="str">
        <x:f>IF(ABS(D15)&lt;=E15,"OK","FAIL")</x:f>
        <x:v>OK</x:v>
      </x:c>
      <x:c r="G15" s="14" t="str">
        <x:v>现金类-负债-受限现金</x:v>
      </x:c>
    </x:row>
    <x:row r="16">
      <x:c r="A16" s="14" t="str">
        <x:v>Base每股价值</x:v>
      </x:c>
      <x:c r="B16" s="178" t="n">
        <x:f>'Valuation'!G17</x:f>
        <x:v>33.59492227986816</x:v>
      </x:c>
      <x:c r="C16" s="178" t="n">
        <x:f>'Valuation'!B17*'Valuation'!C17/'Valuation'!B5</x:f>
        <x:v>33.59492227986816</x:v>
      </x:c>
      <x:c r="D16" s="178" t="n">
        <x:f>B16-C16</x:f>
        <x:v>0</x:v>
      </x:c>
      <x:c r="E16" s="178" t="n">
        <x:f>0.0001</x:f>
        <x:v>0.0001</x:v>
      </x:c>
      <x:c r="F16" s="14" t="str">
        <x:f>IF(ABS(D16)&lt;=E16,"OK","FAIL")</x:f>
        <x:v>OK</x:v>
      </x:c>
      <x:c r="G16" s="14" t="str">
        <x:v>利润×P/E/股本</x:v>
      </x:c>
    </x:row>
    <x:row r="17">
      <x:c r="A17" s="16" t="str">
        <x:v>情景价值递增</x:v>
      </x:c>
      <x:c r="B17" s="179" t="n">
        <x:f>'Valuation'!G18-'Valuation'!G16</x:f>
        <x:v>24.89976592507875</x:v>
      </x:c>
      <x:c r="C17" s="179" t="n">
        <x:f>0</x:f>
        <x:v>0</x:v>
      </x:c>
      <x:c r="D17" s="179" t="n">
        <x:f>B17-C17</x:f>
        <x:v>24.89976592507875</x:v>
      </x:c>
      <x:c r="E17" s="179" t="n">
        <x:f>0</x:f>
        <x:v>0</x:v>
      </x:c>
      <x:c r="F17" s="16" t="str">
        <x:f>IF(B17&gt;C17,"OK","FAIL")</x:f>
        <x:v>OK</x:v>
      </x:c>
      <x:c r="G17" s="16" t="str">
        <x:v>Bull必须高于Bear</x:v>
      </x:c>
    </x:row>
  </x:sheetData>
  <x:mergeCells>
    <x:mergeCell ref="A1:G1"/>
    <x:mergeCell ref="A2:E2"/>
  </x:mergeCells>
  <x:conditionalFormatting sqref="F2:F17">
    <x:cfRule type="containsText" dxfId="0" priority="1" operator="containsText" text="OK"/>
    <x:cfRule type="containsText" dxfId="1" priority="2" operator="containsText" text="FAIL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0" hidden="0" customWidth="1"/>
    <x:col min="3" max="3" width="18" hidden="0" customWidth="1"/>
    <x:col min="4" max="4" width="16" hidden="0" customWidth="1"/>
    <x:col min="5" max="5" width="20" hidden="0" customWidth="1"/>
    <x:col min="6" max="6" width="32" hidden="0" customWidth="1"/>
    <x:col min="7" max="7" width="78" hidden="0" customWidth="1"/>
    <x:col min="8" max="8" width="38" hidden="0" customWidth="1"/>
  </x:cols>
  <x:sheetData>
    <x:row r="1" ht="30" customHeight="1">
      <x:c r="A1" s="3" t="str">
        <x:v>来源与审计索引</x:v>
      </x:c>
      <x:c r="B1" s="3" t="str">
        <x:v>来源与审计索引</x:v>
      </x:c>
      <x:c r="C1" s="3" t="str">
        <x:v>来源与审计索引</x:v>
      </x:c>
      <x:c r="D1" s="3" t="str">
        <x:v>来源与审计索引</x:v>
      </x:c>
      <x:c r="E1" s="3" t="str">
        <x:v>来源与审计索引</x:v>
      </x:c>
      <x:c r="F1" s="3" t="str">
        <x:v>来源与审计索引</x:v>
      </x:c>
      <x:c r="G1" s="3" t="str">
        <x:v>来源与审计索引</x:v>
      </x:c>
      <x:c r="H1" s="3" t="str">
        <x:v>来源与审计索引</x:v>
      </x:c>
    </x:row>
    <x:row r="3">
      <x:c r="A3" s="19" t="str">
        <x:v>ID</x:v>
      </x:c>
      <x:c r="B3" s="20" t="str">
        <x:v>输入/主题</x:v>
      </x:c>
      <x:c r="C3" s="20" t="str">
        <x:v>数值</x:v>
      </x:c>
      <x:c r="D3" s="20" t="str">
        <x:v>单位</x:v>
      </x:c>
      <x:c r="E3" s="20" t="str">
        <x:v>截至/期间</x:v>
      </x:c>
      <x:c r="F3" s="20" t="str">
        <x:v>来源</x:v>
      </x:c>
      <x:c r="G3" s="20" t="str">
        <x:v>URL</x:v>
      </x:c>
      <x:c r="H3" s="21" t="str">
        <x:v>审计说明</x:v>
      </x:c>
    </x:row>
    <x:row r="4" ht="44" customHeight="1">
      <x:c r="A4" s="11" t="str">
        <x:v>S1</x:v>
      </x:c>
      <x:c r="B4" s="171" t="str">
        <x:v>2024—2025财务、业务、商誉、治理</x:v>
      </x:c>
      <x:c r="C4" s="185"/>
      <x:c r="D4" s="171"/>
      <x:c r="E4" s="171" t="str">
        <x:v>FY2025</x:v>
      </x:c>
      <x:c r="F4" s="171" t="str">
        <x:v>伊利股份2025年年度报告</x:v>
      </x:c>
      <x:c r="G4" s="171" t="str">
        <x:v>https://www.yili.com/uploads/2026-04-30/85ed8e5f-8d6f-49b4-9f10-c5d217f83ff31777526591734.pdf</x:v>
      </x:c>
      <x:c r="H4" s="171" t="str">
        <x:v>信永中和标准无保留意见</x:v>
      </x:c>
    </x:row>
    <x:row r="5" ht="44" customHeight="1">
      <x:c r="A5" s="14" t="str">
        <x:v>S2</x:v>
      </x:c>
      <x:c r="B5" s="186" t="str">
        <x:v>2026Q1财务</x:v>
      </x:c>
      <x:c r="C5" s="187"/>
      <x:c r="D5" s="186"/>
      <x:c r="E5" s="186" t="str">
        <x:v>2026Q1</x:v>
      </x:c>
      <x:c r="F5" s="186" t="str">
        <x:v>伊利股份2026年第一季度报告</x:v>
      </x:c>
      <x:c r="G5" s="186" t="str">
        <x:v>https://www.yili.com/uploads/2026-04-30/f55be7d8-cac0-4540-9bb8-0dce0e7f8fe51777526693097.pdf</x:v>
      </x:c>
      <x:c r="H5" s="186" t="str">
        <x:v>未经审计</x:v>
      </x:c>
    </x:row>
    <x:row r="6" ht="44" customHeight="1">
      <x:c r="A6" s="14" t="str">
        <x:v>S3</x:v>
      </x:c>
      <x:c r="B6" s="186" t="str">
        <x:v>2026H1财务、商誉、存款借款、股东</x:v>
      </x:c>
      <x:c r="C6" s="187"/>
      <x:c r="D6" s="186"/>
      <x:c r="E6" s="186" t="str">
        <x:v>2026H1</x:v>
      </x:c>
      <x:c r="F6" s="186" t="str">
        <x:v>伊利股份2026年半年度报告</x:v>
      </x:c>
      <x:c r="G6" s="186" t="str">
        <x:v>https://www.yili.com/uploads/2026-08-26/8db5348e-cff5-4d47-b2e5-ede9428915a41787739158906.pdf</x:v>
      </x:c>
      <x:c r="H6" s="186" t="str">
        <x:v>未经审计；关键页PDF视觉复核</x:v>
      </x:c>
    </x:row>
    <x:row r="7" ht="44" customHeight="1">
      <x:c r="A7" s="14" t="str">
        <x:v>S4</x:v>
      </x:c>
      <x:c r="B7" s="186" t="str">
        <x:v>核心经营利润、分部收入毛利率</x:v>
      </x:c>
      <x:c r="C7" s="187"/>
      <x:c r="D7" s="186"/>
      <x:c r="E7" s="186" t="str">
        <x:v>2026H1</x:v>
      </x:c>
      <x:c r="F7" s="186" t="str">
        <x:v>2026H1业绩推介材料</x:v>
      </x:c>
      <x:c r="G7" s="186" t="str">
        <x:v>https://www.yili.com/uploads/2026-08-26/38275088-895b-4919-bf0b-addbf9a0b4111787739180426.pdf</x:v>
      </x:c>
      <x:c r="H7" s="186" t="str">
        <x:v>公司定义口径；全部页面已渲染</x:v>
      </x:c>
    </x:row>
    <x:row r="8" ht="44" customHeight="1">
      <x:c r="A8" s="14" t="str">
        <x:v>S5</x:v>
      </x:c>
      <x:c r="B8" s="186" t="str">
        <x:v>资产减值与澳优渠道清理</x:v>
      </x:c>
      <x:c r="C8" s="187" t="n">
        <x:v>2455.875</x:v>
      </x:c>
      <x:c r="D8" s="186" t="str">
        <x:v>RMB mn</x:v>
      </x:c>
      <x:c r="E8" s="186" t="str">
        <x:v>2026H1</x:v>
      </x:c>
      <x:c r="F8" s="186" t="str">
        <x:v>资产减值准备公告</x:v>
      </x:c>
      <x:c r="G8" s="186" t="str">
        <x:v>https://file.finance.sina.com.cn/211.154.219.97:9494/MRGG/CNSESH_STOCK/2026/2026-8/2026-08-27/12547477.PDF</x:v>
      </x:c>
      <x:c r="H8" s="186" t="str">
        <x:v>公司公告公开镜像；未经审计</x:v>
      </x:c>
    </x:row>
    <x:row r="9" ht="44" customHeight="1">
      <x:c r="A9" s="14" t="str">
        <x:v>S6</x:v>
      </x:c>
      <x:c r="B9" s="186" t="str">
        <x:v>回购下限/上限</x:v>
      </x:c>
      <x:c r="C9" s="187" t="str">
        <x:v>1000/2000</x:v>
      </x:c>
      <x:c r="D9" s="186" t="str">
        <x:v>RMB mn</x:v>
      </x:c>
      <x:c r="E9" s="186" t="str">
        <x:v>2026-08-27</x:v>
      </x:c>
      <x:c r="F9" s="186" t="str">
        <x:v>回购方案公告</x:v>
      </x:c>
      <x:c r="G9" s="186" t="str">
        <x:v>https://file.finance.sina.com.cn/211.154.219.97:9494/MRGG/CNSESH_STOCK/2026/2026-8/2026-08-27/12547478.PDF</x:v>
      </x:c>
      <x:c r="H9" s="186" t="str">
        <x:v>待2026-09-16股东会审批</x:v>
      </x:c>
    </x:row>
    <x:row r="10" ht="44" customHeight="1">
      <x:c r="A10" s="14" t="str">
        <x:v>S7</x:v>
      </x:c>
      <x:c r="B10" s="186" t="str">
        <x:v>潘刚减持</x:v>
      </x:c>
      <x:c r="C10" s="187" t="n">
        <x:v>61.990309</x:v>
      </x:c>
      <x:c r="D10" s="186" t="str">
        <x:v>mn shares</x:v>
      </x:c>
      <x:c r="E10" s="186" t="str">
        <x:v>2026-03-17</x:v>
      </x:c>
      <x:c r="F10" s="186" t="str">
        <x:v>董事兼高级管理人员减持结果公告</x:v>
      </x:c>
      <x:c r="G10" s="186" t="str">
        <x:v>https://static.cninfo.com.cn/finalpage/2026-03-18/1225013713.PDF</x:v>
      </x:c>
      <x:c r="H10" s="186" t="str">
        <x:v>所得用于偿还质押融资</x:v>
      </x:c>
    </x:row>
    <x:row r="11" ht="44" customHeight="1">
      <x:c r="A11" s="14" t="str">
        <x:v>S8</x:v>
      </x:c>
      <x:c r="B11" s="186" t="str">
        <x:v>2025出生人口</x:v>
      </x:c>
      <x:c r="C11" s="187" t="n">
        <x:v>7.92</x:v>
      </x:c>
      <x:c r="D11" s="186" t="str">
        <x:v>mn persons</x:v>
      </x:c>
      <x:c r="E11" s="186" t="str">
        <x:v>FY2025</x:v>
      </x:c>
      <x:c r="F11" s="186" t="str">
        <x:v>国家统计局2025年统计公报</x:v>
      </x:c>
      <x:c r="G11" s="186" t="str">
        <x:v>https://www.stats.gov.cn/sj/zxfb/202602/t20260228_1962662.html</x:v>
      </x:c>
      <x:c r="H11" s="186" t="str">
        <x:v>官方宏观数据</x:v>
      </x:c>
    </x:row>
    <x:row r="12" ht="44" customHeight="1">
      <x:c r="A12" s="14" t="str">
        <x:v>S9</x:v>
      </x:c>
      <x:c r="B12" s="186" t="str">
        <x:v>主产省生鲜乳价格</x:v>
      </x:c>
      <x:c r="C12" s="187" t="n">
        <x:v>3.04</x:v>
      </x:c>
      <x:c r="D12" s="186" t="str">
        <x:v>RMB/kg</x:v>
      </x:c>
      <x:c r="E12" s="186" t="str">
        <x:v>2026-07第2周</x:v>
      </x:c>
      <x:c r="F12" s="186" t="str">
        <x:v>农业农村部周度监测</x:v>
      </x:c>
      <x:c r="G12" s="186" t="str">
        <x:v>https://xmsyj.moa.gov.cn/jcyj/202607/t20260714_6485797.htm</x:v>
      </x:c>
      <x:c r="H12" s="186" t="str">
        <x:v>实际采购价可能不同</x:v>
      </x:c>
    </x:row>
    <x:row r="13" ht="44" customHeight="1">
      <x:c r="A13" s="14" t="str">
        <x:v>M1</x:v>
      </x:c>
      <x:c r="B13" s="186" t="str">
        <x:v>A股收盘价</x:v>
      </x:c>
      <x:c r="C13" s="187" t="n">
        <x:v>26.54</x:v>
      </x:c>
      <x:c r="D13" s="186" t="str">
        <x:v>RMB/股</x:v>
      </x:c>
      <x:c r="E13" s="186" t="str">
        <x:v>2026-09-10</x:v>
      </x:c>
      <x:c r="F13" s="186" t="str">
        <x:v>行情数据页</x:v>
      </x:c>
      <x:c r="G13" s="186" t="str">
        <x:v>https://data.agoer.com/cms/Index/detail?id=600887</x:v>
      </x:c>
      <x:c r="H13" s="186" t="str">
        <x:v>Yahoo交叉核对；固定日期</x:v>
      </x:c>
    </x:row>
    <x:row r="14" ht="44" customHeight="1">
      <x:c r="A14" s="14" t="str">
        <x:v>A1</x:v>
      </x:c>
      <x:c r="B14" s="186" t="str">
        <x:v>总股本</x:v>
      </x:c>
      <x:c r="C14" s="187" t="n">
        <x:v>6325.360667</x:v>
      </x:c>
      <x:c r="D14" s="186" t="str">
        <x:v>mn shares</x:v>
      </x:c>
      <x:c r="E14" s="186" t="str">
        <x:v>2026H1</x:v>
      </x:c>
      <x:c r="F14" s="186" t="str">
        <x:v>半年度报告</x:v>
      </x:c>
      <x:c r="G14" s="186" t="str"/>
      <x:c r="H14" s="186" t="str">
        <x:v>法定股本；未预先计入回购</x:v>
      </x:c>
    </x:row>
    <x:row r="15" ht="44" customHeight="1">
      <x:c r="A15" s="14" t="str">
        <x:v>A2</x:v>
      </x:c>
      <x:c r="B15" s="186" t="str">
        <x:v>Bear正常化归母</x:v>
      </x:c>
      <x:c r="C15" s="187" t="n">
        <x:v>10500</x:v>
      </x:c>
      <x:c r="D15" s="186" t="str">
        <x:v>RMB mn</x:v>
      </x:c>
      <x:c r="E15" s="186" t="str">
        <x:v>2027E</x:v>
      </x:c>
      <x:c r="F15" s="186" t="str">
        <x:v>分析假设</x:v>
      </x:c>
      <x:c r="G15" s="186" t="str"/>
      <x:c r="H15" s="186" t="str">
        <x:v>成熟需求和澳优继续承压</x:v>
      </x:c>
    </x:row>
    <x:row r="16" ht="44" customHeight="1">
      <x:c r="A16" s="14" t="str">
        <x:v>A3</x:v>
      </x:c>
      <x:c r="B16" s="186" t="str">
        <x:v>Base正常化归母</x:v>
      </x:c>
      <x:c r="C16" s="187" t="n">
        <x:v>12500</x:v>
      </x:c>
      <x:c r="D16" s="186" t="str">
        <x:v>RMB mn</x:v>
      </x:c>
      <x:c r="E16" s="186" t="str">
        <x:v>2027E</x:v>
      </x:c>
      <x:c r="F16" s="186" t="str">
        <x:v>分析假设</x:v>
      </x:c>
      <x:c r="G16" s="186" t="str"/>
      <x:c r="H16" s="186" t="str">
        <x:v>国内主业稳健、澳优见底</x:v>
      </x:c>
    </x:row>
    <x:row r="17" ht="44" customHeight="1">
      <x:c r="A17" s="14" t="str">
        <x:v>A4</x:v>
      </x:c>
      <x:c r="B17" s="186" t="str">
        <x:v>Bull正常化归母</x:v>
      </x:c>
      <x:c r="C17" s="187" t="n">
        <x:v>14000</x:v>
      </x:c>
      <x:c r="D17" s="186" t="str">
        <x:v>RMB mn</x:v>
      </x:c>
      <x:c r="E17" s="186" t="str">
        <x:v>2027E</x:v>
      </x:c>
      <x:c r="F17" s="186" t="str">
        <x:v>分析假设</x:v>
      </x:c>
      <x:c r="G17" s="186" t="str"/>
      <x:c r="H17" s="186" t="str">
        <x:v>结构升级和费用效率兑现</x:v>
      </x:c>
    </x:row>
    <x:row r="18" ht="44" customHeight="1">
      <x:c r="A18" s="14" t="str">
        <x:v>A5</x:v>
      </x:c>
      <x:c r="B18" s="186" t="str">
        <x:v>Bear/Base/Bull P/E</x:v>
      </x:c>
      <x:c r="C18" s="187" t="str">
        <x:v>13/17/21</x:v>
      </x:c>
      <x:c r="D18" s="186" t="str">
        <x:v>x</x:v>
      </x:c>
      <x:c r="E18" s="186" t="str">
        <x:v>2027E</x:v>
      </x:c>
      <x:c r="F18" s="186" t="str">
        <x:v>分析假设</x:v>
      </x:c>
      <x:c r="G18" s="186" t="str"/>
      <x:c r="H18" s="186" t="str">
        <x:v>反映增长与质量差异</x:v>
      </x:c>
    </x:row>
    <x:row r="19" ht="44" customHeight="1">
      <x:c r="A19" s="14" t="str">
        <x:v>A6</x:v>
      </x:c>
      <x:c r="B19" s="186" t="str">
        <x:v>最低派息率</x:v>
      </x:c>
      <x:c r="C19" s="187" t="n">
        <x:v>75</x:v>
      </x:c>
      <x:c r="D19" s="186" t="str">
        <x:v>%</x:v>
      </x:c>
      <x:c r="E19" s="186" t="str">
        <x:v>2025—2027</x:v>
      </x:c>
      <x:c r="F19" s="186" t="str">
        <x:v>股东回报规划</x:v>
      </x:c>
      <x:c r="G19" s="186" t="str"/>
      <x:c r="H19" s="186" t="str">
        <x:v>股东会已批准</x:v>
      </x:c>
    </x:row>
    <x:row r="20" ht="44" customHeight="1">
      <x:c r="A20" s="14" t="str">
        <x:v>A7</x:v>
      </x:c>
      <x:c r="B20" s="186" t="str">
        <x:v>研究口径净现金</x:v>
      </x:c>
      <x:c r="C20" s="187" t="n">
        <x:f>'Cash &amp; Debt'!B18</x:f>
        <x:v>11842.522000000008</x:v>
      </x:c>
      <x:c r="D20" s="186" t="str">
        <x:v>RMB mn</x:v>
      </x:c>
      <x:c r="E20" s="186" t="str">
        <x:v>2026H1</x:v>
      </x:c>
      <x:c r="F20" s="186" t="str">
        <x:v>分析计算</x:v>
      </x:c>
      <x:c r="G20" s="186" t="str"/>
      <x:c r="H20" s="186" t="str">
        <x:v>不单独加回P/E估值</x:v>
      </x:c>
    </x:row>
    <x:row r="21" ht="44" customHeight="1">
      <x:c r="A21" s="14" t="str">
        <x:v>A8</x:v>
      </x:c>
      <x:c r="B21" s="186" t="str">
        <x:v>正常化处理</x:v>
      </x:c>
      <x:c r="C21" s="187"/>
      <x:c r="D21" s="186"/>
      <x:c r="E21" s="186" t="str">
        <x:v>模型</x:v>
      </x:c>
      <x:c r="F21" s="186" t="str">
        <x:v>分析口径</x:v>
      </x:c>
      <x:c r="G21" s="186" t="str"/>
      <x:c r="H21" s="186" t="str">
        <x:v>仅加回商誉减值</x:v>
      </x:c>
    </x:row>
    <x:row r="22" ht="44" customHeight="1">
      <x:c r="A22" s="14" t="str">
        <x:v>A9</x:v>
      </x:c>
      <x:c r="B22" s="186" t="str">
        <x:v>核心经营利润定义</x:v>
      </x:c>
      <x:c r="C22" s="187"/>
      <x:c r="D22" s="186"/>
      <x:c r="E22" s="186" t="str">
        <x:v>2026H1</x:v>
      </x:c>
      <x:c r="F22" s="186" t="str">
        <x:v>公司口径</x:v>
      </x:c>
      <x:c r="G22" s="186" t="str"/>
      <x:c r="H22" s="186" t="str">
        <x:v>毛利-销售-管理-研发-税金附加</x:v>
      </x:c>
    </x:row>
    <x:row r="23" ht="44" customHeight="1">
      <x:c r="A23" s="16" t="str">
        <x:v>A10</x:v>
      </x:c>
      <x:c r="B23" s="173" t="str">
        <x:v>回购处理</x:v>
      </x:c>
      <x:c r="C23" s="188"/>
      <x:c r="D23" s="173"/>
      <x:c r="E23" s="173" t="str">
        <x:v>2026-09-11</x:v>
      </x:c>
      <x:c r="F23" s="173" t="str">
        <x:v>分析口径</x:v>
      </x:c>
      <x:c r="G23" s="173" t="str"/>
      <x:c r="H23" s="173" t="str">
        <x:v>审批和实施前不调整股本</x:v>
      </x:c>
    </x:row>
  </x:sheetData>
  <x:mergeCells>
    <x:mergeCell ref="A1:H1"/>
  </x:mergeCells>
  <x:pageMargins left="0.7" right="0.7" top="0.75" bottom="0.75" header="0.3" footer="0.3"/>
</x:worksheet>
</file>
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drawings/charts/chart1.xml" ContentType="application/vnd.openxmlformats-officedocument.drawingml.chart+xml"/>
  <Override PartName="/xl/drawings/charts/chart2.xml" ContentType="application/vnd.openxmlformats-officedocument.drawingml.char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8244e000c48f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over" sheetId="1" r:id="Rf6239e03b8e64493"/>
    <x:sheet xmlns:r="http://schemas.openxmlformats.org/officeDocument/2006/relationships" name="Assumptions" sheetId="2" r:id="R35efa76117074289"/>
    <x:sheet xmlns:r="http://schemas.openxmlformats.org/officeDocument/2006/relationships" name="Historical" sheetId="3" r:id="R01187c06b5984d57"/>
    <x:sheet xmlns:r="http://schemas.openxmlformats.org/officeDocument/2006/relationships" name="Operations" sheetId="4" r:id="R1e2245274131408d"/>
    <x:sheet xmlns:r="http://schemas.openxmlformats.org/officeDocument/2006/relationships" name="Balance &amp; Cash" sheetId="5" r:id="R4a3d999737854c3a"/>
    <x:sheet xmlns:r="http://schemas.openxmlformats.org/officeDocument/2006/relationships" name="Forecast" sheetId="6" r:id="Ra43dd7e820ad4b41"/>
    <x:sheet xmlns:r="http://schemas.openxmlformats.org/officeDocument/2006/relationships" name="Valuation" sheetId="7" r:id="R67171460e7684757"/>
    <x:sheet xmlns:r="http://schemas.openxmlformats.org/officeDocument/2006/relationships" name="Checks" sheetId="8" r:id="R4cdcb6409e59425c"/>
    <x:sheet xmlns:r="http://schemas.openxmlformats.org/officeDocument/2006/relationships" name="Sources Audit" sheetId="9" r:id="R3de9476025e94834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10">
    <x:numFmt numFmtId="200" formatCode="0.00"/>
    <x:numFmt numFmtId="201" formatCode="0.0x"/>
    <x:numFmt numFmtId="202" formatCode="0.0%"/>
    <x:numFmt numFmtId="203" formatCode="0.0"/>
    <x:numFmt numFmtId="204" formatCode="#,##0.0"/>
    <x:numFmt numFmtId="205" formatCode="0.0000"/>
    <x:numFmt numFmtId="206" formatCode="#,##0.000"/>
    <x:numFmt numFmtId="207" formatCode="#,##0"/>
    <x:numFmt numFmtId="208" formatCode="#,##0.0;(#,##0.0);-"/>
    <x:numFmt numFmtId="209" formatCode="0.000000;(-0.000000);0.000000"/>
  </x:numFmts>
  <x:fonts count="11">
    <x:font>
      <x:sz val="11"/>
      <x:name val="Carlito"/>
    </x:font>
    <x:font>
      <x:sz val="10"/>
      <x:color rgb="FF172B3A"/>
      <x:name val="Aptos"/>
    </x:font>
    <x:font>
      <x:b/>
      <x:sz val="20"/>
      <x:color rgb="FFFFFFFF"/>
      <x:name val="Aptos"/>
    </x:font>
    <x:font>
      <x:b/>
      <x:sz val="18"/>
      <x:color rgb="FF16324F"/>
      <x:name val="Aptos"/>
    </x:font>
    <x:font>
      <x:b/>
      <x:sz val="10"/>
      <x:color rgb="FF16324F"/>
      <x:name val="Aptos"/>
    </x:font>
    <x:font>
      <x:b/>
      <x:sz val="11"/>
      <x:color rgb="FF172B3A"/>
      <x:name val="Aptos"/>
    </x:font>
    <x:font>
      <x:b/>
      <x:sz val="10"/>
      <x:color rgb="FFFFFFFF"/>
      <x:name val="Aptos"/>
    </x:font>
    <x:font>
      <x:b/>
      <x:sz val="11"/>
      <x:color rgb="FFFFFFFF"/>
      <x:name val="Aptos"/>
    </x:font>
    <x:font>
      <x:sz val="10"/>
      <x:color rgb="FF0000FF"/>
      <x:name val="Aptos"/>
    </x:font>
    <x:font>
      <x:i/>
      <x:sz val="10"/>
      <x:color rgb="FF172B3A"/>
      <x:name val="Aptos"/>
    </x:font>
    <x:font>
      <x:sz val="10"/>
      <x:color rgb="FF008000"/>
      <x:name val="Aptos"/>
    </x:font>
  </x:fonts>
  <x:fills count="8">
    <x:fill>
      <x:patternFill patternType="none"/>
    </x:fill>
    <x:fill>
      <x:patternFill patternType="gray125"/>
    </x:fill>
    <x:fill>
      <x:patternFill patternType="solid">
        <x:fgColor rgb="FF16324F"/>
      </x:patternFill>
    </x:fill>
    <x:fill>
      <x:patternFill patternType="solid">
        <x:fgColor rgb="FFE6EEF5"/>
      </x:patternFill>
    </x:fill>
    <x:fill>
      <x:patternFill patternType="solid">
        <x:fgColor rgb="FFDCEFF0"/>
      </x:patternFill>
    </x:fill>
    <x:fill>
      <x:patternFill patternType="solid">
        <x:fgColor rgb="FFE9F2FA"/>
      </x:patternFill>
    </x:fill>
    <x:fill>
      <x:patternFill patternType="solid">
        <x:fgColor rgb="FF2A7F83"/>
      </x:patternFill>
    </x:fill>
    <x:fill>
      <x:patternFill patternType="solid">
        <x:fgColor rgb="FFF3F5F7"/>
      </x:patternFill>
    </x:fill>
  </x:fills>
  <x:borders count="3">
    <x:border/>
    <x:border>
      <x:left style="thin">
        <x:color rgb="FFCDD6DF"/>
      </x:left>
      <x:right style="thin">
        <x:color rgb="FFCDD6DF"/>
      </x:right>
      <x:top style="thin">
        <x:color rgb="FFCDD6DF"/>
      </x:top>
      <x:bottom style="thin">
        <x:color rgb="FFCDD6DF"/>
      </x:bottom>
    </x:border>
    <x:border>
      <x:left style="thin">
        <x:color rgb="FFD8DEE6"/>
      </x:left>
      <x:right style="thin">
        <x:color rgb="FFD8DEE6"/>
      </x:right>
      <x:top style="thin">
        <x:color rgb="FFD8DEE6"/>
      </x:top>
      <x:bottom style="thin">
        <x:color rgb="FFD8DEE6"/>
      </x:bottom>
    </x:border>
  </x:borders>
  <x:cellStyleXfs count="1">
    <x:xf numFmtId="0" fontId="0" fillId="0" borderId="0"/>
  </x:cellStyleXfs>
  <x:cellXfs count="8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vertical="center"/>
    </x:xf>
    <x:xf numFmtId="0" fontId="1" fillId="3" borderId="0" xfId="0" applyNumberFormat="1" applyFont="1" applyFill="1" applyBorder="1"/>
    <x:xf numFmtId="0" fontId="1" fillId="3" borderId="0" xfId="0" applyNumberFormat="1" applyFont="1" applyFill="1" applyBorder="1" applyAlignment="1">
      <x:alignment vertical="center"/>
    </x:xf>
    <x:xf numFmtId="0" fontId="1" fillId="4" borderId="0" xfId="0" applyNumberFormat="1" applyFont="1" applyFill="1" applyBorder="1"/>
    <x:xf numFmtId="0" fontId="3" fillId="4" borderId="0" xfId="0" applyNumberFormat="1" applyFont="1" applyFill="1" applyBorder="1"/>
    <x:xf numFmtId="0" fontId="3" fillId="4" borderId="0" xfId="0" applyNumberFormat="1" applyFont="1" applyFill="1" applyBorder="1" applyAlignment="1">
      <x:alignment vertical="center"/>
    </x:xf>
    <x:xf numFmtId="0" fontId="1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vertical="center" wrapText="1"/>
    </x:xf>
    <x:xf numFmtId="0" fontId="4" fillId="5" borderId="2" xfId="0" applyNumberFormat="1" applyFont="1" applyFill="1" applyBorder="1" applyAlignment="1">
      <x:alignment vertical="center" wrapText="1"/>
    </x:xf>
    <x:xf numFmtId="0" fontId="1" fillId="0" borderId="2" xfId="0" applyNumberFormat="1" applyFont="1" applyFill="1" applyBorder="1"/>
    <x:xf numFmtId="0" fontId="5" fillId="0" borderId="2" xfId="0" applyNumberFormat="1" applyFont="1" applyFill="1" applyBorder="1"/>
    <x:xf numFmtId="200" fontId="5" fillId="0" borderId="2" xfId="0" applyNumberFormat="1" applyFont="1" applyFill="1" applyBorder="1"/>
    <x:xf numFmtId="201" fontId="5" fillId="0" borderId="2" xfId="0" applyNumberFormat="1" applyFont="1" applyFill="1" applyBorder="1"/>
    <x:xf numFmtId="202" fontId="5" fillId="0" borderId="2" xfId="0" applyNumberFormat="1" applyFont="1" applyFill="1" applyBorder="1"/>
    <x:xf numFmtId="203" fontId="5" fillId="0" borderId="2" xfId="0" applyNumberFormat="1" applyFont="1" applyFill="1" applyBorder="1"/>
    <x:xf numFmtId="204" fontId="1" fillId="0" borderId="0" xfId="0" applyNumberFormat="1" applyFont="1" applyFill="1" applyBorder="1"/>
    <x:xf numFmtId="200" fontId="1" fillId="0" borderId="0" xfId="0" applyNumberFormat="1" applyFont="1" applyFill="1" applyBorder="1"/>
    <x:xf numFmtId="202" fontId="1" fillId="0" borderId="0" xfId="0" applyNumberFormat="1" applyFont="1" applyFill="1" applyBorder="1"/>
    <x:xf numFmtId="0" fontId="1" fillId="6" borderId="0" xfId="0" applyNumberFormat="1" applyFont="1" applyFill="1" applyBorder="1"/>
    <x:xf numFmtId="0" fontId="6" fillId="6" borderId="0" xfId="0" applyNumberFormat="1" applyFont="1" applyFill="1" applyBorder="1"/>
    <x:xf numFmtId="0" fontId="1" fillId="7" borderId="0" xfId="0" applyNumberFormat="1" applyFont="1" applyFill="1" applyBorder="1"/>
    <x:xf numFmtId="0" fontId="1" fillId="7" borderId="0" xfId="0" applyNumberFormat="1" applyFont="1" applyFill="1" applyBorder="1" applyAlignment="1">
      <x:alignment wrapText="1"/>
    </x:xf>
    <x:xf numFmtId="0" fontId="1" fillId="7" borderId="0" xfId="0" applyNumberFormat="1" applyFont="1" applyFill="1" applyBorder="1" applyAlignment="1">
      <x:alignment vertical="center" wrapText="1"/>
    </x:xf>
    <x:xf numFmtId="0" fontId="7" fillId="6" borderId="0" xfId="0" applyNumberFormat="1" applyFont="1" applyFill="1" applyBorder="1"/>
    <x:xf numFmtId="0" fontId="7" fillId="6" borderId="0" xfId="0" applyNumberFormat="1" applyFont="1" applyFill="1" applyBorder="1" applyAlignment="1">
      <x:alignment vertical="center"/>
    </x:xf>
    <x:xf numFmtId="0" fontId="8" fillId="0" borderId="2" xfId="0" applyNumberFormat="1" applyFont="1" applyFill="1" applyBorder="1"/>
    <x:xf numFmtId="205" fontId="8" fillId="0" borderId="2" xfId="0" applyNumberFormat="1" applyFont="1" applyFill="1" applyBorder="1"/>
    <x:xf numFmtId="206" fontId="8" fillId="0" borderId="2" xfId="0" applyNumberFormat="1" applyFont="1" applyFill="1" applyBorder="1"/>
    <x:xf numFmtId="202" fontId="8" fillId="0" borderId="2" xfId="0" applyNumberFormat="1" applyFont="1" applyFill="1" applyBorder="1"/>
    <x:xf numFmtId="207" fontId="8" fillId="0" borderId="2" xfId="0" applyNumberFormat="1" applyFont="1" applyFill="1" applyBorder="1"/>
    <x:xf numFmtId="201" fontId="8" fillId="0" borderId="2" xfId="0" applyNumberFormat="1" applyFont="1" applyFill="1" applyBorder="1"/>
    <x:xf numFmtId="0" fontId="1" fillId="0" borderId="2" xfId="0" applyNumberFormat="1" applyFont="1" applyFill="1" applyBorder="1" applyAlignment="1">
      <x:alignment wrapText="1"/>
    </x:xf>
    <x:xf numFmtId="0" fontId="4" fillId="7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208" fontId="1" fillId="0" borderId="2" xfId="0" applyNumberFormat="1" applyFont="1" applyFill="1" applyBorder="1"/>
    <x:xf numFmtId="0" fontId="9" fillId="0" borderId="2" xfId="0" applyNumberFormat="1" applyFont="1" applyFill="1" applyBorder="1"/>
    <x:xf numFmtId="208" fontId="9" fillId="0" borderId="2" xfId="0" applyNumberFormat="1" applyFont="1" applyFill="1" applyBorder="1"/>
    <x:xf numFmtId="202" fontId="9" fillId="0" borderId="2" xfId="0" applyNumberFormat="1" applyFont="1" applyFill="1" applyBorder="1"/>
    <x:xf numFmtId="204" fontId="1" fillId="0" borderId="2" xfId="0" applyNumberFormat="1" applyFont="1" applyFill="1" applyBorder="1"/>
    <x:xf numFmtId="202" fontId="1" fillId="0" borderId="2" xfId="0" applyNumberFormat="1" applyFont="1" applyFill="1" applyBorder="1"/>
    <x:xf numFmtId="0" fontId="4" fillId="0" borderId="2" xfId="0" applyNumberFormat="1" applyFont="1" applyFill="1" applyBorder="1"/>
    <x:xf numFmtId="204" fontId="4" fillId="0" borderId="2" xfId="0" applyNumberFormat="1" applyFont="1" applyFill="1" applyBorder="1"/>
    <x:xf numFmtId="202" fontId="4" fillId="0" borderId="2" xfId="0" applyNumberFormat="1" applyFont="1" applyFill="1" applyBorder="1"/>
    <x:xf numFmtId="208" fontId="4" fillId="0" borderId="2" xfId="0" applyNumberFormat="1" applyFont="1" applyFill="1" applyBorder="1"/>
    <x:xf numFmtId="200" fontId="1" fillId="0" borderId="2" xfId="0" applyNumberFormat="1" applyFont="1" applyFill="1" applyBorder="1"/>
    <x:xf numFmtId="201" fontId="1" fillId="0" borderId="2" xfId="0" applyNumberFormat="1" applyFont="1" applyFill="1" applyBorder="1"/>
    <x:xf numFmtId="204" fontId="10" fillId="0" borderId="2" xfId="0" applyNumberFormat="1" applyFont="1" applyFill="1" applyBorder="1"/>
    <x:xf numFmtId="202" fontId="10" fillId="0" borderId="2" xfId="0" applyNumberFormat="1" applyFont="1" applyFill="1" applyBorder="1"/>
    <x:xf numFmtId="209" fontId="1" fillId="0" borderId="2" xfId="0" applyNumberFormat="1" applyFont="1" applyFill="1" applyBorder="1"/>
    <x:xf numFmtId="0" fontId="1" fillId="0" borderId="2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/>
    </x:xf>
    <x:xf numFmtId="200" fontId="5" fillId="0" borderId="2" xfId="0" applyNumberFormat="1" applyFont="1" applyFill="1" applyBorder="1" applyAlignment="1">
      <x:alignment vertical="center"/>
    </x:xf>
    <x:xf numFmtId="201" fontId="5" fillId="0" borderId="2" xfId="0" applyNumberFormat="1" applyFont="1" applyFill="1" applyBorder="1" applyAlignment="1">
      <x:alignment vertical="center"/>
    </x:xf>
    <x:xf numFmtId="202" fontId="5" fillId="0" borderId="2" xfId="0" applyNumberFormat="1" applyFont="1" applyFill="1" applyBorder="1" applyAlignment="1">
      <x:alignment vertical="center"/>
    </x:xf>
    <x:xf numFmtId="203" fontId="5" fillId="0" borderId="2" xfId="0" applyNumberFormat="1" applyFont="1" applyFill="1" applyBorder="1" applyAlignment="1">
      <x:alignment vertical="center"/>
    </x:xf>
    <x:xf numFmtId="204" fontId="1" fillId="0" borderId="0" xfId="0" applyNumberFormat="1" applyFont="1" applyFill="1" applyBorder="1" applyAlignment="1">
      <x:alignment vertical="center"/>
    </x:xf>
    <x:xf numFmtId="200" fontId="1" fillId="0" borderId="0" xfId="0" applyNumberFormat="1" applyFont="1" applyFill="1" applyBorder="1" applyAlignment="1">
      <x:alignment vertical="center"/>
    </x:xf>
    <x:xf numFmtId="202" fontId="1" fillId="0" borderId="0" xfId="0" applyNumberFormat="1" applyFont="1" applyFill="1" applyBorder="1" applyAlignment="1">
      <x:alignment vertical="center"/>
    </x:xf>
    <x:xf numFmtId="0" fontId="6" fillId="6" borderId="0" xfId="0" applyNumberFormat="1" applyFont="1" applyFill="1" applyBorder="1" applyAlignment="1">
      <x:alignment vertical="center"/>
    </x:xf>
    <x:xf numFmtId="205" fontId="8" fillId="0" borderId="2" xfId="0" applyNumberFormat="1" applyFont="1" applyFill="1" applyBorder="1" applyAlignment="1">
      <x:alignment vertical="center"/>
    </x:xf>
    <x:xf numFmtId="206" fontId="8" fillId="0" borderId="2" xfId="0" applyNumberFormat="1" applyFont="1" applyFill="1" applyBorder="1" applyAlignment="1">
      <x:alignment vertical="center"/>
    </x:xf>
    <x:xf numFmtId="202" fontId="8" fillId="0" borderId="2" xfId="0" applyNumberFormat="1" applyFont="1" applyFill="1" applyBorder="1" applyAlignment="1">
      <x:alignment vertical="center"/>
    </x:xf>
    <x:xf numFmtId="207" fontId="8" fillId="0" borderId="2" xfId="0" applyNumberFormat="1" applyFont="1" applyFill="1" applyBorder="1" applyAlignment="1">
      <x:alignment vertical="center"/>
    </x:xf>
    <x:xf numFmtId="201" fontId="8" fillId="0" borderId="2" xfId="0" applyNumberFormat="1" applyFont="1" applyFill="1" applyBorder="1" applyAlignment="1">
      <x:alignment vertical="center"/>
    </x:xf>
    <x:xf numFmtId="0" fontId="1" fillId="0" borderId="2" xfId="0" applyNumberFormat="1" applyFont="1" applyFill="1" applyBorder="1" applyAlignment="1">
      <x:alignment vertical="center" wrapText="1"/>
    </x:xf>
    <x:xf numFmtId="0" fontId="4" fillId="7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208" fontId="1" fillId="0" borderId="2" xfId="0" applyNumberFormat="1" applyFont="1" applyFill="1" applyBorder="1" applyAlignment="1">
      <x:alignment vertical="center"/>
    </x:xf>
    <x:xf numFmtId="0" fontId="9" fillId="0" borderId="2" xfId="0" applyNumberFormat="1" applyFont="1" applyFill="1" applyBorder="1" applyAlignment="1">
      <x:alignment vertical="center"/>
    </x:xf>
    <x:xf numFmtId="202" fontId="9" fillId="0" borderId="2" xfId="0" applyNumberFormat="1" applyFont="1" applyFill="1" applyBorder="1" applyAlignment="1">
      <x:alignment vertical="center"/>
    </x:xf>
    <x:xf numFmtId="204" fontId="1" fillId="0" borderId="2" xfId="0" applyNumberFormat="1" applyFont="1" applyFill="1" applyBorder="1" applyAlignment="1">
      <x:alignment vertical="center"/>
    </x:xf>
    <x:xf numFmtId="202" fontId="1" fillId="0" borderId="2" xfId="0" applyNumberFormat="1" applyFont="1" applyFill="1" applyBorder="1" applyAlignment="1">
      <x:alignment vertical="center"/>
    </x:xf>
    <x:xf numFmtId="0" fontId="4" fillId="0" borderId="2" xfId="0" applyNumberFormat="1" applyFont="1" applyFill="1" applyBorder="1" applyAlignment="1">
      <x:alignment vertical="center"/>
    </x:xf>
    <x:xf numFmtId="204" fontId="4" fillId="0" borderId="2" xfId="0" applyNumberFormat="1" applyFont="1" applyFill="1" applyBorder="1" applyAlignment="1">
      <x:alignment vertical="center"/>
    </x:xf>
    <x:xf numFmtId="202" fontId="4" fillId="0" borderId="2" xfId="0" applyNumberFormat="1" applyFont="1" applyFill="1" applyBorder="1" applyAlignment="1">
      <x:alignment vertical="center"/>
    </x:xf>
    <x:xf numFmtId="208" fontId="4" fillId="0" borderId="2" xfId="0" applyNumberFormat="1" applyFont="1" applyFill="1" applyBorder="1" applyAlignment="1">
      <x:alignment vertical="center"/>
    </x:xf>
    <x:xf numFmtId="204" fontId="10" fillId="0" borderId="2" xfId="0" applyNumberFormat="1" applyFont="1" applyFill="1" applyBorder="1" applyAlignment="1">
      <x:alignment vertical="center"/>
    </x:xf>
    <x:xf numFmtId="202" fontId="10" fillId="0" borderId="2" xfId="0" applyNumberFormat="1" applyFont="1" applyFill="1" applyBorder="1" applyAlignment="1">
      <x:alignment vertical="center"/>
    </x:xf>
    <x:xf numFmtId="200" fontId="1" fillId="0" borderId="2" xfId="0" applyNumberFormat="1" applyFont="1" applyFill="1" applyBorder="1" applyAlignment="1">
      <x:alignment vertical="center"/>
    </x:xf>
    <x:xf numFmtId="201" fontId="1" fillId="0" borderId="2" xfId="0" applyNumberFormat="1" applyFont="1" applyFill="1" applyBorder="1" applyAlignment="1">
      <x:alignment vertical="center"/>
    </x:xf>
    <x:xf numFmtId="209" fontId="1" fillId="0" borderId="2" xfId="0" applyNumberFormat="1" applyFont="1" applyFill="1" applyBorder="1" applyAlignment="1">
      <x:alignment vertical="center"/>
    </x:xf>
  </x:cellXfs>
  <x:cellStyles count="1">
    <x:cellStyle name="Normal" xfId="0"/>
  </x:cellStyles>
  <x:dxfs count="2">
    <x:dxf>
      <x:font>
        <x:b/>
        <x:color rgb="FFB42318"/>
      </x:font>
      <x:fill>
        <x:patternFill patternType="solid">
          <x:bgColor rgb="FFFDE7E7"/>
        </x:patternFill>
      </x:fill>
    </x:dxf>
    <x:dxf>
      <x:font>
        <x:color rgb="FF16803A"/>
      </x:font>
      <x:fill>
        <x:patternFill patternType="solid">
          <x:bgColor rgb="FFE8F5E9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f1e56e9a8dc4579" /><Relationship Type="http://schemas.openxmlformats.org/officeDocument/2006/relationships/theme" Target="/xl/theme/theme1.xml" Id="R43fd3f3237ef4bff" /><Relationship Type="http://schemas.openxmlformats.org/officeDocument/2006/relationships/sharedStrings" Target="/xl/sharedStrings.xml" Id="R66c98ccb3e8d4caf" /><Relationship Type="http://schemas.openxmlformats.org/officeDocument/2006/relationships/worksheet" Target="/xl/worksheets/sheet1.xml" Id="Rf6239e03b8e64493" /><Relationship Type="http://schemas.openxmlformats.org/officeDocument/2006/relationships/worksheet" Target="/xl/worksheets/sheet2.xml" Id="R35efa76117074289" /><Relationship Type="http://schemas.openxmlformats.org/officeDocument/2006/relationships/worksheet" Target="/xl/worksheets/sheet3.xml" Id="R01187c06b5984d57" /><Relationship Type="http://schemas.openxmlformats.org/officeDocument/2006/relationships/worksheet" Target="/xl/worksheets/sheet4.xml" Id="R1e2245274131408d" /><Relationship Type="http://schemas.openxmlformats.org/officeDocument/2006/relationships/worksheet" Target="/xl/worksheets/sheet5.xml" Id="R4a3d999737854c3a" /><Relationship Type="http://schemas.openxmlformats.org/officeDocument/2006/relationships/worksheet" Target="/xl/worksheets/sheet6.xml" Id="Ra43dd7e820ad4b41" /><Relationship Type="http://schemas.openxmlformats.org/officeDocument/2006/relationships/worksheet" Target="/xl/worksheets/sheet7.xml" Id="R67171460e7684757" /><Relationship Type="http://schemas.openxmlformats.org/officeDocument/2006/relationships/worksheet" Target="/xl/worksheets/sheet8.xml" Id="R4cdcb6409e59425c" /><Relationship Type="http://schemas.openxmlformats.org/officeDocument/2006/relationships/worksheet" Target="/xl/worksheets/sheet9.xml" Id="R3de9476025e94834" /></Relationships>
</file>

<file path=xl/drawings/_rels/drawing1.xml.rels>&#65279;<?xml version="1.0" encoding="utf-8"?><Relationships xmlns="http://schemas.openxmlformats.org/package/2006/relationships"><Relationship Type="http://schemas.openxmlformats.org/officeDocument/2006/relationships/chart" Target="/xl/drawings/charts/chart1.xml" Id="R5c5a271336e842d0" /><Relationship Type="http://schemas.openxmlformats.org/officeDocument/2006/relationships/chart" Target="/xl/drawings/charts/chart2.xml" Id="R3b7d0dd04e384a52" /></Relationships>
</file>

<file path=xl/drawings/charts/chart1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收入与归母净利润（十亿元）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收入</c:v>
          </c:tx>
          <c:cat>
            <c:strRef>
              <c:f>'Cover'!$A$17:$A$19</c:f>
              <c:strCache>
                <c:ptCount val="0"/>
              </c:strCache>
            </c:strRef>
          </c:cat>
          <c:val>
            <c:numRef>
              <c:f>'Cover'!$B$17:$B$19</c:f>
              <c:numCache>
                <c:formatCode>#,##0.0</c:formatCode>
                <c:ptCount val="0"/>
              </c:numCache>
            </c:numRef>
          </c:val>
        </c:ser>
        <c:ser>
          <c:idx val="1"/>
          <c:order val="1"/>
          <c:tx>
            <c:v>归母净利润</c:v>
          </c:tx>
          <c:cat>
            <c:strRef>
              <c:f>'Cover'!$A$17:$A$19</c:f>
              <c:strCache>
                <c:ptCount val="0"/>
              </c:strCache>
            </c:strRef>
          </c:cat>
          <c:val>
            <c:numRef>
              <c:f>'Cover'!$C$17:$C$19</c:f>
              <c:numCache>
                <c:formatCode>#,##0.0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charts/chart2.xml><?xml version="1.0" encoding="utf-8"?>
<c:chartSpace xmlns:c="http://schemas.openxmlformats.org/drawingml/2006/chart">
  <c:lang val="en-US"/>
  <c:roundedCorners val="0"/>
  <c:chart>
    <c:title>
      <c:tx>
        <c:rich>
          <a:bodyPr xmlns:a="http://schemas.openxmlformats.org/drawingml/2006/main"/>
          <a:lstStyle xmlns:a="http://schemas.openxmlformats.org/drawingml/2006/main"/>
          <a:p xmlns:a="http://schemas.openxmlformats.org/drawingml/2006/main">
            <a:r>
              <a:t>2027 情景价值与当前价格（元/股）</a:t>
            </a:r>
          </a:p>
        </c:rich>
      </c:tx>
      <c:overlay val="0"/>
    </c:title>
    <c:plotArea>
      <c:barChart>
        <c:barDir val="col"/>
        <c:varyColors val="0"/>
        <c:ser>
          <c:idx val="0"/>
          <c:order val="0"/>
          <c:tx>
            <c:v>Bear</c:v>
          </c:tx>
          <c:cat>
            <c:strRef>
              <c:f>'Cover'!$A$23:$A$24</c:f>
              <c:strCache>
                <c:ptCount val="0"/>
              </c:strCache>
            </c:strRef>
          </c:cat>
          <c:val>
            <c:numRef>
              <c:f>'Cover'!$B$23:$B$24</c:f>
              <c:numCache>
                <c:formatCode>0.00</c:formatCode>
                <c:ptCount val="0"/>
              </c:numCache>
            </c:numRef>
          </c:val>
        </c:ser>
        <c:ser>
          <c:idx val="1"/>
          <c:order val="1"/>
          <c:tx>
            <c:v>Base</c:v>
          </c:tx>
          <c:cat>
            <c:strRef>
              <c:f>'Cover'!$A$23:$A$24</c:f>
              <c:strCache>
                <c:ptCount val="0"/>
              </c:strCache>
            </c:strRef>
          </c:cat>
          <c:val>
            <c:numRef>
              <c:f>'Cover'!$C$23:$C$24</c:f>
              <c:numCache>
                <c:formatCode>0.00</c:formatCode>
                <c:ptCount val="0"/>
              </c:numCache>
            </c:numRef>
          </c:val>
        </c:ser>
        <c:ser>
          <c:idx val="2"/>
          <c:order val="2"/>
          <c:tx>
            <c:v>Bull</c:v>
          </c:tx>
          <c:cat>
            <c:strRef>
              <c:f>'Cover'!$A$23:$A$24</c:f>
              <c:strCache>
                <c:ptCount val="0"/>
              </c:strCache>
            </c:strRef>
          </c:cat>
          <c:val>
            <c:numRef>
              <c:f>'Cover'!$D$23:$D$24</c:f>
              <c:numCache>
                <c:formatCode>0.00</c:formatCode>
                <c:ptCount val="0"/>
              </c:numCache>
            </c:numRef>
          </c:val>
        </c:ser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tickLblPos val="nextTo"/>
        <c:crossAx val="48672768"/>
      </c:catAx>
      <c:valAx>
        <c:axId val="48672768"/>
        <c:scaling>
          <c:orientation val="minMax"/>
        </c:scaling>
        <c:delete val="0"/>
        <c:axPos val="l"/>
        <c:majorGridlines>
          <c:spPr>
            <a:ln xmlns:a="http://schemas.openxmlformats.org/drawingml/2006/main" w="9525">
              <a:solidFill>
                <a:srgbClr val="CCCCCC"/>
              </a:solidFill>
              <a:prstDash val="dash"/>
            </a:ln>
          </c:spPr>
        </c:majorGridlines>
        <c:numFmt formatCode="General"/>
        <c:majorTickMark val="none"/>
        <c:minorTickMark val="none"/>
        <c:crossAx val="48650112"/>
        <c:crossBetween val="between"/>
      </c:valAx>
    </c:plotArea>
    <c:legend>
      <c:legendPos val="b"/>
      <c:overlay val="0"/>
    </c:legend>
    <c:plotVisOnly val="1"/>
  </c:chart>
  <c:spPr>
    <a:ln xmlns:a="http://schemas.openxmlformats.org/drawingml/2006/main" w="9525">
      <a:solidFill>
        <a:srgbClr val="D9D9D9"/>
      </a:solidFill>
      <a:prstDash val="solid"/>
    </a:ln>
  </c:spPr>
</c:chartSpace>
</file>

<file path=xl/drawings/drawing1.xml><?xml version="1.0" encoding="utf-8"?>
<xdr:wsDr xmlns:xdr="http://schemas.openxmlformats.org/drawingml/2006/spreadsheetDrawing">
  <xdr:twoCellAnchor>
    <xdr:from>
      <xdr:col>3</xdr:col>
      <xdr:colOff>0</xdr:colOff>
      <xdr:row>7</xdr:row>
      <xdr:rowOff>0</xdr:rowOff>
    </xdr:from>
    <xdr:to>
      <xdr:col>8</xdr:col>
      <xdr:colOff>0</xdr:colOff>
      <xdr:row>20</xdr:row>
      <xdr:rowOff>0</xdr:rowOff>
    </xdr:to>
    <xdr:graphicFrame macro="">
      <xdr:nvGraphicFramePr>
        <xdr:cNvPr id="1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5c5a271336e842d0"/>
        </a:graphicData>
      </a:graphic>
    </xdr:graphicFrame>
    <xdr:clientData/>
  </xdr:twoCellAnchor>
  <xdr:twoCellAnchor>
    <xdr:from>
      <xdr:col>5</xdr:col>
      <xdr:colOff>0</xdr:colOff>
      <xdr:row>21</xdr:row>
      <xdr:rowOff>0</xdr:rowOff>
    </xdr:from>
    <xdr:to>
      <xdr:col>10</xdr:col>
      <xdr:colOff>0</xdr:colOff>
      <xdr:row>35</xdr:row>
      <xdr:rowOff>0</xdr:rowOff>
    </xdr:to>
    <xdr:graphicFrame macro="">
      <xdr:nvGraphicFramePr>
        <xdr:cNvPr id="2" name="Chart"/>
        <xdr:cNvGraphicFramePr/>
      </xdr:nvGraphicFramePr>
      <xdr:xfrm>
        <a:off xmlns:a="http://schemas.openxmlformats.org/drawingml/2006/main" x="0" y="0"/>
        <a:ext xmlns:a="http://schemas.openxmlformats.org/drawingml/2006/main" cx="0" cy="0"/>
      </xdr:xfrm>
      <a:graphic xmlns:a="http://schemas.openxmlformats.org/drawingml/2006/main">
        <a:graphicData uri="http://schemas.openxmlformats.org/drawingml/2006/chart">
          <c:chart xmlns:r="http://schemas.openxmlformats.org/officeDocument/2006/relationships" xmlns:c="http://schemas.openxmlformats.org/drawingml/2006/chart" r:id="R3b7d0dd04e384a5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1.xml" Id="Rfb4eef35449a4392" /></Relationships>
</file>

<file path=xl/worksheets/sheet1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4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15" hidden="0" customWidth="1"/>
    <x:col min="9" max="9" width="2" hidden="0" customWidth="1"/>
    <x:col min="10" max="10" width="2" hidden="0" customWidth="1"/>
    <x:col min="11" max="11" width="2" hidden="0" customWidth="1"/>
    <x:col min="12" max="12" width="2" hidden="0" customWidth="1"/>
  </x:cols>
  <x:sheetData>
    <x:row r="1">
      <x:c r="A1" s="4" t="str">
        <x:v>宁德时代财务与估值模型</x:v>
      </x:c>
      <x:c r="B1" s="4"/>
      <x:c r="C1" s="4"/>
      <x:c r="D1" s="4"/>
      <x:c r="E1" s="4"/>
      <x:c r="F1" s="4"/>
      <x:c r="G1" s="4"/>
      <x:c r="H1" s="4"/>
      <x:c r="I1" s="4"/>
      <x:c r="J1" s="4"/>
      <x:c r="K1" s="4"/>
      <x:c r="L1" s="4"/>
    </x:row>
    <x:row r="2">
      <x:c r="A2" s="4"/>
      <x:c r="B2" s="4"/>
      <x:c r="C2" s="4"/>
      <x:c r="D2" s="4"/>
      <x:c r="E2" s="4"/>
      <x:c r="F2" s="4"/>
      <x:c r="G2" s="4"/>
      <x:c r="H2" s="4"/>
      <x:c r="I2" s="4"/>
      <x:c r="J2" s="4"/>
      <x:c r="K2" s="4"/>
      <x:c r="L2" s="4"/>
    </x:row>
    <x:row r="3">
      <x:c r="A3" s="6" t="str">
        <x:v>300750.SZ / 03750.HK | 资料截止 2026-09-15 | 金额主要为人民币十亿元</x:v>
      </x:c>
      <x:c r="B3" s="6"/>
      <x:c r="C3" s="6"/>
      <x:c r="D3" s="6"/>
      <x:c r="E3" s="6"/>
      <x:c r="F3" s="6"/>
      <x:c r="G3" s="6"/>
      <x:c r="H3" s="6"/>
      <x:c r="I3" s="6"/>
      <x:c r="J3" s="6"/>
      <x:c r="K3" s="6"/>
      <x:c r="L3" s="6"/>
    </x:row>
    <x:row r="4">
      <x:c r="A4" s="57"/>
      <x:c r="B4" s="57"/>
      <x:c r="C4" s="57"/>
      <x:c r="D4" s="57"/>
      <x:c r="E4" s="57"/>
      <x:c r="F4" s="57"/>
      <x:c r="G4" s="57"/>
      <x:c r="H4" s="57"/>
      <x:c r="I4" s="57"/>
      <x:c r="J4" s="57"/>
      <x:c r="K4" s="57"/>
      <x:c r="L4" s="57"/>
    </x:row>
    <x:row r="5">
      <x:c r="A5" s="9" t="str">
        <x:v>当前判断：中性偏积极</x:v>
      </x:c>
      <x:c r="B5" s="9"/>
      <x:c r="C5" s="9"/>
      <x:c r="D5" s="9"/>
      <x:c r="E5" s="9"/>
      <x:c r="F5" s="9"/>
      <x:c r="G5" s="57"/>
      <x:c r="H5" s="57"/>
      <x:c r="I5" s="57"/>
      <x:c r="J5" s="57"/>
      <x:c r="K5" s="57"/>
      <x:c r="L5" s="57"/>
    </x:row>
    <x:row r="6">
      <x:c r="A6" s="9"/>
      <x:c r="B6" s="9"/>
      <x:c r="C6" s="9"/>
      <x:c r="D6" s="9"/>
      <x:c r="E6" s="9"/>
      <x:c r="F6" s="9"/>
      <x:c r="G6" s="57"/>
      <x:c r="H6" s="57"/>
      <x:c r="I6" s="57"/>
      <x:c r="J6" s="57"/>
      <x:c r="K6" s="57"/>
      <x:c r="L6" s="57"/>
    </x:row>
    <x:row r="7">
      <x:c r="A7" s="57"/>
      <x:c r="B7" s="57"/>
      <x:c r="C7" s="57"/>
      <x:c r="D7" s="57"/>
      <x:c r="E7" s="57"/>
      <x:c r="F7" s="57"/>
      <x:c r="G7" s="57"/>
      <x:c r="H7" s="57"/>
      <x:c r="I7" s="57"/>
      <x:c r="J7" s="57"/>
      <x:c r="K7" s="57"/>
      <x:c r="L7" s="57"/>
    </x:row>
    <x:row r="8">
      <x:c r="A8" s="15" t="str">
        <x:v>关键指标</x:v>
      </x:c>
      <x:c r="B8" s="15" t="str">
        <x:v>数值</x:v>
      </x:c>
      <x:c r="C8" s="57"/>
      <x:c r="D8" s="57"/>
      <x:c r="E8" s="57"/>
      <x:c r="F8" s="57"/>
      <x:c r="G8" s="57"/>
      <x:c r="H8" s="57"/>
      <x:c r="I8" s="57"/>
      <x:c r="J8" s="57"/>
      <x:c r="K8" s="57"/>
      <x:c r="L8" s="57"/>
    </x:row>
    <x:row r="9">
      <x:c r="A9" s="58" t="str">
        <x:v>A 股价格（元）</x:v>
      </x:c>
      <x:c r="B9" s="59" t="n">
        <x:f>'Assumptions'!B8</x:f>
        <x:v>337.11</x:v>
      </x:c>
      <x:c r="C9" s="57"/>
      <x:c r="D9" s="57"/>
      <x:c r="E9" s="57"/>
      <x:c r="F9" s="57"/>
      <x:c r="G9" s="57"/>
      <x:c r="H9" s="57"/>
      <x:c r="I9" s="57"/>
      <x:c r="J9" s="57"/>
      <x:c r="K9" s="57"/>
      <x:c r="L9" s="57"/>
    </x:row>
    <x:row r="10">
      <x:c r="A10" s="58" t="str">
        <x:v>滚动归母 P/E</x:v>
      </x:c>
      <x:c r="B10" s="60" t="n">
        <x:f>'Valuation'!B9</x:f>
        <x:v>18.237427006651107</x:v>
      </x:c>
      <x:c r="C10" s="57"/>
      <x:c r="D10" s="57"/>
      <x:c r="E10" s="57"/>
      <x:c r="F10" s="57"/>
      <x:c r="G10" s="57"/>
      <x:c r="H10" s="57"/>
      <x:c r="I10" s="57"/>
      <x:c r="J10" s="57"/>
      <x:c r="K10" s="57"/>
      <x:c r="L10" s="57"/>
    </x:row>
    <x:row r="11">
      <x:c r="A11" s="58" t="str">
        <x:v>基准价值（元）</x:v>
      </x:c>
      <x:c r="B11" s="59" t="n">
        <x:f>'Valuation'!C20</x:f>
        <x:v>493.2095219640951</x:v>
      </x:c>
      <x:c r="C11" s="57"/>
      <x:c r="D11" s="57"/>
      <x:c r="E11" s="57"/>
      <x:c r="F11" s="57"/>
      <x:c r="G11" s="57"/>
      <x:c r="H11" s="57"/>
      <x:c r="I11" s="57"/>
      <x:c r="J11" s="57"/>
      <x:c r="K11" s="57"/>
      <x:c r="L11" s="57"/>
    </x:row>
    <x:row r="12">
      <x:c r="A12" s="58" t="str">
        <x:v>基准空间</x:v>
      </x:c>
      <x:c r="B12" s="61" t="n">
        <x:f>'Valuation'!C21</x:f>
        <x:v>0.4630521846403104</x:v>
      </x:c>
      <x:c r="C12" s="57"/>
      <x:c r="D12" s="57"/>
      <x:c r="E12" s="57"/>
      <x:c r="F12" s="57"/>
      <x:c r="G12" s="57"/>
      <x:c r="H12" s="57"/>
      <x:c r="I12" s="57"/>
      <x:c r="J12" s="57"/>
      <x:c r="K12" s="57"/>
      <x:c r="L12" s="57"/>
    </x:row>
    <x:row r="13">
      <x:c r="A13" s="58" t="str">
        <x:v>研究口径净现金（十亿元）</x:v>
      </x:c>
      <x:c r="B13" s="62" t="n">
        <x:f>'Balance &amp; Cash'!C22</x:f>
        <x:v>291.182555</x:v>
      </x:c>
      <x:c r="C13" s="57"/>
      <x:c r="D13" s="57"/>
      <x:c r="E13" s="57"/>
      <x:c r="F13" s="57"/>
      <x:c r="G13" s="57"/>
      <x:c r="H13" s="57"/>
      <x:c r="I13" s="57"/>
      <x:c r="J13" s="57"/>
      <x:c r="K13" s="57"/>
      <x:c r="L13" s="57"/>
    </x:row>
    <x:row r="14">
      <x:c r="A14" s="57"/>
      <x:c r="B14" s="57"/>
      <x:c r="C14" s="57"/>
      <x:c r="D14" s="57"/>
      <x:c r="E14" s="57"/>
      <x:c r="F14" s="57"/>
      <x:c r="G14" s="57"/>
      <x:c r="H14" s="57"/>
      <x:c r="I14" s="57"/>
      <x:c r="J14" s="57"/>
      <x:c r="K14" s="57"/>
      <x:c r="L14" s="57"/>
    </x:row>
    <x:row r="15">
      <x:c r="A15" s="57"/>
      <x:c r="B15" s="57"/>
      <x:c r="C15" s="57"/>
      <x:c r="D15" s="57"/>
      <x:c r="E15" s="57"/>
      <x:c r="F15" s="57"/>
      <x:c r="G15" s="57"/>
      <x:c r="H15" s="57"/>
      <x:c r="I15" s="57"/>
      <x:c r="J15" s="57"/>
      <x:c r="K15" s="57"/>
      <x:c r="L15" s="57"/>
    </x:row>
    <x:row r="16">
      <x:c r="A16" s="57" t="str">
        <x:v>期间</x:v>
      </x:c>
      <x:c r="B16" s="57" t="str">
        <x:v>收入</x:v>
      </x:c>
      <x:c r="C16" s="57" t="str">
        <x:v>归母净利润</x:v>
      </x:c>
      <x:c r="D16" s="57"/>
      <x:c r="E16" s="57"/>
      <x:c r="F16" s="57"/>
      <x:c r="G16" s="57"/>
      <x:c r="H16" s="57"/>
      <x:c r="I16" s="57"/>
      <x:c r="J16" s="57"/>
      <x:c r="K16" s="57"/>
      <x:c r="L16" s="57"/>
    </x:row>
    <x:row r="17">
      <x:c r="A17" s="57" t="n">
        <x:v>2023</x:v>
      </x:c>
      <x:c r="B17" s="63" t="n">
        <x:f>'Historical'!C8</x:f>
        <x:v>400.917045</x:v>
      </x:c>
      <x:c r="C17" s="63" t="n">
        <x:f>'Historical'!C13</x:f>
        <x:v>44.121248</x:v>
      </x:c>
      <x:c r="D17" s="57"/>
      <x:c r="E17" s="57"/>
      <x:c r="F17" s="57"/>
      <x:c r="G17" s="57"/>
      <x:c r="H17" s="57"/>
      <x:c r="I17" s="57"/>
      <x:c r="J17" s="57"/>
      <x:c r="K17" s="57"/>
      <x:c r="L17" s="57"/>
    </x:row>
    <x:row r="18">
      <x:c r="A18" s="57" t="n">
        <x:v>2024</x:v>
      </x:c>
      <x:c r="B18" s="63" t="n">
        <x:f>'Historical'!D8</x:f>
        <x:v>362.012554</x:v>
      </x:c>
      <x:c r="C18" s="63" t="n">
        <x:f>'Historical'!D13</x:f>
        <x:v>50.744682</x:v>
      </x:c>
      <x:c r="D18" s="57"/>
      <x:c r="E18" s="57"/>
      <x:c r="F18" s="57"/>
      <x:c r="G18" s="57"/>
      <x:c r="H18" s="57"/>
      <x:c r="I18" s="57"/>
      <x:c r="J18" s="57"/>
      <x:c r="K18" s="57"/>
      <x:c r="L18" s="57"/>
    </x:row>
    <x:row r="19">
      <x:c r="A19" s="57" t="n">
        <x:v>2025</x:v>
      </x:c>
      <x:c r="B19" s="63" t="n">
        <x:f>'Historical'!E8</x:f>
        <x:v>423.701834</x:v>
      </x:c>
      <x:c r="C19" s="63" t="n">
        <x:f>'Historical'!E13</x:f>
        <x:v>72.201282</x:v>
      </x:c>
      <x:c r="D19" s="57"/>
      <x:c r="E19" s="57"/>
      <x:c r="F19" s="57"/>
      <x:c r="G19" s="57"/>
      <x:c r="H19" s="57"/>
      <x:c r="I19" s="57"/>
      <x:c r="J19" s="57"/>
      <x:c r="K19" s="57"/>
      <x:c r="L19" s="57"/>
    </x:row>
    <x:row r="20">
      <x:c r="A20" s="57"/>
      <x:c r="B20" s="57"/>
      <x:c r="C20" s="57"/>
      <x:c r="D20" s="57"/>
      <x:c r="E20" s="57"/>
      <x:c r="F20" s="57"/>
      <x:c r="G20" s="57"/>
      <x:c r="H20" s="57"/>
      <x:c r="I20" s="57"/>
      <x:c r="J20" s="57"/>
      <x:c r="K20" s="57"/>
      <x:c r="L20" s="57"/>
    </x:row>
    <x:row r="21">
      <x:c r="A21" s="57"/>
      <x:c r="B21" s="57"/>
      <x:c r="C21" s="57"/>
      <x:c r="D21" s="57"/>
      <x:c r="E21" s="57"/>
      <x:c r="F21" s="57"/>
      <x:c r="G21" s="57"/>
      <x:c r="H21" s="57"/>
      <x:c r="I21" s="57"/>
      <x:c r="J21" s="57"/>
      <x:c r="K21" s="57"/>
      <x:c r="L21" s="57"/>
    </x:row>
    <x:row r="22">
      <x:c r="A22" s="57" t="str">
        <x:v>情景</x:v>
      </x:c>
      <x:c r="B22" s="57" t="str">
        <x:v>Bear</x:v>
      </x:c>
      <x:c r="C22" s="57" t="str">
        <x:v>Base</x:v>
      </x:c>
      <x:c r="D22" s="57" t="str">
        <x:v>Bull</x:v>
      </x:c>
      <x:c r="E22" s="57"/>
      <x:c r="F22" s="57"/>
      <x:c r="G22" s="57"/>
      <x:c r="H22" s="57"/>
      <x:c r="I22" s="57"/>
      <x:c r="J22" s="57"/>
      <x:c r="K22" s="57"/>
      <x:c r="L22" s="57"/>
    </x:row>
    <x:row r="23">
      <x:c r="A23" s="57" t="str">
        <x:v>每股价值（元）</x:v>
      </x:c>
      <x:c r="B23" s="64" t="n">
        <x:f>'Valuation'!B20</x:f>
        <x:v>254.43348355290618</x:v>
      </x:c>
      <x:c r="C23" s="64" t="n">
        <x:f>'Valuation'!C20</x:f>
        <x:v>493.2095219640951</x:v>
      </x:c>
      <x:c r="D23" s="64" t="n">
        <x:f>'Valuation'!D20</x:f>
        <x:v>792.9843570732243</x:v>
      </x:c>
      <x:c r="E23" s="57"/>
      <x:c r="F23" s="57"/>
      <x:c r="G23" s="57"/>
      <x:c r="H23" s="57"/>
      <x:c r="I23" s="57"/>
      <x:c r="J23" s="57"/>
      <x:c r="K23" s="57"/>
      <x:c r="L23" s="57"/>
    </x:row>
    <x:row r="24">
      <x:c r="A24" s="57" t="str">
        <x:v>当前价格（元）</x:v>
      </x:c>
      <x:c r="B24" s="64" t="n">
        <x:f>'Assumptions'!B8</x:f>
        <x:v>337.11</x:v>
      </x:c>
      <x:c r="C24" s="64" t="n">
        <x:f>'Assumptions'!B8</x:f>
        <x:v>337.11</x:v>
      </x:c>
      <x:c r="D24" s="64" t="n">
        <x:f>'Assumptions'!B8</x:f>
        <x:v>337.11</x:v>
      </x:c>
      <x:c r="E24" s="57"/>
      <x:c r="F24" s="57"/>
      <x:c r="G24" s="57"/>
      <x:c r="H24" s="57"/>
      <x:c r="I24" s="57"/>
      <x:c r="J24" s="57"/>
      <x:c r="K24" s="57"/>
      <x:c r="L24" s="57"/>
    </x:row>
    <x:row r="25">
      <x:c r="A25" s="57" t="str">
        <x:v>相对现价</x:v>
      </x:c>
      <x:c r="B25" s="65" t="n">
        <x:f>'Valuation'!B21</x:f>
        <x:v>-0.2452508571299986</x:v>
      </x:c>
      <x:c r="C25" s="65" t="n">
        <x:f>'Valuation'!C21</x:f>
        <x:v>0.4630521846403104</x:v>
      </x:c>
      <x:c r="D25" s="65" t="n">
        <x:f>'Valuation'!D21</x:f>
        <x:v>1.3523014952781711</x:v>
      </x:c>
      <x:c r="E25" s="57"/>
      <x:c r="F25" s="57"/>
      <x:c r="G25" s="57"/>
      <x:c r="H25" s="57"/>
      <x:c r="I25" s="57"/>
      <x:c r="J25" s="57"/>
      <x:c r="K25" s="57"/>
      <x:c r="L25" s="57"/>
    </x:row>
    <x:row r="26">
      <x:c r="A26" s="57"/>
      <x:c r="B26" s="57"/>
      <x:c r="C26" s="57"/>
      <x:c r="D26" s="57"/>
      <x:c r="E26" s="57"/>
      <x:c r="F26" s="57"/>
      <x:c r="G26" s="57"/>
      <x:c r="H26" s="57"/>
      <x:c r="I26" s="57"/>
      <x:c r="J26" s="57"/>
      <x:c r="K26" s="57"/>
      <x:c r="L26" s="57"/>
    </x:row>
    <x:row r="27">
      <x:c r="A27" s="57"/>
      <x:c r="B27" s="57"/>
      <x:c r="C27" s="57"/>
      <x:c r="D27" s="57"/>
      <x:c r="E27" s="57"/>
      <x:c r="F27" s="57"/>
      <x:c r="G27" s="57"/>
      <x:c r="H27" s="57"/>
      <x:c r="I27" s="57"/>
      <x:c r="J27" s="57"/>
      <x:c r="K27" s="57"/>
      <x:c r="L27" s="57"/>
    </x:row>
    <x:row r="28">
      <x:c r="A28" s="57"/>
      <x:c r="B28" s="57"/>
      <x:c r="C28" s="57"/>
      <x:c r="D28" s="57"/>
      <x:c r="E28" s="57"/>
      <x:c r="F28" s="57"/>
      <x:c r="G28" s="57"/>
      <x:c r="H28" s="57"/>
      <x:c r="I28" s="57"/>
      <x:c r="J28" s="57"/>
      <x:c r="K28" s="57"/>
      <x:c r="L28" s="57"/>
    </x:row>
    <x:row r="29">
      <x:c r="A29" s="57"/>
      <x:c r="B29" s="57"/>
      <x:c r="C29" s="57"/>
      <x:c r="D29" s="57"/>
      <x:c r="E29" s="57"/>
      <x:c r="F29" s="57"/>
      <x:c r="G29" s="57"/>
      <x:c r="H29" s="57"/>
      <x:c r="I29" s="57"/>
      <x:c r="J29" s="57"/>
      <x:c r="K29" s="57"/>
      <x:c r="L29" s="57"/>
    </x:row>
    <x:row r="30">
      <x:c r="A30" s="57"/>
      <x:c r="B30" s="57"/>
      <x:c r="C30" s="57"/>
      <x:c r="D30" s="57"/>
      <x:c r="E30" s="57"/>
      <x:c r="F30" s="57"/>
      <x:c r="G30" s="57"/>
      <x:c r="H30" s="57"/>
      <x:c r="I30" s="57"/>
      <x:c r="J30" s="57"/>
      <x:c r="K30" s="57"/>
      <x:c r="L30" s="57"/>
    </x:row>
    <x:row r="31">
      <x:c r="A31" s="57"/>
      <x:c r="B31" s="57"/>
      <x:c r="C31" s="57"/>
      <x:c r="D31" s="57"/>
      <x:c r="E31" s="57"/>
      <x:c r="F31" s="57"/>
      <x:c r="G31" s="57"/>
      <x:c r="H31" s="57"/>
      <x:c r="I31" s="57"/>
      <x:c r="J31" s="57"/>
      <x:c r="K31" s="57"/>
      <x:c r="L31" s="57"/>
    </x:row>
    <x:row r="32">
      <x:c r="A32" s="57"/>
      <x:c r="B32" s="57"/>
      <x:c r="C32" s="57"/>
      <x:c r="D32" s="57"/>
      <x:c r="E32" s="57"/>
      <x:c r="F32" s="57"/>
      <x:c r="G32" s="57"/>
      <x:c r="H32" s="57"/>
      <x:c r="I32" s="57"/>
      <x:c r="J32" s="57"/>
      <x:c r="K32" s="57"/>
      <x:c r="L32" s="57"/>
    </x:row>
    <x:row r="33">
      <x:c r="A33" s="57"/>
      <x:c r="B33" s="57"/>
      <x:c r="C33" s="57"/>
      <x:c r="D33" s="57"/>
      <x:c r="E33" s="57"/>
      <x:c r="F33" s="57"/>
      <x:c r="G33" s="57"/>
      <x:c r="H33" s="57"/>
      <x:c r="I33" s="57"/>
      <x:c r="J33" s="57"/>
      <x:c r="K33" s="57"/>
      <x:c r="L33" s="57"/>
    </x:row>
    <x:row r="34">
      <x:c r="A34" s="57"/>
      <x:c r="B34" s="57"/>
      <x:c r="C34" s="57"/>
      <x:c r="D34" s="57"/>
      <x:c r="E34" s="57"/>
      <x:c r="F34" s="57"/>
      <x:c r="G34" s="57"/>
      <x:c r="H34" s="57"/>
      <x:c r="I34" s="57"/>
      <x:c r="J34" s="57"/>
      <x:c r="K34" s="57"/>
      <x:c r="L34" s="57"/>
    </x:row>
    <x:row r="35">
      <x:c r="A35" s="57"/>
      <x:c r="B35" s="57"/>
      <x:c r="C35" s="57"/>
      <x:c r="D35" s="57"/>
      <x:c r="E35" s="57"/>
      <x:c r="F35" s="57"/>
      <x:c r="G35" s="57"/>
      <x:c r="H35" s="57"/>
      <x:c r="I35" s="57"/>
      <x:c r="J35" s="57"/>
      <x:c r="K35" s="57"/>
      <x:c r="L35" s="57"/>
    </x:row>
    <x:row r="36">
      <x:c r="A36" s="57"/>
      <x:c r="B36" s="57"/>
      <x:c r="C36" s="57"/>
      <x:c r="D36" s="57"/>
      <x:c r="E36" s="57"/>
      <x:c r="F36" s="57"/>
      <x:c r="G36" s="57"/>
      <x:c r="H36" s="57"/>
      <x:c r="I36" s="57"/>
      <x:c r="J36" s="57"/>
      <x:c r="K36" s="57"/>
      <x:c r="L36" s="57"/>
    </x:row>
    <x:row r="37">
      <x:c r="A37" s="57"/>
      <x:c r="B37" s="57"/>
      <x:c r="C37" s="57"/>
      <x:c r="D37" s="57"/>
      <x:c r="E37" s="57"/>
      <x:c r="F37" s="57"/>
      <x:c r="G37" s="57"/>
      <x:c r="H37" s="57"/>
      <x:c r="I37" s="57"/>
      <x:c r="J37" s="57"/>
      <x:c r="K37" s="57"/>
      <x:c r="L37" s="57"/>
    </x:row>
    <x:row r="38">
      <x:c r="A38" s="66" t="str">
        <x:v>主要结论</x:v>
      </x:c>
      <x:c r="B38" s="66"/>
      <x:c r="C38" s="66"/>
      <x:c r="D38" s="66"/>
      <x:c r="E38" s="66"/>
      <x:c r="F38" s="66"/>
      <x:c r="G38" s="66"/>
      <x:c r="H38" s="66"/>
      <x:c r="I38" s="57"/>
      <x:c r="J38" s="57"/>
      <x:c r="K38" s="57"/>
      <x:c r="L38" s="57"/>
    </x:row>
    <x:row r="39" ht="32" customHeight="1">
      <x:c r="A39" s="29" t="str">
        <x:v>全球动力电池份额继续提高，储能已成为第二条规模化增长曲线。</x:v>
      </x:c>
      <x:c r="B39" s="29"/>
      <x:c r="C39" s="29"/>
      <x:c r="D39" s="29"/>
      <x:c r="E39" s="29"/>
      <x:c r="F39" s="29"/>
      <x:c r="G39" s="29"/>
      <x:c r="H39" s="29"/>
      <x:c r="I39" s="57"/>
      <x:c r="J39" s="57"/>
      <x:c r="K39" s="57"/>
      <x:c r="L39" s="57"/>
    </x:row>
    <x:row r="40" ht="32" customHeight="1">
      <x:c r="A40" s="29" t="str">
        <x:v>2026H1 经营现金流绝对值强，但存货和应收增长由供应商信用部分抵消。</x:v>
      </x:c>
      <x:c r="B40" s="29"/>
      <x:c r="C40" s="29"/>
      <x:c r="D40" s="29"/>
      <x:c r="E40" s="29"/>
      <x:c r="F40" s="29"/>
      <x:c r="G40" s="29"/>
      <x:c r="H40" s="29"/>
      <x:c r="I40" s="57"/>
      <x:c r="J40" s="57"/>
      <x:c r="K40" s="57"/>
      <x:c r="L40" s="57"/>
    </x:row>
    <x:row r="41" ht="32" customHeight="1">
      <x:c r="A41" s="29" t="str">
        <x:v>H 股折算价较 A 股溢价约 39%，相同基本面下 A 股估值更有吸引力。</x:v>
      </x:c>
      <x:c r="B41" s="29"/>
      <x:c r="C41" s="29"/>
      <x:c r="D41" s="29"/>
      <x:c r="E41" s="29"/>
      <x:c r="F41" s="29"/>
      <x:c r="G41" s="29"/>
      <x:c r="H41" s="29"/>
      <x:c r="I41" s="57"/>
      <x:c r="J41" s="57"/>
      <x:c r="K41" s="57"/>
      <x:c r="L41" s="57"/>
    </x:row>
    <x:row r="42">
      <x:c r="A42" s="57"/>
      <x:c r="B42" s="57"/>
      <x:c r="C42" s="57"/>
      <x:c r="D42" s="57"/>
      <x:c r="E42" s="57"/>
      <x:c r="F42" s="57"/>
      <x:c r="G42" s="57"/>
      <x:c r="H42" s="57"/>
      <x:c r="I42" s="57"/>
      <x:c r="J42" s="57"/>
      <x:c r="K42" s="57"/>
      <x:c r="L42" s="57"/>
    </x:row>
    <x:row r="43">
      <x:c r="A43" s="57"/>
      <x:c r="B43" s="57"/>
      <x:c r="C43" s="57"/>
      <x:c r="D43" s="57"/>
      <x:c r="E43" s="57"/>
      <x:c r="F43" s="57"/>
      <x:c r="G43" s="57"/>
      <x:c r="H43" s="57"/>
      <x:c r="I43" s="57"/>
      <x:c r="J43" s="57"/>
      <x:c r="K43" s="57"/>
      <x:c r="L43" s="57"/>
    </x:row>
    <x:row r="44">
      <x:c r="A44" s="57"/>
      <x:c r="B44" s="57"/>
      <x:c r="C44" s="57"/>
      <x:c r="D44" s="57"/>
      <x:c r="E44" s="57"/>
      <x:c r="F44" s="57"/>
      <x:c r="G44" s="57"/>
      <x:c r="H44" s="57"/>
      <x:c r="I44" s="57"/>
      <x:c r="J44" s="57"/>
      <x:c r="K44" s="57"/>
      <x:c r="L44" s="57"/>
    </x:row>
    <x:row r="45">
      <x:c r="A45" s="57"/>
      <x:c r="B45" s="57"/>
      <x:c r="C45" s="57"/>
      <x:c r="D45" s="57"/>
      <x:c r="E45" s="57"/>
      <x:c r="F45" s="57"/>
      <x:c r="G45" s="57"/>
      <x:c r="H45" s="57"/>
      <x:c r="I45" s="57"/>
      <x:c r="J45" s="57"/>
      <x:c r="K45" s="57"/>
      <x:c r="L45" s="57"/>
    </x:row>
    <x:row r="46">
      <x:c r="A46" s="57"/>
      <x:c r="B46" s="57"/>
      <x:c r="C46" s="57"/>
      <x:c r="D46" s="57"/>
      <x:c r="E46" s="57"/>
      <x:c r="F46" s="57"/>
      <x:c r="G46" s="57"/>
      <x:c r="H46" s="57"/>
      <x:c r="I46" s="57"/>
      <x:c r="J46" s="57"/>
      <x:c r="K46" s="57"/>
      <x:c r="L46" s="57"/>
    </x:row>
    <x:row r="47">
      <x:c r="A47" s="57"/>
      <x:c r="B47" s="57"/>
      <x:c r="C47" s="57"/>
      <x:c r="D47" s="57"/>
      <x:c r="E47" s="57"/>
      <x:c r="F47" s="57"/>
      <x:c r="G47" s="57"/>
      <x:c r="H47" s="57"/>
      <x:c r="I47" s="57"/>
      <x:c r="J47" s="57"/>
      <x:c r="K47" s="57"/>
      <x:c r="L47" s="57"/>
    </x:row>
    <x:row r="48">
      <x:c r="A48" s="57"/>
      <x:c r="B48" s="57"/>
      <x:c r="C48" s="57"/>
      <x:c r="D48" s="57"/>
      <x:c r="E48" s="57"/>
      <x:c r="F48" s="57"/>
      <x:c r="G48" s="57"/>
      <x:c r="H48" s="57"/>
      <x:c r="I48" s="57"/>
      <x:c r="J48" s="57"/>
      <x:c r="K48" s="57"/>
      <x:c r="L48" s="57"/>
    </x:row>
    <x:row r="49">
      <x:c r="A49" s="57"/>
      <x:c r="B49" s="57"/>
      <x:c r="C49" s="57"/>
      <x:c r="D49" s="57"/>
      <x:c r="E49" s="57"/>
      <x:c r="F49" s="57"/>
      <x:c r="G49" s="57"/>
      <x:c r="H49" s="57"/>
      <x:c r="I49" s="57"/>
      <x:c r="J49" s="57"/>
      <x:c r="K49" s="57"/>
      <x:c r="L49" s="57"/>
    </x:row>
    <x:row r="50">
      <x:c r="A50" s="57"/>
      <x:c r="B50" s="57"/>
      <x:c r="C50" s="57"/>
      <x:c r="D50" s="57"/>
      <x:c r="E50" s="57"/>
      <x:c r="F50" s="57"/>
      <x:c r="G50" s="57"/>
      <x:c r="H50" s="57"/>
      <x:c r="I50" s="57"/>
      <x:c r="J50" s="57"/>
      <x:c r="K50" s="57"/>
      <x:c r="L50" s="57"/>
    </x:row>
    <x:row r="51">
      <x:c r="A51" s="57"/>
      <x:c r="B51" s="57"/>
      <x:c r="C51" s="57"/>
      <x:c r="D51" s="57"/>
      <x:c r="E51" s="57"/>
      <x:c r="F51" s="57"/>
      <x:c r="G51" s="57"/>
      <x:c r="H51" s="57"/>
      <x:c r="I51" s="57"/>
      <x:c r="J51" s="57"/>
      <x:c r="K51" s="57"/>
      <x:c r="L51" s="57"/>
    </x:row>
    <x:row r="52">
      <x:c r="A52" s="57"/>
      <x:c r="B52" s="57"/>
      <x:c r="C52" s="57"/>
      <x:c r="D52" s="57"/>
      <x:c r="E52" s="57"/>
      <x:c r="F52" s="57"/>
      <x:c r="G52" s="57"/>
      <x:c r="H52" s="57"/>
      <x:c r="I52" s="57"/>
      <x:c r="J52" s="57"/>
      <x:c r="K52" s="57"/>
      <x:c r="L52" s="57"/>
    </x:row>
    <x:row r="53">
      <x:c r="A53" s="57"/>
      <x:c r="B53" s="57"/>
      <x:c r="C53" s="57"/>
      <x:c r="D53" s="57"/>
      <x:c r="E53" s="57"/>
      <x:c r="F53" s="57"/>
      <x:c r="G53" s="57"/>
      <x:c r="H53" s="57"/>
      <x:c r="I53" s="57"/>
      <x:c r="J53" s="57"/>
      <x:c r="K53" s="57"/>
      <x:c r="L53" s="57"/>
    </x:row>
    <x:row r="54">
      <x:c r="A54" s="57"/>
      <x:c r="B54" s="57"/>
      <x:c r="C54" s="57"/>
      <x:c r="D54" s="57"/>
      <x:c r="E54" s="57"/>
      <x:c r="F54" s="57"/>
      <x:c r="G54" s="57"/>
      <x:c r="H54" s="57"/>
      <x:c r="I54" s="57"/>
      <x:c r="J54" s="57"/>
      <x:c r="K54" s="57"/>
      <x:c r="L54" s="57"/>
    </x:row>
    <x:row r="55">
      <x:c r="A55" s="57"/>
      <x:c r="B55" s="57"/>
      <x:c r="C55" s="57"/>
      <x:c r="D55" s="57"/>
      <x:c r="E55" s="57"/>
      <x:c r="F55" s="57"/>
      <x:c r="G55" s="57"/>
      <x:c r="H55" s="57"/>
      <x:c r="I55" s="57"/>
      <x:c r="J55" s="57"/>
      <x:c r="K55" s="57"/>
      <x:c r="L55" s="57"/>
    </x:row>
    <x:row r="56">
      <x:c r="A56" s="57"/>
      <x:c r="B56" s="57"/>
      <x:c r="C56" s="57"/>
      <x:c r="D56" s="57"/>
      <x:c r="E56" s="57"/>
      <x:c r="F56" s="57"/>
      <x:c r="G56" s="57"/>
      <x:c r="H56" s="57"/>
      <x:c r="I56" s="57"/>
      <x:c r="J56" s="57"/>
      <x:c r="K56" s="57"/>
      <x:c r="L56" s="57"/>
    </x:row>
    <x:row r="57">
      <x:c r="A57" s="57"/>
      <x:c r="B57" s="57"/>
      <x:c r="C57" s="57"/>
      <x:c r="D57" s="57"/>
      <x:c r="E57" s="57"/>
      <x:c r="F57" s="57"/>
      <x:c r="G57" s="57"/>
      <x:c r="H57" s="57"/>
      <x:c r="I57" s="57"/>
      <x:c r="J57" s="57"/>
      <x:c r="K57" s="57"/>
      <x:c r="L57" s="57"/>
    </x:row>
    <x:row r="58">
      <x:c r="A58" s="57"/>
      <x:c r="B58" s="57"/>
      <x:c r="C58" s="57"/>
      <x:c r="D58" s="57"/>
      <x:c r="E58" s="57"/>
      <x:c r="F58" s="57"/>
      <x:c r="G58" s="57"/>
      <x:c r="H58" s="57"/>
      <x:c r="I58" s="57"/>
      <x:c r="J58" s="57"/>
      <x:c r="K58" s="57"/>
      <x:c r="L58" s="57"/>
    </x:row>
    <x:row r="59">
      <x:c r="A59" s="57"/>
      <x:c r="B59" s="57"/>
      <x:c r="C59" s="57"/>
      <x:c r="D59" s="57"/>
      <x:c r="E59" s="57"/>
      <x:c r="F59" s="57"/>
      <x:c r="G59" s="57"/>
      <x:c r="H59" s="57"/>
      <x:c r="I59" s="57"/>
      <x:c r="J59" s="57"/>
      <x:c r="K59" s="57"/>
      <x:c r="L59" s="57"/>
    </x:row>
    <x:row r="60">
      <x:c r="A60" s="57"/>
      <x:c r="B60" s="57"/>
      <x:c r="C60" s="57"/>
      <x:c r="D60" s="57"/>
      <x:c r="E60" s="57"/>
      <x:c r="F60" s="57"/>
      <x:c r="G60" s="57"/>
      <x:c r="H60" s="57"/>
      <x:c r="I60" s="57"/>
      <x:c r="J60" s="57"/>
      <x:c r="K60" s="57"/>
      <x:c r="L60" s="57"/>
    </x:row>
    <x:row r="61">
      <x:c r="A61" s="57"/>
      <x:c r="B61" s="57"/>
      <x:c r="C61" s="57"/>
      <x:c r="D61" s="57"/>
      <x:c r="E61" s="57"/>
      <x:c r="F61" s="57"/>
      <x:c r="G61" s="57"/>
      <x:c r="H61" s="57"/>
      <x:c r="I61" s="57"/>
      <x:c r="J61" s="57"/>
      <x:c r="K61" s="57"/>
      <x:c r="L61" s="57"/>
    </x:row>
    <x:row r="62">
      <x:c r="A62" s="57"/>
      <x:c r="B62" s="57"/>
      <x:c r="C62" s="57"/>
      <x:c r="D62" s="57"/>
      <x:c r="E62" s="57"/>
      <x:c r="F62" s="57"/>
      <x:c r="G62" s="57"/>
      <x:c r="H62" s="57"/>
      <x:c r="I62" s="57"/>
      <x:c r="J62" s="57"/>
      <x:c r="K62" s="57"/>
      <x:c r="L62" s="57"/>
    </x:row>
    <x:row r="63">
      <x:c r="A63" s="57"/>
      <x:c r="B63" s="57"/>
      <x:c r="C63" s="57"/>
      <x:c r="D63" s="57"/>
      <x:c r="E63" s="57"/>
      <x:c r="F63" s="57"/>
      <x:c r="G63" s="57"/>
      <x:c r="H63" s="57"/>
      <x:c r="I63" s="57"/>
      <x:c r="J63" s="57"/>
      <x:c r="K63" s="57"/>
      <x:c r="L63" s="57"/>
    </x:row>
    <x:row r="64">
      <x:c r="A64" s="57"/>
      <x:c r="B64" s="57"/>
      <x:c r="C64" s="57"/>
      <x:c r="D64" s="57"/>
      <x:c r="E64" s="57"/>
      <x:c r="F64" s="57"/>
      <x:c r="G64" s="57"/>
      <x:c r="H64" s="57"/>
      <x:c r="I64" s="57"/>
      <x:c r="J64" s="57"/>
      <x:c r="K64" s="57"/>
      <x:c r="L64" s="57"/>
    </x:row>
    <x:row r="65">
      <x:c r="A65" s="57"/>
      <x:c r="B65" s="57"/>
      <x:c r="C65" s="57"/>
      <x:c r="D65" s="57"/>
      <x:c r="E65" s="57"/>
      <x:c r="F65" s="57"/>
      <x:c r="G65" s="57"/>
      <x:c r="H65" s="57"/>
      <x:c r="I65" s="57"/>
      <x:c r="J65" s="57"/>
      <x:c r="K65" s="57"/>
      <x:c r="L65" s="57"/>
    </x:row>
    <x:row r="66">
      <x:c r="A66" s="57"/>
      <x:c r="B66" s="57"/>
      <x:c r="C66" s="57"/>
      <x:c r="D66" s="57"/>
      <x:c r="E66" s="57"/>
      <x:c r="F66" s="57"/>
      <x:c r="G66" s="57"/>
      <x:c r="H66" s="57"/>
      <x:c r="I66" s="57"/>
      <x:c r="J66" s="57"/>
      <x:c r="K66" s="57"/>
      <x:c r="L66" s="57"/>
    </x:row>
    <x:row r="67">
      <x:c r="A67" s="57"/>
      <x:c r="B67" s="57"/>
      <x:c r="C67" s="57"/>
      <x:c r="D67" s="57"/>
      <x:c r="E67" s="57"/>
      <x:c r="F67" s="57"/>
      <x:c r="G67" s="57"/>
      <x:c r="H67" s="57"/>
      <x:c r="I67" s="57"/>
      <x:c r="J67" s="57"/>
      <x:c r="K67" s="57"/>
      <x:c r="L67" s="57"/>
    </x:row>
    <x:row r="68">
      <x:c r="A68" s="57"/>
      <x:c r="B68" s="57"/>
      <x:c r="C68" s="57"/>
      <x:c r="D68" s="57"/>
      <x:c r="E68" s="57"/>
      <x:c r="F68" s="57"/>
      <x:c r="G68" s="57"/>
      <x:c r="H68" s="57"/>
      <x:c r="I68" s="57"/>
      <x:c r="J68" s="57"/>
      <x:c r="K68" s="57"/>
      <x:c r="L68" s="57"/>
    </x:row>
    <x:row r="69">
      <x:c r="A69" s="57"/>
      <x:c r="B69" s="57"/>
      <x:c r="C69" s="57"/>
      <x:c r="D69" s="57"/>
      <x:c r="E69" s="57"/>
      <x:c r="F69" s="57"/>
      <x:c r="G69" s="57"/>
      <x:c r="H69" s="57"/>
      <x:c r="I69" s="57"/>
      <x:c r="J69" s="57"/>
      <x:c r="K69" s="57"/>
      <x:c r="L69" s="57"/>
    </x:row>
    <x:row r="70">
      <x:c r="A70" s="57"/>
      <x:c r="B70" s="57"/>
      <x:c r="C70" s="57"/>
      <x:c r="D70" s="57"/>
      <x:c r="E70" s="57"/>
      <x:c r="F70" s="57"/>
      <x:c r="G70" s="57"/>
      <x:c r="H70" s="57"/>
      <x:c r="I70" s="57"/>
      <x:c r="J70" s="57"/>
      <x:c r="K70" s="57"/>
      <x:c r="L70" s="57"/>
    </x:row>
    <x:row r="71">
      <x:c r="A71" s="57"/>
      <x:c r="B71" s="57"/>
      <x:c r="C71" s="57"/>
      <x:c r="D71" s="57"/>
      <x:c r="E71" s="57"/>
      <x:c r="F71" s="57"/>
      <x:c r="G71" s="57"/>
      <x:c r="H71" s="57"/>
      <x:c r="I71" s="57"/>
      <x:c r="J71" s="57"/>
      <x:c r="K71" s="57"/>
      <x:c r="L71" s="57"/>
    </x:row>
    <x:row r="72">
      <x:c r="A72" s="57"/>
      <x:c r="B72" s="57"/>
      <x:c r="C72" s="57"/>
      <x:c r="D72" s="57"/>
      <x:c r="E72" s="57"/>
      <x:c r="F72" s="57"/>
      <x:c r="G72" s="57"/>
      <x:c r="H72" s="57"/>
      <x:c r="I72" s="57"/>
      <x:c r="J72" s="57"/>
      <x:c r="K72" s="57"/>
      <x:c r="L72" s="57"/>
    </x:row>
    <x:row r="73">
      <x:c r="A73" s="57"/>
      <x:c r="B73" s="57"/>
      <x:c r="C73" s="57"/>
      <x:c r="D73" s="57"/>
      <x:c r="E73" s="57"/>
      <x:c r="F73" s="57"/>
      <x:c r="G73" s="57"/>
      <x:c r="H73" s="57"/>
      <x:c r="I73" s="57"/>
      <x:c r="J73" s="57"/>
      <x:c r="K73" s="57"/>
      <x:c r="L73" s="57"/>
    </x:row>
    <x:row r="74">
      <x:c r="A74" s="57"/>
      <x:c r="B74" s="57"/>
      <x:c r="C74" s="57"/>
      <x:c r="D74" s="57"/>
      <x:c r="E74" s="57"/>
      <x:c r="F74" s="57"/>
      <x:c r="G74" s="57"/>
      <x:c r="H74" s="57"/>
      <x:c r="I74" s="57"/>
      <x:c r="J74" s="57"/>
      <x:c r="K74" s="57"/>
      <x:c r="L74" s="57"/>
    </x:row>
    <x:row r="75">
      <x:c r="A75" s="57"/>
      <x:c r="B75" s="57"/>
      <x:c r="C75" s="57"/>
      <x:c r="D75" s="57"/>
      <x:c r="E75" s="57"/>
      <x:c r="F75" s="57"/>
      <x:c r="G75" s="57"/>
      <x:c r="H75" s="57"/>
      <x:c r="I75" s="57"/>
      <x:c r="J75" s="57"/>
      <x:c r="K75" s="57"/>
      <x:c r="L75" s="57"/>
    </x:row>
    <x:row r="76">
      <x:c r="A76" s="57"/>
      <x:c r="B76" s="57"/>
      <x:c r="C76" s="57"/>
      <x:c r="D76" s="57"/>
      <x:c r="E76" s="57"/>
      <x:c r="F76" s="57"/>
      <x:c r="G76" s="57"/>
      <x:c r="H76" s="57"/>
      <x:c r="I76" s="57"/>
      <x:c r="J76" s="57"/>
      <x:c r="K76" s="57"/>
      <x:c r="L76" s="57"/>
    </x:row>
    <x:row r="77">
      <x:c r="A77" s="57"/>
      <x:c r="B77" s="57"/>
      <x:c r="C77" s="57"/>
      <x:c r="D77" s="57"/>
      <x:c r="E77" s="57"/>
      <x:c r="F77" s="57"/>
      <x:c r="G77" s="57"/>
      <x:c r="H77" s="57"/>
      <x:c r="I77" s="57"/>
      <x:c r="J77" s="57"/>
      <x:c r="K77" s="57"/>
      <x:c r="L77" s="57"/>
    </x:row>
    <x:row r="78">
      <x:c r="A78" s="57"/>
      <x:c r="B78" s="57"/>
      <x:c r="C78" s="57"/>
      <x:c r="D78" s="57"/>
      <x:c r="E78" s="57"/>
      <x:c r="F78" s="57"/>
      <x:c r="G78" s="57"/>
      <x:c r="H78" s="57"/>
      <x:c r="I78" s="57"/>
      <x:c r="J78" s="57"/>
      <x:c r="K78" s="57"/>
      <x:c r="L78" s="57"/>
    </x:row>
    <x:row r="79">
      <x:c r="A79" s="57"/>
      <x:c r="B79" s="57"/>
      <x:c r="C79" s="57"/>
      <x:c r="D79" s="57"/>
      <x:c r="E79" s="57"/>
      <x:c r="F79" s="57"/>
      <x:c r="G79" s="57"/>
      <x:c r="H79" s="57"/>
      <x:c r="I79" s="57"/>
      <x:c r="J79" s="57"/>
      <x:c r="K79" s="57"/>
      <x:c r="L79" s="57"/>
    </x:row>
    <x:row r="80">
      <x:c r="A80" s="57"/>
      <x:c r="B80" s="57"/>
      <x:c r="C80" s="57"/>
      <x:c r="D80" s="57"/>
      <x:c r="E80" s="57"/>
      <x:c r="F80" s="57"/>
      <x:c r="G80" s="57"/>
      <x:c r="H80" s="57"/>
      <x:c r="I80" s="57"/>
      <x:c r="J80" s="57"/>
      <x:c r="K80" s="57"/>
      <x:c r="L80" s="57"/>
    </x:row>
  </x:sheetData>
  <x:mergeCells>
    <x:mergeCell ref="A1:L2"/>
    <x:mergeCell ref="A3:L3"/>
    <x:mergeCell ref="A5:F6"/>
    <x:mergeCell ref="A38:H38"/>
    <x:mergeCell ref="A39:H39"/>
    <x:mergeCell ref="A40:H40"/>
    <x:mergeCell ref="A41:H41"/>
  </x:mergeCells>
  <x:pageMargins left="0.7" right="0.7" top="0.75" bottom="0.75" header="0.3" footer="0.3"/>
  <x:drawing xmlns:r="http://schemas.openxmlformats.org/officeDocument/2006/relationships" r:id="Rfb4eef35449a4392"/>
</x:worksheet>
</file>

<file path=xl/worksheets/sheet2.xml><?xml version="1.0" encoding="utf-8"?>
<x:worksheet xmlns:x="http://schemas.openxmlformats.org/spreadsheetml/2006/main">
  <x:sheetPr>
    <x:tabColor rgb="FF5B8DB8"/>
  </x:sheetPr>
  <x:sheetViews>
    <x:sheetView showGridLines="0" workbookViewId="0">
      <x:pane ySplit="3" topLeftCell="A4" activePane="bottomLeft" state="frozen"/>
    </x:sheetView>
  </x:sheetViews>
  <x:sheetFormatPr defaultRowHeight="15"/>
  <x:cols>
    <x:col min="1" max="1" width="26" hidden="0" customWidth="1"/>
    <x:col min="2" max="2" width="19" hidden="0" customWidth="1"/>
    <x:col min="3" max="3" width="19" hidden="0" customWidth="1"/>
    <x:col min="4" max="4" width="22" hidden="0" customWidth="1"/>
    <x:col min="5" max="5" width="3" hidden="0" customWidth="1"/>
    <x:col min="6" max="6" width="3" hidden="0" customWidth="1"/>
  </x:cols>
  <x:sheetData>
    <x:row r="1">
      <x:c r="A1" s="4" t="str">
        <x:v>估值假设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3">
      <x:c r="A3" s="6" t="str">
        <x:v>蓝色数字为可编辑研究假设；价格、股本与汇率为固定日期市场输入</x:v>
      </x:c>
      <x:c r="B3" s="6"/>
      <x:c r="C3" s="6"/>
      <x:c r="D3" s="6"/>
      <x:c r="E3" s="6"/>
      <x:c r="F3" s="6"/>
    </x:row>
    <x:row r="4">
      <x:c r="A4" s="57"/>
      <x:c r="B4" s="57"/>
      <x:c r="C4" s="57"/>
      <x:c r="D4" s="57"/>
      <x:c r="E4" s="57"/>
      <x:c r="F4" s="57"/>
    </x:row>
    <x:row r="5">
      <x:c r="A5" s="31" t="str">
        <x:v>市场与股本输入</x:v>
      </x:c>
      <x:c r="B5" s="31"/>
      <x:c r="C5" s="31"/>
      <x:c r="D5" s="31"/>
      <x:c r="E5" s="31"/>
      <x:c r="F5" s="31"/>
    </x:row>
    <x:row r="6">
      <x:c r="A6" s="57"/>
      <x:c r="B6" s="57"/>
      <x:c r="C6" s="57"/>
      <x:c r="D6" s="57"/>
      <x:c r="E6" s="57"/>
      <x:c r="F6" s="57"/>
    </x:row>
    <x:row r="7">
      <x:c r="A7" s="15" t="str">
        <x:v>输入</x:v>
      </x:c>
      <x:c r="B7" s="15" t="str">
        <x:v>数值</x:v>
      </x:c>
      <x:c r="C7" s="15" t="str">
        <x:v>日期/说明</x:v>
      </x:c>
      <x:c r="D7" s="57"/>
      <x:c r="E7" s="57"/>
      <x:c r="F7" s="57"/>
    </x:row>
    <x:row r="8">
      <x:c r="A8" s="58" t="str">
        <x:v>A 股价格（元）</x:v>
      </x:c>
      <x:c r="B8" s="67" t="n">
        <x:v>337.11</x:v>
      </x:c>
      <x:c r="C8" s="58" t="str">
        <x:v>2026-09-14 收盘</x:v>
      </x:c>
      <x:c r="D8" s="57"/>
      <x:c r="E8" s="57"/>
      <x:c r="F8" s="57"/>
    </x:row>
    <x:row r="9">
      <x:c r="A9" s="58" t="str">
        <x:v>H 股价格（港元）</x:v>
      </x:c>
      <x:c r="B9" s="67" t="n">
        <x:v>549</x:v>
      </x:c>
      <x:c r="C9" s="58" t="str">
        <x:v>2026-09-14 收盘</x:v>
      </x:c>
      <x:c r="D9" s="57"/>
      <x:c r="E9" s="57"/>
      <x:c r="F9" s="57"/>
    </x:row>
    <x:row r="10">
      <x:c r="A10" s="58" t="str">
        <x:v>CNY/HKD</x:v>
      </x:c>
      <x:c r="B10" s="67" t="n">
        <x:v>1.1692</x:v>
      </x:c>
      <x:c r="C10" s="58" t="str">
        <x:v>1 人民币兑港元</x:v>
      </x:c>
      <x:c r="D10" s="57"/>
      <x:c r="E10" s="57"/>
      <x:c r="F10" s="57"/>
    </x:row>
    <x:row r="11">
      <x:c r="A11" s="58" t="str">
        <x:v>经济股本（百万股）</x:v>
      </x:c>
      <x:c r="B11" s="68" t="n">
        <x:v>4598.451366</x:v>
      </x:c>
      <x:c r="C11" s="58" t="str">
        <x:v>2026-08-31，扣库存股</x:v>
      </x:c>
      <x:c r="D11" s="57"/>
      <x:c r="E11" s="57"/>
      <x:c r="F11" s="57"/>
    </x:row>
    <x:row r="12">
      <x:c r="A12" s="58" t="str">
        <x:v>资料截止</x:v>
      </x:c>
      <x:c r="B12" s="58" t="str">
        <x:v>2026-09-15</x:v>
      </x:c>
      <x:c r="C12" s="58" t="str">
        <x:v>固定日期</x:v>
      </x:c>
      <x:c r="D12" s="57"/>
      <x:c r="E12" s="57"/>
      <x:c r="F12" s="57"/>
    </x:row>
    <x:row r="13">
      <x:c r="A13" s="57"/>
      <x:c r="B13" s="57"/>
      <x:c r="C13" s="57"/>
      <x:c r="D13" s="57"/>
      <x:c r="E13" s="57"/>
      <x:c r="F13" s="57"/>
    </x:row>
    <x:row r="14">
      <x:c r="A14" s="57"/>
      <x:c r="B14" s="57"/>
      <x:c r="C14" s="57"/>
      <x:c r="D14" s="57"/>
      <x:c r="E14" s="57"/>
      <x:c r="F14" s="57"/>
    </x:row>
    <x:row r="15">
      <x:c r="A15" s="31" t="str">
        <x:v>2027 情景输入</x:v>
      </x:c>
      <x:c r="B15" s="31"/>
      <x:c r="C15" s="31"/>
      <x:c r="D15" s="31"/>
      <x:c r="E15" s="31"/>
      <x:c r="F15" s="31"/>
    </x:row>
    <x:row r="16">
      <x:c r="A16" s="57"/>
      <x:c r="B16" s="57"/>
      <x:c r="C16" s="57"/>
      <x:c r="D16" s="57"/>
      <x:c r="E16" s="57"/>
      <x:c r="F16" s="57"/>
    </x:row>
    <x:row r="17">
      <x:c r="A17" s="15" t="str">
        <x:v>假设</x:v>
      </x:c>
      <x:c r="B17" s="15" t="str">
        <x:v>Bear</x:v>
      </x:c>
      <x:c r="C17" s="15" t="str">
        <x:v>Base</x:v>
      </x:c>
      <x:c r="D17" s="15" t="str">
        <x:v>Bull</x:v>
      </x:c>
      <x:c r="E17" s="57"/>
      <x:c r="F17" s="57"/>
    </x:row>
    <x:row r="18">
      <x:c r="A18" s="58" t="str">
        <x:v>概率</x:v>
      </x:c>
      <x:c r="B18" s="69" t="n">
        <x:v>0.25</x:v>
      </x:c>
      <x:c r="C18" s="69" t="n">
        <x:v>0.55</x:v>
      </x:c>
      <x:c r="D18" s="69" t="n">
        <x:v>0.2</x:v>
      </x:c>
      <x:c r="E18" s="57"/>
      <x:c r="F18" s="57"/>
    </x:row>
    <x:row r="19">
      <x:c r="A19" s="58" t="str">
        <x:v>收入（十亿元）</x:v>
      </x:c>
      <x:c r="B19" s="70" t="n">
        <x:v>600</x:v>
      </x:c>
      <x:c r="C19" s="70" t="n">
        <x:v>720</x:v>
      </x:c>
      <x:c r="D19" s="70" t="n">
        <x:v>850</x:v>
      </x:c>
      <x:c r="E19" s="57"/>
      <x:c r="F19" s="57"/>
    </x:row>
    <x:row r="20">
      <x:c r="A20" s="58" t="str">
        <x:v>归母净利率</x:v>
      </x:c>
      <x:c r="B20" s="69" t="n">
        <x:v>0.13</x:v>
      </x:c>
      <x:c r="C20" s="69" t="n">
        <x:v>0.15</x:v>
      </x:c>
      <x:c r="D20" s="69" t="n">
        <x:v>0.165</x:v>
      </x:c>
      <x:c r="E20" s="57"/>
      <x:c r="F20" s="57"/>
    </x:row>
    <x:row r="21">
      <x:c r="A21" s="58" t="str">
        <x:v>P/E</x:v>
      </x:c>
      <x:c r="B21" s="71" t="n">
        <x:v>15</x:v>
      </x:c>
      <x:c r="C21" s="71" t="n">
        <x:v>21</x:v>
      </x:c>
      <x:c r="D21" s="71" t="n">
        <x:v>26</x:v>
      </x:c>
      <x:c r="E21" s="57"/>
      <x:c r="F21" s="57"/>
    </x:row>
    <x:row r="22">
      <x:c r="A22" s="58" t="str">
        <x:v>逻辑</x:v>
      </x:c>
      <x:c r="B22" s="72" t="str">
        <x:v>价格竞争与投产偏慢</x:v>
      </x:c>
      <x:c r="C22" s="72" t="str">
        <x:v>份额稳定、储能扩张</x:v>
      </x:c>
      <x:c r="D22" s="72" t="str">
        <x:v>海外与储能快速增长</x:v>
      </x:c>
      <x:c r="E22" s="57"/>
      <x:c r="F22" s="57"/>
    </x:row>
    <x:row r="23">
      <x:c r="A23" s="57"/>
      <x:c r="B23" s="57"/>
      <x:c r="C23" s="57"/>
      <x:c r="D23" s="57"/>
      <x:c r="E23" s="57"/>
      <x:c r="F23" s="57"/>
    </x:row>
    <x:row r="24">
      <x:c r="A24" s="57"/>
      <x:c r="B24" s="57"/>
      <x:c r="C24" s="57"/>
      <x:c r="D24" s="57"/>
      <x:c r="E24" s="57"/>
      <x:c r="F24" s="57"/>
    </x:row>
    <x:row r="25">
      <x:c r="A25" s="73" t="str">
        <x:v>估值说明</x:v>
      </x:c>
      <x:c r="B25" s="73"/>
      <x:c r="C25" s="73"/>
      <x:c r="D25" s="73"/>
      <x:c r="E25" s="73"/>
      <x:c r="F25" s="73"/>
    </x:row>
    <x:row r="26">
      <x:c r="A26" s="74" t="str">
        <x:v>P/E 直接作用于归母净利润，不另加净现金，避免重复计入利息与投资收益。</x:v>
      </x:c>
      <x:c r="B26" s="74"/>
      <x:c r="C26" s="74"/>
      <x:c r="D26" s="74"/>
      <x:c r="E26" s="74"/>
      <x:c r="F26" s="74"/>
    </x:row>
    <x:row r="27">
      <x:c r="A27" s="74" t="str">
        <x:v>2026H1 简单年化只用于校准，不作为公司指引或正式预测。</x:v>
      </x:c>
      <x:c r="B27" s="74"/>
      <x:c r="C27" s="74"/>
      <x:c r="D27" s="74"/>
      <x:c r="E27" s="74"/>
      <x:c r="F27" s="74"/>
    </x:row>
    <x:row r="28">
      <x:c r="A28" s="74" t="str">
        <x:v>H 股换算沿用价格日汇率，不预测 2027 年汇率。</x:v>
      </x:c>
      <x:c r="B28" s="74"/>
      <x:c r="C28" s="74"/>
      <x:c r="D28" s="74"/>
      <x:c r="E28" s="74"/>
      <x:c r="F28" s="74"/>
    </x:row>
    <x:row r="29">
      <x:c r="A29" s="57"/>
      <x:c r="B29" s="57"/>
      <x:c r="C29" s="57"/>
      <x:c r="D29" s="57"/>
      <x:c r="E29" s="57"/>
      <x:c r="F29" s="57"/>
    </x:row>
    <x:row r="30">
      <x:c r="A30" s="57"/>
      <x:c r="B30" s="57"/>
      <x:c r="C30" s="57"/>
      <x:c r="D30" s="57"/>
      <x:c r="E30" s="57"/>
      <x:c r="F30" s="57"/>
    </x:row>
    <x:row r="31">
      <x:c r="A31" s="57"/>
      <x:c r="B31" s="57"/>
      <x:c r="C31" s="57"/>
      <x:c r="D31" s="57"/>
      <x:c r="E31" s="57"/>
      <x:c r="F31" s="57"/>
    </x:row>
    <x:row r="32">
      <x:c r="A32" s="57"/>
      <x:c r="B32" s="57"/>
      <x:c r="C32" s="57"/>
      <x:c r="D32" s="57"/>
      <x:c r="E32" s="57"/>
      <x:c r="F32" s="57"/>
    </x:row>
    <x:row r="33">
      <x:c r="A33" s="57"/>
      <x:c r="B33" s="57"/>
      <x:c r="C33" s="57"/>
      <x:c r="D33" s="57"/>
      <x:c r="E33" s="57"/>
      <x:c r="F33" s="57"/>
    </x:row>
    <x:row r="34">
      <x:c r="A34" s="57"/>
      <x:c r="B34" s="57"/>
      <x:c r="C34" s="57"/>
      <x:c r="D34" s="57"/>
      <x:c r="E34" s="57"/>
      <x:c r="F34" s="57"/>
    </x:row>
    <x:row r="35">
      <x:c r="A35" s="57"/>
      <x:c r="B35" s="57"/>
      <x:c r="C35" s="57"/>
      <x:c r="D35" s="57"/>
      <x:c r="E35" s="57"/>
      <x:c r="F35" s="57"/>
    </x:row>
    <x:row r="36">
      <x:c r="A36" s="57"/>
      <x:c r="B36" s="57"/>
      <x:c r="C36" s="57"/>
      <x:c r="D36" s="57"/>
      <x:c r="E36" s="57"/>
      <x:c r="F36" s="57"/>
    </x:row>
    <x:row r="37">
      <x:c r="A37" s="57"/>
      <x:c r="B37" s="57"/>
      <x:c r="C37" s="57"/>
      <x:c r="D37" s="57"/>
      <x:c r="E37" s="57"/>
      <x:c r="F37" s="57"/>
    </x:row>
    <x:row r="38">
      <x:c r="A38" s="57"/>
      <x:c r="B38" s="57"/>
      <x:c r="C38" s="57"/>
      <x:c r="D38" s="57"/>
      <x:c r="E38" s="57"/>
      <x:c r="F38" s="57"/>
    </x:row>
    <x:row r="39">
      <x:c r="A39" s="57"/>
      <x:c r="B39" s="57"/>
      <x:c r="C39" s="57"/>
      <x:c r="D39" s="57"/>
      <x:c r="E39" s="57"/>
      <x:c r="F39" s="57"/>
    </x:row>
    <x:row r="40">
      <x:c r="A40" s="57"/>
      <x:c r="B40" s="57"/>
      <x:c r="C40" s="57"/>
      <x:c r="D40" s="57"/>
      <x:c r="E40" s="57"/>
      <x:c r="F40" s="57"/>
    </x:row>
    <x:row r="41">
      <x:c r="A41" s="57"/>
      <x:c r="B41" s="57"/>
      <x:c r="C41" s="57"/>
      <x:c r="D41" s="57"/>
      <x:c r="E41" s="57"/>
      <x:c r="F41" s="57"/>
    </x:row>
    <x:row r="42">
      <x:c r="A42" s="57"/>
      <x:c r="B42" s="57"/>
      <x:c r="C42" s="57"/>
      <x:c r="D42" s="57"/>
      <x:c r="E42" s="57"/>
      <x:c r="F42" s="57"/>
    </x:row>
    <x:row r="43">
      <x:c r="A43" s="57"/>
      <x:c r="B43" s="57"/>
      <x:c r="C43" s="57"/>
      <x:c r="D43" s="57"/>
      <x:c r="E43" s="57"/>
      <x:c r="F43" s="57"/>
    </x:row>
    <x:row r="44">
      <x:c r="A44" s="57"/>
      <x:c r="B44" s="57"/>
      <x:c r="C44" s="57"/>
      <x:c r="D44" s="57"/>
      <x:c r="E44" s="57"/>
      <x:c r="F44" s="57"/>
    </x:row>
    <x:row r="45">
      <x:c r="A45" s="57"/>
      <x:c r="B45" s="57"/>
      <x:c r="C45" s="57"/>
      <x:c r="D45" s="57"/>
      <x:c r="E45" s="57"/>
      <x:c r="F45" s="57"/>
    </x:row>
    <x:row r="46">
      <x:c r="A46" s="57"/>
      <x:c r="B46" s="57"/>
      <x:c r="C46" s="57"/>
      <x:c r="D46" s="57"/>
      <x:c r="E46" s="57"/>
      <x:c r="F46" s="57"/>
    </x:row>
    <x:row r="47">
      <x:c r="A47" s="57"/>
      <x:c r="B47" s="57"/>
      <x:c r="C47" s="57"/>
      <x:c r="D47" s="57"/>
      <x:c r="E47" s="57"/>
      <x:c r="F47" s="57"/>
    </x:row>
    <x:row r="48">
      <x:c r="A48" s="57"/>
      <x:c r="B48" s="57"/>
      <x:c r="C48" s="57"/>
      <x:c r="D48" s="57"/>
      <x:c r="E48" s="57"/>
      <x:c r="F48" s="57"/>
    </x:row>
    <x:row r="49">
      <x:c r="A49" s="57"/>
      <x:c r="B49" s="57"/>
      <x:c r="C49" s="57"/>
      <x:c r="D49" s="57"/>
      <x:c r="E49" s="57"/>
      <x:c r="F49" s="57"/>
    </x:row>
    <x:row r="50">
      <x:c r="A50" s="57"/>
      <x:c r="B50" s="57"/>
      <x:c r="C50" s="57"/>
      <x:c r="D50" s="57"/>
      <x:c r="E50" s="57"/>
      <x:c r="F50" s="57"/>
    </x:row>
    <x:row r="51">
      <x:c r="A51" s="57"/>
      <x:c r="B51" s="57"/>
      <x:c r="C51" s="57"/>
      <x:c r="D51" s="57"/>
      <x:c r="E51" s="57"/>
      <x:c r="F51" s="57"/>
    </x:row>
    <x:row r="52">
      <x:c r="A52" s="57"/>
      <x:c r="B52" s="57"/>
      <x:c r="C52" s="57"/>
      <x:c r="D52" s="57"/>
      <x:c r="E52" s="57"/>
      <x:c r="F52" s="57"/>
    </x:row>
    <x:row r="53">
      <x:c r="A53" s="57"/>
      <x:c r="B53" s="57"/>
      <x:c r="C53" s="57"/>
      <x:c r="D53" s="57"/>
      <x:c r="E53" s="57"/>
      <x:c r="F53" s="57"/>
    </x:row>
    <x:row r="54">
      <x:c r="A54" s="57"/>
      <x:c r="B54" s="57"/>
      <x:c r="C54" s="57"/>
      <x:c r="D54" s="57"/>
      <x:c r="E54" s="57"/>
      <x:c r="F54" s="57"/>
    </x:row>
    <x:row r="55">
      <x:c r="A55" s="57"/>
      <x:c r="B55" s="57"/>
      <x:c r="C55" s="57"/>
      <x:c r="D55" s="57"/>
      <x:c r="E55" s="57"/>
      <x:c r="F55" s="57"/>
    </x:row>
    <x:row r="56">
      <x:c r="A56" s="57"/>
      <x:c r="B56" s="57"/>
      <x:c r="C56" s="57"/>
      <x:c r="D56" s="57"/>
      <x:c r="E56" s="57"/>
      <x:c r="F56" s="57"/>
    </x:row>
    <x:row r="57">
      <x:c r="A57" s="57"/>
      <x:c r="B57" s="57"/>
      <x:c r="C57" s="57"/>
      <x:c r="D57" s="57"/>
      <x:c r="E57" s="57"/>
      <x:c r="F57" s="57"/>
    </x:row>
    <x:row r="58">
      <x:c r="A58" s="57"/>
      <x:c r="B58" s="57"/>
      <x:c r="C58" s="57"/>
      <x:c r="D58" s="57"/>
      <x:c r="E58" s="57"/>
      <x:c r="F58" s="57"/>
    </x:row>
    <x:row r="59">
      <x:c r="A59" s="57"/>
      <x:c r="B59" s="57"/>
      <x:c r="C59" s="57"/>
      <x:c r="D59" s="57"/>
      <x:c r="E59" s="57"/>
      <x:c r="F59" s="57"/>
    </x:row>
    <x:row r="60">
      <x:c r="A60" s="57"/>
      <x:c r="B60" s="57"/>
      <x:c r="C60" s="57"/>
      <x:c r="D60" s="57"/>
      <x:c r="E60" s="57"/>
      <x:c r="F60" s="57"/>
    </x:row>
    <x:row r="61">
      <x:c r="A61" s="57"/>
      <x:c r="B61" s="57"/>
      <x:c r="C61" s="57"/>
      <x:c r="D61" s="57"/>
      <x:c r="E61" s="57"/>
      <x:c r="F61" s="57"/>
    </x:row>
    <x:row r="62">
      <x:c r="A62" s="57"/>
      <x:c r="B62" s="57"/>
      <x:c r="C62" s="57"/>
      <x:c r="D62" s="57"/>
      <x:c r="E62" s="57"/>
      <x:c r="F62" s="57"/>
    </x:row>
    <x:row r="63">
      <x:c r="A63" s="57"/>
      <x:c r="B63" s="57"/>
      <x:c r="C63" s="57"/>
      <x:c r="D63" s="57"/>
      <x:c r="E63" s="57"/>
      <x:c r="F63" s="57"/>
    </x:row>
    <x:row r="64">
      <x:c r="A64" s="57"/>
      <x:c r="B64" s="57"/>
      <x:c r="C64" s="57"/>
      <x:c r="D64" s="57"/>
      <x:c r="E64" s="57"/>
      <x:c r="F64" s="57"/>
    </x:row>
    <x:row r="65">
      <x:c r="A65" s="57"/>
      <x:c r="B65" s="57"/>
      <x:c r="C65" s="57"/>
      <x:c r="D65" s="57"/>
      <x:c r="E65" s="57"/>
      <x:c r="F65" s="57"/>
    </x:row>
    <x:row r="66">
      <x:c r="A66" s="57"/>
      <x:c r="B66" s="57"/>
      <x:c r="C66" s="57"/>
      <x:c r="D66" s="57"/>
      <x:c r="E66" s="57"/>
      <x:c r="F66" s="57"/>
    </x:row>
    <x:row r="67">
      <x:c r="A67" s="57"/>
      <x:c r="B67" s="57"/>
      <x:c r="C67" s="57"/>
      <x:c r="D67" s="57"/>
      <x:c r="E67" s="57"/>
      <x:c r="F67" s="57"/>
    </x:row>
    <x:row r="68">
      <x:c r="A68" s="57"/>
      <x:c r="B68" s="57"/>
      <x:c r="C68" s="57"/>
      <x:c r="D68" s="57"/>
      <x:c r="E68" s="57"/>
      <x:c r="F68" s="57"/>
    </x:row>
    <x:row r="69">
      <x:c r="A69" s="57"/>
      <x:c r="B69" s="57"/>
      <x:c r="C69" s="57"/>
      <x:c r="D69" s="57"/>
      <x:c r="E69" s="57"/>
      <x:c r="F69" s="57"/>
    </x:row>
    <x:row r="70">
      <x:c r="A70" s="57"/>
      <x:c r="B70" s="57"/>
      <x:c r="C70" s="57"/>
      <x:c r="D70" s="57"/>
      <x:c r="E70" s="57"/>
      <x:c r="F70" s="57"/>
    </x:row>
    <x:row r="71">
      <x:c r="A71" s="57"/>
      <x:c r="B71" s="57"/>
      <x:c r="C71" s="57"/>
      <x:c r="D71" s="57"/>
      <x:c r="E71" s="57"/>
      <x:c r="F71" s="57"/>
    </x:row>
    <x:row r="72">
      <x:c r="A72" s="57"/>
      <x:c r="B72" s="57"/>
      <x:c r="C72" s="57"/>
      <x:c r="D72" s="57"/>
      <x:c r="E72" s="57"/>
      <x:c r="F72" s="57"/>
    </x:row>
    <x:row r="73">
      <x:c r="A73" s="57"/>
      <x:c r="B73" s="57"/>
      <x:c r="C73" s="57"/>
      <x:c r="D73" s="57"/>
      <x:c r="E73" s="57"/>
      <x:c r="F73" s="57"/>
    </x:row>
    <x:row r="74">
      <x:c r="A74" s="57"/>
      <x:c r="B74" s="57"/>
      <x:c r="C74" s="57"/>
      <x:c r="D74" s="57"/>
      <x:c r="E74" s="57"/>
      <x:c r="F74" s="57"/>
    </x:row>
    <x:row r="75">
      <x:c r="A75" s="57"/>
      <x:c r="B75" s="57"/>
      <x:c r="C75" s="57"/>
      <x:c r="D75" s="57"/>
      <x:c r="E75" s="57"/>
      <x:c r="F75" s="57"/>
    </x:row>
    <x:row r="76">
      <x:c r="A76" s="57"/>
      <x:c r="B76" s="57"/>
      <x:c r="C76" s="57"/>
      <x:c r="D76" s="57"/>
      <x:c r="E76" s="57"/>
      <x:c r="F76" s="57"/>
    </x:row>
    <x:row r="77">
      <x:c r="A77" s="57"/>
      <x:c r="B77" s="57"/>
      <x:c r="C77" s="57"/>
      <x:c r="D77" s="57"/>
      <x:c r="E77" s="57"/>
      <x:c r="F77" s="57"/>
    </x:row>
    <x:row r="78">
      <x:c r="A78" s="57"/>
      <x:c r="B78" s="57"/>
      <x:c r="C78" s="57"/>
      <x:c r="D78" s="57"/>
      <x:c r="E78" s="57"/>
      <x:c r="F78" s="57"/>
    </x:row>
    <x:row r="79">
      <x:c r="A79" s="57"/>
      <x:c r="B79" s="57"/>
      <x:c r="C79" s="57"/>
      <x:c r="D79" s="57"/>
      <x:c r="E79" s="57"/>
      <x:c r="F79" s="57"/>
    </x:row>
    <x:row r="80">
      <x:c r="A80" s="57"/>
      <x:c r="B80" s="57"/>
      <x:c r="C80" s="57"/>
      <x:c r="D80" s="57"/>
      <x:c r="E80" s="57"/>
      <x:c r="F80" s="57"/>
    </x:row>
  </x:sheetData>
  <x:mergeCells>
    <x:mergeCell ref="A1:F2"/>
    <x:mergeCell ref="A3:F3"/>
    <x:mergeCell ref="A5:F5"/>
    <x:mergeCell ref="A15:F15"/>
    <x:mergeCell ref="A25:F25"/>
    <x:mergeCell ref="A26:F26"/>
    <x:mergeCell ref="A27:F27"/>
    <x:mergeCell ref="A28:F28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Pr>
    <x:tabColor rgb="FF2A7F83"/>
  </x:sheetPr>
  <x:sheetViews>
    <x:sheetView showGridLines="0" workbookViewId="0">
      <x:pane xSplit="2" ySplit="5" topLeftCell="C6" activePane="bottomRight" state="frozen"/>
    </x:sheetView>
  </x:sheetViews>
  <x:sheetFormatPr defaultRowHeight="15"/>
  <x:cols>
    <x:col min="1" max="1" width="28" hidden="0" customWidth="1"/>
    <x:col min="2" max="2" width="16" hidden="0" customWidth="1"/>
    <x:col min="3" max="3" width="15" hidden="0" customWidth="1"/>
    <x:col min="4" max="4" width="15" hidden="0" customWidth="1"/>
    <x:col min="5" max="5" width="15" hidden="0" customWidth="1"/>
    <x:col min="6" max="6" width="15" hidden="0" customWidth="1"/>
    <x:col min="7" max="7" width="15" hidden="0" customWidth="1"/>
    <x:col min="8" max="8" width="3" hidden="0" customWidth="1"/>
  </x:cols>
  <x:sheetData>
    <x:row r="1">
      <x:c r="A1" s="4" t="str">
        <x:v>历史财务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6" t="str">
        <x:v>人民币十亿元；2026H1 为未经审计中期数据</x:v>
      </x:c>
      <x:c r="B3" s="6"/>
      <x:c r="C3" s="6"/>
      <x:c r="D3" s="6"/>
      <x:c r="E3" s="6"/>
      <x:c r="F3" s="6"/>
      <x:c r="G3" s="6"/>
      <x:c r="H3" s="6"/>
    </x:row>
    <x:row r="4">
      <x:c r="A4" s="57"/>
      <x:c r="B4" s="57"/>
      <x:c r="C4" s="57"/>
      <x:c r="D4" s="57"/>
      <x:c r="E4" s="57"/>
      <x:c r="F4" s="57"/>
      <x:c r="G4" s="57"/>
      <x:c r="H4" s="57"/>
    </x:row>
    <x:row r="5">
      <x:c r="A5" s="14" t="str">
        <x:v>指标</x:v>
      </x:c>
      <x:c r="B5" s="14" t="str">
        <x:v>单位</x:v>
      </x:c>
      <x:c r="C5" s="14" t="str">
        <x:v>2023</x:v>
      </x:c>
      <x:c r="D5" s="14" t="str">
        <x:v>2024</x:v>
      </x:c>
      <x:c r="E5" s="14" t="str">
        <x:v>2025</x:v>
      </x:c>
      <x:c r="F5" s="14" t="str">
        <x:v>2025H1</x:v>
      </x:c>
      <x:c r="G5" s="14" t="str">
        <x:v>2026H1</x:v>
      </x:c>
      <x:c r="H5" s="57"/>
    </x:row>
    <x:row r="6">
      <x:c r="A6" s="57"/>
      <x:c r="B6" s="57"/>
      <x:c r="C6" s="57"/>
      <x:c r="D6" s="57"/>
      <x:c r="E6" s="57"/>
      <x:c r="F6" s="57"/>
      <x:c r="G6" s="57"/>
      <x:c r="H6" s="57"/>
    </x:row>
    <x:row r="7">
      <x:c r="A7" s="57"/>
      <x:c r="B7" s="57"/>
      <x:c r="C7" s="57"/>
      <x:c r="D7" s="57"/>
      <x:c r="E7" s="57"/>
      <x:c r="F7" s="57"/>
      <x:c r="G7" s="57"/>
      <x:c r="H7" s="57"/>
    </x:row>
    <x:row r="8">
      <x:c r="A8" s="58" t="str">
        <x:v>收入</x:v>
      </x:c>
      <x:c r="B8" s="58" t="str">
        <x:v>十亿元</x:v>
      </x:c>
      <x:c r="C8" s="75" t="n">
        <x:v>400.917045</x:v>
      </x:c>
      <x:c r="D8" s="75" t="n">
        <x:v>362.012554</x:v>
      </x:c>
      <x:c r="E8" s="75" t="n">
        <x:v>423.701834</x:v>
      </x:c>
      <x:c r="F8" s="75" t="n">
        <x:v>178.886253</x:v>
      </x:c>
      <x:c r="G8" s="75" t="n">
        <x:v>276.91658</x:v>
      </x:c>
      <x:c r="H8" s="57"/>
    </x:row>
    <x:row r="9">
      <x:c r="A9" s="76" t="str">
        <x:v>收入增长</x:v>
      </x:c>
      <x:c r="B9" s="76" t="str">
        <x:v>%</x:v>
      </x:c>
      <x:c r="C9" s="77"/>
      <x:c r="D9" s="77" t="n">
        <x:f>D8/C8-1</x:f>
        <x:v>-0.09703875523675964</x:v>
      </x:c>
      <x:c r="E9" s="77" t="n">
        <x:f>E8/D8-1</x:f>
        <x:v>0.17040646606968224</x:v>
      </x:c>
      <x:c r="F9" s="77"/>
      <x:c r="G9" s="77" t="n">
        <x:f>G8/F8-1</x:f>
        <x:v>0.5480036914854491</x:v>
      </x:c>
      <x:c r="H9" s="57"/>
    </x:row>
    <x:row r="10">
      <x:c r="A10" s="58" t="str">
        <x:v>营业成本</x:v>
      </x:c>
      <x:c r="B10" s="58" t="str">
        <x:v>十亿元</x:v>
      </x:c>
      <x:c r="C10" s="75"/>
      <x:c r="D10" s="75" t="n">
        <x:v>273.518959</x:v>
      </x:c>
      <x:c r="E10" s="75" t="n">
        <x:v>312.383297</x:v>
      </x:c>
      <x:c r="F10" s="75" t="n">
        <x:v>134.123603</x:v>
      </x:c>
      <x:c r="G10" s="75" t="n">
        <x:v>210.65489</x:v>
      </x:c>
      <x:c r="H10" s="57"/>
    </x:row>
    <x:row r="11">
      <x:c r="A11" s="58" t="str">
        <x:v>毛利</x:v>
      </x:c>
      <x:c r="B11" s="58" t="str">
        <x:v>十亿元</x:v>
      </x:c>
      <x:c r="C11" s="75"/>
      <x:c r="D11" s="75" t="n">
        <x:f>D8-D10</x:f>
        <x:v>88.49359500000003</x:v>
      </x:c>
      <x:c r="E11" s="75" t="n">
        <x:f>E8-E10</x:f>
        <x:v>111.31853699999999</x:v>
      </x:c>
      <x:c r="F11" s="75" t="n">
        <x:f>F8-F10</x:f>
        <x:v>44.76265000000001</x:v>
      </x:c>
      <x:c r="G11" s="75" t="n">
        <x:f>G8-G10</x:f>
        <x:v>66.26169000000002</x:v>
      </x:c>
      <x:c r="H11" s="57"/>
    </x:row>
    <x:row r="12">
      <x:c r="A12" s="76" t="str">
        <x:v>毛利率</x:v>
      </x:c>
      <x:c r="B12" s="76" t="str">
        <x:v>%</x:v>
      </x:c>
      <x:c r="C12" s="77"/>
      <x:c r="D12" s="77" t="n">
        <x:f>D11/D8</x:f>
        <x:v>0.24444896736923666</x:v>
      </x:c>
      <x:c r="E12" s="77" t="n">
        <x:f>E11/E8</x:f>
        <x:v>0.2627284757044502</x:v>
      </x:c>
      <x:c r="F12" s="77" t="n">
        <x:f>F11/F8</x:f>
        <x:v>0.25022968086876973</x:v>
      </x:c>
      <x:c r="G12" s="77" t="n">
        <x:f>G11/G8</x:f>
        <x:v>0.2392839388670769</x:v>
      </x:c>
      <x:c r="H12" s="57"/>
    </x:row>
    <x:row r="13">
      <x:c r="A13" s="58" t="str">
        <x:v>归母净利润</x:v>
      </x:c>
      <x:c r="B13" s="58" t="str">
        <x:v>十亿元</x:v>
      </x:c>
      <x:c r="C13" s="75" t="n">
        <x:v>44.121248</x:v>
      </x:c>
      <x:c r="D13" s="75" t="n">
        <x:v>50.744682</x:v>
      </x:c>
      <x:c r="E13" s="75" t="n">
        <x:v>72.201282</x:v>
      </x:c>
      <x:c r="F13" s="75" t="n">
        <x:v>30.485139</x:v>
      </x:c>
      <x:c r="G13" s="75" t="n">
        <x:v>43.284002</x:v>
      </x:c>
      <x:c r="H13" s="57"/>
    </x:row>
    <x:row r="14">
      <x:c r="A14" s="76" t="str">
        <x:v>归母净利率</x:v>
      </x:c>
      <x:c r="B14" s="76" t="str">
        <x:v>%</x:v>
      </x:c>
      <x:c r="C14" s="77" t="n">
        <x:f>C13/C8</x:f>
        <x:v>0.11005081612332049</x:v>
      </x:c>
      <x:c r="D14" s="77" t="n">
        <x:f>D13/D8</x:f>
        <x:v>0.14017381839194448</x:v>
      </x:c>
      <x:c r="E14" s="77" t="n">
        <x:f>E13/E8</x:f>
        <x:v>0.1704058755620114</x:v>
      </x:c>
      <x:c r="F14" s="77" t="n">
        <x:f>F13/F8</x:f>
        <x:v>0.17041633154449268</x:v>
      </x:c>
      <x:c r="G14" s="77" t="n">
        <x:f>G13/G8</x:f>
        <x:v>0.15630700769163045</x:v>
      </x:c>
      <x:c r="H14" s="57"/>
    </x:row>
    <x:row r="15">
      <x:c r="A15" s="58" t="str">
        <x:v>扣非归母净利润</x:v>
      </x:c>
      <x:c r="B15" s="58" t="str">
        <x:v>十亿元</x:v>
      </x:c>
      <x:c r="C15" s="75" t="n">
        <x:v>40.091674</x:v>
      </x:c>
      <x:c r="D15" s="75" t="n">
        <x:v>44.992919</x:v>
      </x:c>
      <x:c r="E15" s="75" t="n">
        <x:v>64.507864</x:v>
      </x:c>
      <x:c r="F15" s="75" t="n">
        <x:v>27.197468</x:v>
      </x:c>
      <x:c r="G15" s="75" t="n">
        <x:v>39.0133</x:v>
      </x:c>
      <x:c r="H15" s="57"/>
    </x:row>
    <x:row r="16">
      <x:c r="A16" s="76" t="str">
        <x:v>扣非/归母</x:v>
      </x:c>
      <x:c r="B16" s="76" t="str">
        <x:v>%</x:v>
      </x:c>
      <x:c r="C16" s="77" t="n">
        <x:f>C15/C13</x:f>
        <x:v>0.9086704437734852</x:v>
      </x:c>
      <x:c r="D16" s="77" t="n">
        <x:f>D15/D13</x:f>
        <x:v>0.8866528910359514</x:v>
      </x:c>
      <x:c r="E16" s="77" t="n">
        <x:f>E15/E13</x:f>
        <x:v>0.8934448560068503</x:v>
      </x:c>
      <x:c r="F16" s="77" t="n">
        <x:f>F15/F13</x:f>
        <x:v>0.8921549611435263</x:v>
      </x:c>
      <x:c r="G16" s="77" t="n">
        <x:f>G15/G13</x:f>
        <x:v>0.9013330144472316</x:v>
      </x:c>
      <x:c r="H16" s="57"/>
    </x:row>
    <x:row r="17">
      <x:c r="A17" s="58" t="str">
        <x:v>经营现金流</x:v>
      </x:c>
      <x:c r="B17" s="58" t="str">
        <x:v>十亿元</x:v>
      </x:c>
      <x:c r="C17" s="75" t="n">
        <x:v>92.826124</x:v>
      </x:c>
      <x:c r="D17" s="75" t="n">
        <x:v>96.990345</x:v>
      </x:c>
      <x:c r="E17" s="75" t="n">
        <x:v>133.219982</x:v>
      </x:c>
      <x:c r="F17" s="75" t="n">
        <x:v>58.687066</x:v>
      </x:c>
      <x:c r="G17" s="75" t="n">
        <x:v>60.216851</x:v>
      </x:c>
      <x:c r="H17" s="57"/>
    </x:row>
    <x:row r="18">
      <x:c r="A18" s="76" t="str">
        <x:v>经营现金流/归母</x:v>
      </x:c>
      <x:c r="B18" s="76" t="str">
        <x:v>%</x:v>
      </x:c>
      <x:c r="C18" s="77" t="n">
        <x:f>C17/C13</x:f>
        <x:v>2.1038870885973124</x:v>
      </x:c>
      <x:c r="D18" s="77" t="n">
        <x:f>D17/D13</x:f>
        <x:v>1.9113400887998473</x:v>
      </x:c>
      <x:c r="E18" s="77" t="n">
        <x:f>E17/E13</x:f>
        <x:v>1.8451193428947699</x:v>
      </x:c>
      <x:c r="F18" s="77" t="n">
        <x:f>F17/F13</x:f>
        <x:v>1.9251040974423637</x:v>
      </x:c>
      <x:c r="G18" s="77" t="n">
        <x:f>G17/G13</x:f>
        <x:v>1.3912034058218554</x:v>
      </x:c>
      <x:c r="H18" s="57"/>
    </x:row>
    <x:row r="19">
      <x:c r="A19" s="58" t="str">
        <x:v>资本开支</x:v>
      </x:c>
      <x:c r="B19" s="58" t="str">
        <x:v>十亿元</x:v>
      </x:c>
      <x:c r="C19" s="75"/>
      <x:c r="D19" s="75" t="n">
        <x:v>31.179943</x:v>
      </x:c>
      <x:c r="E19" s="75" t="n">
        <x:v>42.344558</x:v>
      </x:c>
      <x:c r="F19" s="75" t="n">
        <x:v>20.212919</x:v>
      </x:c>
      <x:c r="G19" s="75" t="n">
        <x:v>25.072772</x:v>
      </x:c>
      <x:c r="H19" s="57"/>
    </x:row>
    <x:row r="20">
      <x:c r="A20" s="58" t="str">
        <x:v>简化自由现金流</x:v>
      </x:c>
      <x:c r="B20" s="58" t="str">
        <x:v>十亿元</x:v>
      </x:c>
      <x:c r="C20" s="75"/>
      <x:c r="D20" s="75" t="n">
        <x:f>D17-D19</x:f>
        <x:v>65.81040200000001</x:v>
      </x:c>
      <x:c r="E20" s="75" t="n">
        <x:f>E17-E19</x:f>
        <x:v>90.87542399999998</x:v>
      </x:c>
      <x:c r="F20" s="75" t="n">
        <x:f>F17-F19</x:f>
        <x:v>38.474147</x:v>
      </x:c>
      <x:c r="G20" s="75" t="n">
        <x:f>G17-G19</x:f>
        <x:v>35.144079</x:v>
      </x:c>
      <x:c r="H20" s="57"/>
    </x:row>
    <x:row r="21">
      <x:c r="A21" s="58" t="str">
        <x:v>研发费用</x:v>
      </x:c>
      <x:c r="B21" s="58" t="str">
        <x:v>十亿元</x:v>
      </x:c>
      <x:c r="C21" s="75"/>
      <x:c r="D21" s="75" t="n">
        <x:v>18.606756</x:v>
      </x:c>
      <x:c r="E21" s="75" t="n">
        <x:v>22.146581</x:v>
      </x:c>
      <x:c r="F21" s="75" t="n">
        <x:v>10.094566</x:v>
      </x:c>
      <x:c r="G21" s="75" t="n">
        <x:v>11.376545</x:v>
      </x:c>
      <x:c r="H21" s="57"/>
    </x:row>
    <x:row r="22">
      <x:c r="A22" s="76" t="str">
        <x:v>研发费用率</x:v>
      </x:c>
      <x:c r="B22" s="76" t="str">
        <x:v>%</x:v>
      </x:c>
      <x:c r="C22" s="77"/>
      <x:c r="D22" s="77" t="n">
        <x:f>D21/D8</x:f>
        <x:v>0.05139809598978714</x:v>
      </x:c>
      <x:c r="E22" s="77" t="n">
        <x:f>E21/E8</x:f>
        <x:v>0.052269259235729434</x:v>
      </x:c>
      <x:c r="F22" s="77" t="n">
        <x:f>F21/F8</x:f>
        <x:v>0.05643008241667402</x:v>
      </x:c>
      <x:c r="G22" s="77" t="n">
        <x:f>G21/G8</x:f>
        <x:v>0.04108293190678579</x:v>
      </x:c>
      <x:c r="H22" s="57"/>
    </x:row>
    <x:row r="23">
      <x:c r="A23" s="58" t="str">
        <x:v>基本每股收益</x:v>
      </x:c>
      <x:c r="B23" s="58" t="str">
        <x:v>元</x:v>
      </x:c>
      <x:c r="C23" s="75" t="n">
        <x:v>10.06</x:v>
      </x:c>
      <x:c r="D23" s="75" t="n">
        <x:v>11.58</x:v>
      </x:c>
      <x:c r="E23" s="75" t="n">
        <x:v>16.14</x:v>
      </x:c>
      <x:c r="F23" s="75" t="n">
        <x:v>6.92</x:v>
      </x:c>
      <x:c r="G23" s="75" t="n">
        <x:v>9.51</x:v>
      </x:c>
      <x:c r="H23" s="57"/>
    </x:row>
    <x:row r="24">
      <x:c r="A24" s="76" t="str">
        <x:v>加权平均 ROE</x:v>
      </x:c>
      <x:c r="B24" s="76" t="str">
        <x:v>%</x:v>
      </x:c>
      <x:c r="C24" s="77" t="n">
        <x:v>0.2404</x:v>
      </x:c>
      <x:c r="D24" s="77" t="n">
        <x:v>0.2413</x:v>
      </x:c>
      <x:c r="E24" s="77" t="n">
        <x:v>0.2491</x:v>
      </x:c>
      <x:c r="F24" s="77" t="n">
        <x:v>0.1163</x:v>
      </x:c>
      <x:c r="G24" s="77" t="n">
        <x:v>0.1208</x:v>
      </x:c>
      <x:c r="H24" s="57"/>
    </x:row>
    <x:row r="25">
      <x:c r="A25" s="57"/>
      <x:c r="B25" s="57"/>
      <x:c r="C25" s="57"/>
      <x:c r="D25" s="57"/>
      <x:c r="E25" s="57"/>
      <x:c r="F25" s="57"/>
      <x:c r="G25" s="57"/>
      <x:c r="H25" s="57"/>
    </x:row>
    <x:row r="26">
      <x:c r="A26" s="57"/>
      <x:c r="B26" s="57"/>
      <x:c r="C26" s="57"/>
      <x:c r="D26" s="57"/>
      <x:c r="E26" s="57"/>
      <x:c r="F26" s="57"/>
      <x:c r="G26" s="57"/>
      <x:c r="H26" s="57"/>
    </x:row>
    <x:row r="27">
      <x:c r="A27" s="31" t="str">
        <x:v>滚动十二个月</x:v>
      </x:c>
      <x:c r="B27" s="31"/>
      <x:c r="C27" s="31"/>
      <x:c r="D27" s="31"/>
      <x:c r="E27" s="31"/>
      <x:c r="F27" s="31"/>
      <x:c r="G27" s="31"/>
      <x:c r="H27" s="57"/>
    </x:row>
    <x:row r="28">
      <x:c r="A28" s="57"/>
      <x:c r="B28" s="57"/>
      <x:c r="C28" s="57"/>
      <x:c r="D28" s="57"/>
      <x:c r="E28" s="57"/>
      <x:c r="F28" s="57"/>
      <x:c r="G28" s="57"/>
      <x:c r="H28" s="57"/>
    </x:row>
    <x:row r="29">
      <x:c r="A29" s="15" t="str">
        <x:v>指标</x:v>
      </x:c>
      <x:c r="B29" s="15" t="str">
        <x:v>公式</x:v>
      </x:c>
      <x:c r="C29" s="15" t="str">
        <x:v>结果</x:v>
      </x:c>
      <x:c r="D29" s="57"/>
      <x:c r="E29" s="57"/>
      <x:c r="F29" s="57"/>
      <x:c r="G29" s="57"/>
      <x:c r="H29" s="57"/>
    </x:row>
    <x:row r="30">
      <x:c r="A30" s="58" t="str">
        <x:v>滚动归母净利润</x:v>
      </x:c>
      <x:c r="B30" s="58" t="str">
        <x:v>2025-2025H1+2026H1</x:v>
      </x:c>
      <x:c r="C30" s="78" t="n">
        <x:f>E13-F13+G13</x:f>
        <x:v>85.000145</x:v>
      </x:c>
      <x:c r="D30" s="57"/>
      <x:c r="E30" s="57"/>
      <x:c r="F30" s="57"/>
      <x:c r="G30" s="57"/>
      <x:c r="H30" s="57"/>
    </x:row>
    <x:row r="31">
      <x:c r="A31" s="58" t="str">
        <x:v>滚动扣非归母净利润</x:v>
      </x:c>
      <x:c r="B31" s="58" t="str">
        <x:v>2025-2025H1+2026H1</x:v>
      </x:c>
      <x:c r="C31" s="78" t="n">
        <x:f>E15-F15+G15</x:f>
        <x:v>76.323696</x:v>
      </x:c>
      <x:c r="D31" s="57"/>
      <x:c r="E31" s="57"/>
      <x:c r="F31" s="57"/>
      <x:c r="G31" s="57"/>
      <x:c r="H31" s="57"/>
    </x:row>
    <x:row r="32">
      <x:c r="A32" s="58" t="str">
        <x:v>滚动收入</x:v>
      </x:c>
      <x:c r="B32" s="58" t="str">
        <x:v>2025-2025H1+2026H1</x:v>
      </x:c>
      <x:c r="C32" s="78" t="n">
        <x:f>E8-F8+G8</x:f>
        <x:v>521.732161</x:v>
      </x:c>
      <x:c r="D32" s="57"/>
      <x:c r="E32" s="57"/>
      <x:c r="F32" s="57"/>
      <x:c r="G32" s="57"/>
      <x:c r="H32" s="57"/>
    </x:row>
    <x:row r="33">
      <x:c r="A33" s="57"/>
      <x:c r="B33" s="57"/>
      <x:c r="C33" s="57"/>
      <x:c r="D33" s="57"/>
      <x:c r="E33" s="57"/>
      <x:c r="F33" s="57"/>
      <x:c r="G33" s="57"/>
      <x:c r="H33" s="57"/>
    </x:row>
    <x:row r="34">
      <x:c r="A34" s="57"/>
      <x:c r="B34" s="57"/>
      <x:c r="C34" s="57"/>
      <x:c r="D34" s="57"/>
      <x:c r="E34" s="57"/>
      <x:c r="F34" s="57"/>
      <x:c r="G34" s="57"/>
      <x:c r="H34" s="57"/>
    </x:row>
    <x:row r="35">
      <x:c r="A35" s="57"/>
      <x:c r="B35" s="57"/>
      <x:c r="C35" s="57"/>
      <x:c r="D35" s="57"/>
      <x:c r="E35" s="57"/>
      <x:c r="F35" s="57"/>
      <x:c r="G35" s="57"/>
      <x:c r="H35" s="57"/>
    </x:row>
    <x:row r="36">
      <x:c r="A36" s="57"/>
      <x:c r="B36" s="57"/>
      <x:c r="C36" s="57"/>
      <x:c r="D36" s="57"/>
      <x:c r="E36" s="57"/>
      <x:c r="F36" s="57"/>
      <x:c r="G36" s="57"/>
      <x:c r="H36" s="57"/>
    </x:row>
    <x:row r="37">
      <x:c r="A37" s="57"/>
      <x:c r="B37" s="57"/>
      <x:c r="C37" s="57"/>
      <x:c r="D37" s="57"/>
      <x:c r="E37" s="57"/>
      <x:c r="F37" s="57"/>
      <x:c r="G37" s="57"/>
      <x:c r="H37" s="57"/>
    </x:row>
    <x:row r="38">
      <x:c r="A38" s="57"/>
      <x:c r="B38" s="57"/>
      <x:c r="C38" s="57"/>
      <x:c r="D38" s="57"/>
      <x:c r="E38" s="57"/>
      <x:c r="F38" s="57"/>
      <x:c r="G38" s="57"/>
      <x:c r="H38" s="57"/>
    </x:row>
    <x:row r="39">
      <x:c r="A39" s="57"/>
      <x:c r="B39" s="57"/>
      <x:c r="C39" s="57"/>
      <x:c r="D39" s="57"/>
      <x:c r="E39" s="57"/>
      <x:c r="F39" s="57"/>
      <x:c r="G39" s="57"/>
      <x:c r="H39" s="57"/>
    </x:row>
    <x:row r="40">
      <x:c r="A40" s="57"/>
      <x:c r="B40" s="57"/>
      <x:c r="C40" s="57"/>
      <x:c r="D40" s="57"/>
      <x:c r="E40" s="57"/>
      <x:c r="F40" s="57"/>
      <x:c r="G40" s="57"/>
      <x:c r="H40" s="57"/>
    </x:row>
    <x:row r="41">
      <x:c r="A41" s="57"/>
      <x:c r="B41" s="57"/>
      <x:c r="C41" s="57"/>
      <x:c r="D41" s="57"/>
      <x:c r="E41" s="57"/>
      <x:c r="F41" s="57"/>
      <x:c r="G41" s="57"/>
      <x:c r="H41" s="57"/>
    </x:row>
    <x:row r="42">
      <x:c r="A42" s="57"/>
      <x:c r="B42" s="57"/>
      <x:c r="C42" s="57"/>
      <x:c r="D42" s="57"/>
      <x:c r="E42" s="57"/>
      <x:c r="F42" s="57"/>
      <x:c r="G42" s="57"/>
      <x:c r="H42" s="57"/>
    </x:row>
    <x:row r="43">
      <x:c r="A43" s="57"/>
      <x:c r="B43" s="57"/>
      <x:c r="C43" s="57"/>
      <x:c r="D43" s="57"/>
      <x:c r="E43" s="57"/>
      <x:c r="F43" s="57"/>
      <x:c r="G43" s="57"/>
      <x:c r="H43" s="57"/>
    </x:row>
    <x:row r="44">
      <x:c r="A44" s="57"/>
      <x:c r="B44" s="57"/>
      <x:c r="C44" s="57"/>
      <x:c r="D44" s="57"/>
      <x:c r="E44" s="57"/>
      <x:c r="F44" s="57"/>
      <x:c r="G44" s="57"/>
      <x:c r="H44" s="57"/>
    </x:row>
    <x:row r="45">
      <x:c r="A45" s="57"/>
      <x:c r="B45" s="57"/>
      <x:c r="C45" s="57"/>
      <x:c r="D45" s="57"/>
      <x:c r="E45" s="57"/>
      <x:c r="F45" s="57"/>
      <x:c r="G45" s="57"/>
      <x:c r="H45" s="57"/>
    </x:row>
    <x:row r="46">
      <x:c r="A46" s="57"/>
      <x:c r="B46" s="57"/>
      <x:c r="C46" s="57"/>
      <x:c r="D46" s="57"/>
      <x:c r="E46" s="57"/>
      <x:c r="F46" s="57"/>
      <x:c r="G46" s="57"/>
      <x:c r="H46" s="57"/>
    </x:row>
    <x:row r="47">
      <x:c r="A47" s="57"/>
      <x:c r="B47" s="57"/>
      <x:c r="C47" s="57"/>
      <x:c r="D47" s="57"/>
      <x:c r="E47" s="57"/>
      <x:c r="F47" s="57"/>
      <x:c r="G47" s="57"/>
      <x:c r="H47" s="57"/>
    </x:row>
    <x:row r="48">
      <x:c r="A48" s="57"/>
      <x:c r="B48" s="57"/>
      <x:c r="C48" s="57"/>
      <x:c r="D48" s="57"/>
      <x:c r="E48" s="57"/>
      <x:c r="F48" s="57"/>
      <x:c r="G48" s="57"/>
      <x:c r="H48" s="57"/>
    </x:row>
    <x:row r="49">
      <x:c r="A49" s="57"/>
      <x:c r="B49" s="57"/>
      <x:c r="C49" s="57"/>
      <x:c r="D49" s="57"/>
      <x:c r="E49" s="57"/>
      <x:c r="F49" s="57"/>
      <x:c r="G49" s="57"/>
      <x:c r="H49" s="57"/>
    </x:row>
    <x:row r="50">
      <x:c r="A50" s="57"/>
      <x:c r="B50" s="57"/>
      <x:c r="C50" s="57"/>
      <x:c r="D50" s="57"/>
      <x:c r="E50" s="57"/>
      <x:c r="F50" s="57"/>
      <x:c r="G50" s="57"/>
      <x:c r="H50" s="57"/>
    </x:row>
    <x:row r="51">
      <x:c r="A51" s="57"/>
      <x:c r="B51" s="57"/>
      <x:c r="C51" s="57"/>
      <x:c r="D51" s="57"/>
      <x:c r="E51" s="57"/>
      <x:c r="F51" s="57"/>
      <x:c r="G51" s="57"/>
      <x:c r="H51" s="57"/>
    </x:row>
    <x:row r="52">
      <x:c r="A52" s="57"/>
      <x:c r="B52" s="57"/>
      <x:c r="C52" s="57"/>
      <x:c r="D52" s="57"/>
      <x:c r="E52" s="57"/>
      <x:c r="F52" s="57"/>
      <x:c r="G52" s="57"/>
      <x:c r="H52" s="57"/>
    </x:row>
    <x:row r="53">
      <x:c r="A53" s="57"/>
      <x:c r="B53" s="57"/>
      <x:c r="C53" s="57"/>
      <x:c r="D53" s="57"/>
      <x:c r="E53" s="57"/>
      <x:c r="F53" s="57"/>
      <x:c r="G53" s="57"/>
      <x:c r="H53" s="57"/>
    </x:row>
    <x:row r="54">
      <x:c r="A54" s="57"/>
      <x:c r="B54" s="57"/>
      <x:c r="C54" s="57"/>
      <x:c r="D54" s="57"/>
      <x:c r="E54" s="57"/>
      <x:c r="F54" s="57"/>
      <x:c r="G54" s="57"/>
      <x:c r="H54" s="57"/>
    </x:row>
    <x:row r="55">
      <x:c r="A55" s="57"/>
      <x:c r="B55" s="57"/>
      <x:c r="C55" s="57"/>
      <x:c r="D55" s="57"/>
      <x:c r="E55" s="57"/>
      <x:c r="F55" s="57"/>
      <x:c r="G55" s="57"/>
      <x:c r="H55" s="57"/>
    </x:row>
    <x:row r="56">
      <x:c r="A56" s="57"/>
      <x:c r="B56" s="57"/>
      <x:c r="C56" s="57"/>
      <x:c r="D56" s="57"/>
      <x:c r="E56" s="57"/>
      <x:c r="F56" s="57"/>
      <x:c r="G56" s="57"/>
      <x:c r="H56" s="57"/>
    </x:row>
    <x:row r="57">
      <x:c r="A57" s="57"/>
      <x:c r="B57" s="57"/>
      <x:c r="C57" s="57"/>
      <x:c r="D57" s="57"/>
      <x:c r="E57" s="57"/>
      <x:c r="F57" s="57"/>
      <x:c r="G57" s="57"/>
      <x:c r="H57" s="57"/>
    </x:row>
    <x:row r="58">
      <x:c r="A58" s="57"/>
      <x:c r="B58" s="57"/>
      <x:c r="C58" s="57"/>
      <x:c r="D58" s="57"/>
      <x:c r="E58" s="57"/>
      <x:c r="F58" s="57"/>
      <x:c r="G58" s="57"/>
      <x:c r="H58" s="57"/>
    </x:row>
    <x:row r="59">
      <x:c r="A59" s="57"/>
      <x:c r="B59" s="57"/>
      <x:c r="C59" s="57"/>
      <x:c r="D59" s="57"/>
      <x:c r="E59" s="57"/>
      <x:c r="F59" s="57"/>
      <x:c r="G59" s="57"/>
      <x:c r="H59" s="57"/>
    </x:row>
    <x:row r="60">
      <x:c r="A60" s="57"/>
      <x:c r="B60" s="57"/>
      <x:c r="C60" s="57"/>
      <x:c r="D60" s="57"/>
      <x:c r="E60" s="57"/>
      <x:c r="F60" s="57"/>
      <x:c r="G60" s="57"/>
      <x:c r="H60" s="57"/>
    </x:row>
    <x:row r="61">
      <x:c r="A61" s="57"/>
      <x:c r="B61" s="57"/>
      <x:c r="C61" s="57"/>
      <x:c r="D61" s="57"/>
      <x:c r="E61" s="57"/>
      <x:c r="F61" s="57"/>
      <x:c r="G61" s="57"/>
      <x:c r="H61" s="57"/>
    </x:row>
    <x:row r="62">
      <x:c r="A62" s="57"/>
      <x:c r="B62" s="57"/>
      <x:c r="C62" s="57"/>
      <x:c r="D62" s="57"/>
      <x:c r="E62" s="57"/>
      <x:c r="F62" s="57"/>
      <x:c r="G62" s="57"/>
      <x:c r="H62" s="57"/>
    </x:row>
    <x:row r="63">
      <x:c r="A63" s="57"/>
      <x:c r="B63" s="57"/>
      <x:c r="C63" s="57"/>
      <x:c r="D63" s="57"/>
      <x:c r="E63" s="57"/>
      <x:c r="F63" s="57"/>
      <x:c r="G63" s="57"/>
      <x:c r="H63" s="57"/>
    </x:row>
    <x:row r="64">
      <x:c r="A64" s="57"/>
      <x:c r="B64" s="57"/>
      <x:c r="C64" s="57"/>
      <x:c r="D64" s="57"/>
      <x:c r="E64" s="57"/>
      <x:c r="F64" s="57"/>
      <x:c r="G64" s="57"/>
      <x:c r="H64" s="57"/>
    </x:row>
    <x:row r="65">
      <x:c r="A65" s="57"/>
      <x:c r="B65" s="57"/>
      <x:c r="C65" s="57"/>
      <x:c r="D65" s="57"/>
      <x:c r="E65" s="57"/>
      <x:c r="F65" s="57"/>
      <x:c r="G65" s="57"/>
      <x:c r="H65" s="57"/>
    </x:row>
    <x:row r="66">
      <x:c r="A66" s="57"/>
      <x:c r="B66" s="57"/>
      <x:c r="C66" s="57"/>
      <x:c r="D66" s="57"/>
      <x:c r="E66" s="57"/>
      <x:c r="F66" s="57"/>
      <x:c r="G66" s="57"/>
      <x:c r="H66" s="57"/>
    </x:row>
    <x:row r="67">
      <x:c r="A67" s="57"/>
      <x:c r="B67" s="57"/>
      <x:c r="C67" s="57"/>
      <x:c r="D67" s="57"/>
      <x:c r="E67" s="57"/>
      <x:c r="F67" s="57"/>
      <x:c r="G67" s="57"/>
      <x:c r="H67" s="57"/>
    </x:row>
    <x:row r="68">
      <x:c r="A68" s="57"/>
      <x:c r="B68" s="57"/>
      <x:c r="C68" s="57"/>
      <x:c r="D68" s="57"/>
      <x:c r="E68" s="57"/>
      <x:c r="F68" s="57"/>
      <x:c r="G68" s="57"/>
      <x:c r="H68" s="57"/>
    </x:row>
    <x:row r="69">
      <x:c r="A69" s="57"/>
      <x:c r="B69" s="57"/>
      <x:c r="C69" s="57"/>
      <x:c r="D69" s="57"/>
      <x:c r="E69" s="57"/>
      <x:c r="F69" s="57"/>
      <x:c r="G69" s="57"/>
      <x:c r="H69" s="57"/>
    </x:row>
    <x:row r="70">
      <x:c r="A70" s="57"/>
      <x:c r="B70" s="57"/>
      <x:c r="C70" s="57"/>
      <x:c r="D70" s="57"/>
      <x:c r="E70" s="57"/>
      <x:c r="F70" s="57"/>
      <x:c r="G70" s="57"/>
      <x:c r="H70" s="57"/>
    </x:row>
    <x:row r="71">
      <x:c r="A71" s="57"/>
      <x:c r="B71" s="57"/>
      <x:c r="C71" s="57"/>
      <x:c r="D71" s="57"/>
      <x:c r="E71" s="57"/>
      <x:c r="F71" s="57"/>
      <x:c r="G71" s="57"/>
      <x:c r="H71" s="57"/>
    </x:row>
    <x:row r="72">
      <x:c r="A72" s="57"/>
      <x:c r="B72" s="57"/>
      <x:c r="C72" s="57"/>
      <x:c r="D72" s="57"/>
      <x:c r="E72" s="57"/>
      <x:c r="F72" s="57"/>
      <x:c r="G72" s="57"/>
      <x:c r="H72" s="57"/>
    </x:row>
    <x:row r="73">
      <x:c r="A73" s="57"/>
      <x:c r="B73" s="57"/>
      <x:c r="C73" s="57"/>
      <x:c r="D73" s="57"/>
      <x:c r="E73" s="57"/>
      <x:c r="F73" s="57"/>
      <x:c r="G73" s="57"/>
      <x:c r="H73" s="57"/>
    </x:row>
    <x:row r="74">
      <x:c r="A74" s="57"/>
      <x:c r="B74" s="57"/>
      <x:c r="C74" s="57"/>
      <x:c r="D74" s="57"/>
      <x:c r="E74" s="57"/>
      <x:c r="F74" s="57"/>
      <x:c r="G74" s="57"/>
      <x:c r="H74" s="57"/>
    </x:row>
    <x:row r="75">
      <x:c r="A75" s="57"/>
      <x:c r="B75" s="57"/>
      <x:c r="C75" s="57"/>
      <x:c r="D75" s="57"/>
      <x:c r="E75" s="57"/>
      <x:c r="F75" s="57"/>
      <x:c r="G75" s="57"/>
      <x:c r="H75" s="57"/>
    </x:row>
    <x:row r="76">
      <x:c r="A76" s="57"/>
      <x:c r="B76" s="57"/>
      <x:c r="C76" s="57"/>
      <x:c r="D76" s="57"/>
      <x:c r="E76" s="57"/>
      <x:c r="F76" s="57"/>
      <x:c r="G76" s="57"/>
      <x:c r="H76" s="57"/>
    </x:row>
    <x:row r="77">
      <x:c r="A77" s="57"/>
      <x:c r="B77" s="57"/>
      <x:c r="C77" s="57"/>
      <x:c r="D77" s="57"/>
      <x:c r="E77" s="57"/>
      <x:c r="F77" s="57"/>
      <x:c r="G77" s="57"/>
      <x:c r="H77" s="57"/>
    </x:row>
    <x:row r="78">
      <x:c r="A78" s="57"/>
      <x:c r="B78" s="57"/>
      <x:c r="C78" s="57"/>
      <x:c r="D78" s="57"/>
      <x:c r="E78" s="57"/>
      <x:c r="F78" s="57"/>
      <x:c r="G78" s="57"/>
      <x:c r="H78" s="57"/>
    </x:row>
    <x:row r="79">
      <x:c r="A79" s="57"/>
      <x:c r="B79" s="57"/>
      <x:c r="C79" s="57"/>
      <x:c r="D79" s="57"/>
      <x:c r="E79" s="57"/>
      <x:c r="F79" s="57"/>
      <x:c r="G79" s="57"/>
      <x:c r="H79" s="57"/>
    </x:row>
    <x:row r="80">
      <x:c r="A80" s="57"/>
      <x:c r="B80" s="57"/>
      <x:c r="C80" s="57"/>
      <x:c r="D80" s="57"/>
      <x:c r="E80" s="57"/>
      <x:c r="F80" s="57"/>
      <x:c r="G80" s="57"/>
      <x:c r="H80" s="57"/>
    </x:row>
  </x:sheetData>
  <x:mergeCells>
    <x:mergeCell ref="A1:H2"/>
    <x:mergeCell ref="A3:H3"/>
    <x:mergeCell ref="A27:G27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Pr>
    <x:tabColor rgb="FF2A7F8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28" hidden="0" customWidth="1"/>
    <x:col min="5" max="5" width="17" hidden="0" customWidth="1"/>
    <x:col min="6" max="6" width="17" hidden="0" customWidth="1"/>
    <x:col min="7" max="7" width="17" hidden="0" customWidth="1"/>
    <x:col min="8" max="8" width="3" hidden="0" customWidth="1"/>
  </x:cols>
  <x:sheetData>
    <x:row r="1">
      <x:c r="A1" s="4" t="str">
        <x:v>业务与产能</x:v>
      </x:c>
      <x:c r="B1" s="4"/>
      <x:c r="C1" s="4"/>
      <x:c r="D1" s="4"/>
      <x:c r="E1" s="4"/>
      <x:c r="F1" s="4"/>
      <x:c r="G1" s="4"/>
      <x:c r="H1" s="4"/>
    </x:row>
    <x:row r="2">
      <x:c r="A2" s="4"/>
      <x:c r="B2" s="4"/>
      <x:c r="C2" s="4"/>
      <x:c r="D2" s="4"/>
      <x:c r="E2" s="4"/>
      <x:c r="F2" s="4"/>
      <x:c r="G2" s="4"/>
      <x:c r="H2" s="4"/>
    </x:row>
    <x:row r="3">
      <x:c r="A3" s="6" t="str">
        <x:v>产品、地区、产能与市场份额；金额为人民币十亿元</x:v>
      </x:c>
      <x:c r="B3" s="6"/>
      <x:c r="C3" s="6"/>
      <x:c r="D3" s="6"/>
      <x:c r="E3" s="6"/>
      <x:c r="F3" s="6"/>
      <x:c r="G3" s="6"/>
      <x:c r="H3" s="6"/>
    </x:row>
    <x:row r="4">
      <x:c r="A4" s="57"/>
      <x:c r="B4" s="57"/>
      <x:c r="C4" s="57"/>
      <x:c r="D4" s="57"/>
      <x:c r="E4" s="57"/>
      <x:c r="F4" s="57"/>
      <x:c r="G4" s="57"/>
      <x:c r="H4" s="57"/>
    </x:row>
    <x:row r="5">
      <x:c r="A5" s="31" t="str">
        <x:v>产品收入与毛利率</x:v>
      </x:c>
      <x:c r="B5" s="31"/>
      <x:c r="C5" s="31"/>
      <x:c r="D5" s="31"/>
      <x:c r="E5" s="31"/>
      <x:c r="F5" s="31"/>
      <x:c r="G5" s="31"/>
      <x:c r="H5" s="31"/>
    </x:row>
    <x:row r="6">
      <x:c r="A6" s="57"/>
      <x:c r="B6" s="57"/>
      <x:c r="C6" s="57"/>
      <x:c r="D6" s="57"/>
      <x:c r="E6" s="57"/>
      <x:c r="F6" s="57"/>
      <x:c r="G6" s="57"/>
      <x:c r="H6" s="57"/>
    </x:row>
    <x:row r="7">
      <x:c r="A7" s="15" t="str">
        <x:v>产品</x:v>
      </x:c>
      <x:c r="B7" s="15" t="str">
        <x:v>2025 收入</x:v>
      </x:c>
      <x:c r="C7" s="15" t="str">
        <x:v>2025 占比</x:v>
      </x:c>
      <x:c r="D7" s="15" t="str">
        <x:v>2025 毛利率</x:v>
      </x:c>
      <x:c r="E7" s="15" t="str">
        <x:v>2026H1 收入</x:v>
      </x:c>
      <x:c r="F7" s="15" t="str">
        <x:v>2026H1 占比</x:v>
      </x:c>
      <x:c r="G7" s="15" t="str">
        <x:v>2026H1 毛利率</x:v>
      </x:c>
      <x:c r="H7" s="57"/>
    </x:row>
    <x:row r="8">
      <x:c r="A8" s="58" t="str">
        <x:v>动力电池系统</x:v>
      </x:c>
      <x:c r="B8" s="78" t="n">
        <x:v>316.506369</x:v>
      </x:c>
      <x:c r="C8" s="79" t="n">
        <x:f>B8/B12</x:f>
        <x:v>0.7470025938098726</x:v>
      </x:c>
      <x:c r="D8" s="79" t="n">
        <x:v>0.2384</x:v>
      </x:c>
      <x:c r="E8" s="78" t="n">
        <x:v>192.12489</x:v>
      </x:c>
      <x:c r="F8" s="79" t="n">
        <x:f>E8/E12</x:f>
        <x:v>0.6938006023330202</x:v>
      </x:c>
      <x:c r="G8" s="79" t="n">
        <x:v>0.2063</x:v>
      </x:c>
      <x:c r="H8" s="57"/>
    </x:row>
    <x:row r="9">
      <x:c r="A9" s="58" t="str">
        <x:v>储能电池系统</x:v>
      </x:c>
      <x:c r="B9" s="78" t="n">
        <x:v>62.43982</x:v>
      </x:c>
      <x:c r="C9" s="79" t="n">
        <x:f>B9/B12</x:f>
        <x:v>0.147367358339072</x:v>
      </x:c>
      <x:c r="D9" s="79" t="n">
        <x:v>0.2671</x:v>
      </x:c>
      <x:c r="E9" s="78" t="n">
        <x:v>53.260967</x:v>
      </x:c>
      <x:c r="F9" s="79" t="n">
        <x:f>E9/E12</x:f>
        <x:v>0.1923357821333775</x:v>
      </x:c>
      <x:c r="G9" s="79" t="n">
        <x:v>0.2396</x:v>
      </x:c>
      <x:c r="H9" s="57"/>
    </x:row>
    <x:row r="10">
      <x:c r="A10" s="58" t="str">
        <x:v>材料、回收与矿产</x:v>
      </x:c>
      <x:c r="B10" s="78" t="n">
        <x:v>27.839032</x:v>
      </x:c>
      <x:c r="C10" s="79" t="n">
        <x:f>B10/B12</x:f>
        <x:v>0.06570429902835871</x:v>
      </x:c>
      <x:c r="D10" s="79" t="n">
        <x:v>0.2381</x:v>
      </x:c>
      <x:c r="E10" s="78" t="n">
        <x:v>18.811078</x:v>
      </x:c>
      <x:c r="F10" s="79" t="n">
        <x:f>E10/E12</x:f>
        <x:v>0.06793048650246944</x:v>
      </x:c>
      <x:c r="G10" s="79" t="n">
        <x:v>0.2704</x:v>
      </x:c>
      <x:c r="H10" s="57"/>
    </x:row>
    <x:row r="11">
      <x:c r="A11" s="58" t="str">
        <x:v>其他</x:v>
      </x:c>
      <x:c r="B11" s="78" t="n">
        <x:v>16.916613</x:v>
      </x:c>
      <x:c r="C11" s="79" t="n">
        <x:f>B11/B12</x:f>
        <x:v>0.039925748822696866</x:v>
      </x:c>
      <x:c r="D11" s="79"/>
      <x:c r="E11" s="78" t="n">
        <x:v>12.719645</x:v>
      </x:c>
      <x:c r="F11" s="79" t="n">
        <x:f>E11/E12</x:f>
        <x:v>0.045933129031132766</x:v>
      </x:c>
      <x:c r="G11" s="79"/>
      <x:c r="H11" s="57"/>
    </x:row>
    <x:row r="12">
      <x:c r="A12" s="80" t="str">
        <x:v>合计</x:v>
      </x:c>
      <x:c r="B12" s="81" t="n">
        <x:f>SUM(B8:B11)</x:f>
        <x:v>423.70183399999996</x:v>
      </x:c>
      <x:c r="C12" s="82" t="n">
        <x:f>SUM(C8:C11)</x:f>
        <x:v>1.0000000000000002</x:v>
      </x:c>
      <x:c r="D12" s="82"/>
      <x:c r="E12" s="81" t="n">
        <x:f>SUM(E8:E11)</x:f>
        <x:v>276.91658</x:v>
      </x:c>
      <x:c r="F12" s="82" t="n">
        <x:f>SUM(F8:F11)</x:f>
        <x:v>0.9999999999999999</x:v>
      </x:c>
      <x:c r="G12" s="82"/>
      <x:c r="H12" s="57"/>
    </x:row>
    <x:row r="13">
      <x:c r="A13" s="57"/>
      <x:c r="B13" s="57"/>
      <x:c r="C13" s="57"/>
      <x:c r="D13" s="57"/>
      <x:c r="E13" s="57"/>
      <x:c r="F13" s="57"/>
      <x:c r="G13" s="57"/>
      <x:c r="H13" s="57"/>
    </x:row>
    <x:row r="14">
      <x:c r="A14" s="57"/>
      <x:c r="B14" s="57"/>
      <x:c r="C14" s="57"/>
      <x:c r="D14" s="57"/>
      <x:c r="E14" s="57"/>
      <x:c r="F14" s="57"/>
      <x:c r="G14" s="57"/>
      <x:c r="H14" s="57"/>
    </x:row>
    <x:row r="15">
      <x:c r="A15" s="31" t="str">
        <x:v>地区收入与毛利率</x:v>
      </x:c>
      <x:c r="B15" s="31"/>
      <x:c r="C15" s="31"/>
      <x:c r="D15" s="31"/>
      <x:c r="E15" s="31"/>
      <x:c r="F15" s="31"/>
      <x:c r="G15" s="31"/>
      <x:c r="H15" s="31"/>
    </x:row>
    <x:row r="16">
      <x:c r="A16" s="57"/>
      <x:c r="B16" s="57"/>
      <x:c r="C16" s="57"/>
      <x:c r="D16" s="57"/>
      <x:c r="E16" s="57"/>
      <x:c r="F16" s="57"/>
      <x:c r="G16" s="57"/>
      <x:c r="H16" s="57"/>
    </x:row>
    <x:row r="17">
      <x:c r="A17" s="15" t="str">
        <x:v>地区</x:v>
      </x:c>
      <x:c r="B17" s="15" t="str">
        <x:v>2025 收入</x:v>
      </x:c>
      <x:c r="C17" s="15" t="str">
        <x:v>2025 占比</x:v>
      </x:c>
      <x:c r="D17" s="15" t="str">
        <x:v>2026H1 收入</x:v>
      </x:c>
      <x:c r="E17" s="15" t="str">
        <x:v>2026H1 占比</x:v>
      </x:c>
      <x:c r="F17" s="15" t="str">
        <x:v>2026H1 毛利率</x:v>
      </x:c>
      <x:c r="G17" s="57"/>
      <x:c r="H17" s="57"/>
    </x:row>
    <x:row r="18">
      <x:c r="A18" s="58" t="str">
        <x:v>境内</x:v>
      </x:c>
      <x:c r="B18" s="78" t="n">
        <x:v>294.060576</x:v>
      </x:c>
      <x:c r="C18" s="79" t="n">
        <x:f>B18/B20</x:f>
        <x:v>0.6940271492900831</x:v>
      </x:c>
      <x:c r="D18" s="78" t="n">
        <x:v>189.787392</x:v>
      </x:c>
      <x:c r="E18" s="79" t="n">
        <x:f>D18/D20</x:f>
        <x:v>0.6853594392939564</x:v>
      </x:c>
      <x:c r="F18" s="79" t="n">
        <x:v>0.2116</x:v>
      </x:c>
      <x:c r="G18" s="57"/>
      <x:c r="H18" s="57"/>
    </x:row>
    <x:row r="19">
      <x:c r="A19" s="58" t="str">
        <x:v>境外</x:v>
      </x:c>
      <x:c r="B19" s="78" t="n">
        <x:v>129.641258</x:v>
      </x:c>
      <x:c r="C19" s="79" t="n">
        <x:f>B19/B20</x:f>
        <x:v>0.30597285070991687</x:v>
      </x:c>
      <x:c r="D19" s="78" t="n">
        <x:v>87.129188</x:v>
      </x:c>
      <x:c r="E19" s="79" t="n">
        <x:f>D19/D20</x:f>
        <x:v>0.3146405607060437</x:v>
      </x:c>
      <x:c r="F19" s="79" t="n">
        <x:v>0.2997</x:v>
      </x:c>
      <x:c r="G19" s="57"/>
      <x:c r="H19" s="57"/>
    </x:row>
    <x:row r="20">
      <x:c r="A20" s="58" t="str">
        <x:v>合计</x:v>
      </x:c>
      <x:c r="B20" s="78" t="n">
        <x:f>SUM(B18:B19)</x:f>
        <x:v>423.701834</x:v>
      </x:c>
      <x:c r="C20" s="79" t="n">
        <x:f>SUM(C18:C19)</x:f>
        <x:v>1</x:v>
      </x:c>
      <x:c r="D20" s="78" t="n">
        <x:f>SUM(D18:D19)</x:f>
        <x:v>276.91658</x:v>
      </x:c>
      <x:c r="E20" s="79" t="n">
        <x:f>SUM(E18:E19)</x:f>
        <x:v>1</x:v>
      </x:c>
      <x:c r="F20" s="79"/>
      <x:c r="G20" s="57"/>
      <x:c r="H20" s="57"/>
    </x:row>
    <x:row r="21">
      <x:c r="A21" s="57"/>
      <x:c r="B21" s="57"/>
      <x:c r="C21" s="57"/>
      <x:c r="D21" s="57"/>
      <x:c r="E21" s="57"/>
      <x:c r="F21" s="57"/>
      <x:c r="G21" s="57"/>
      <x:c r="H21" s="57"/>
    </x:row>
    <x:row r="22">
      <x:c r="A22" s="57"/>
      <x:c r="B22" s="57"/>
      <x:c r="C22" s="57"/>
      <x:c r="D22" s="57"/>
      <x:c r="E22" s="57"/>
      <x:c r="F22" s="57"/>
      <x:c r="G22" s="57"/>
      <x:c r="H22" s="57"/>
    </x:row>
    <x:row r="23">
      <x:c r="A23" s="31" t="str">
        <x:v>产能与份额</x:v>
      </x:c>
      <x:c r="B23" s="31"/>
      <x:c r="C23" s="31"/>
      <x:c r="D23" s="31"/>
      <x:c r="E23" s="31"/>
      <x:c r="F23" s="31"/>
      <x:c r="G23" s="31"/>
      <x:c r="H23" s="31"/>
    </x:row>
    <x:row r="24">
      <x:c r="A24" s="57"/>
      <x:c r="B24" s="57"/>
      <x:c r="C24" s="57"/>
      <x:c r="D24" s="57"/>
      <x:c r="E24" s="57"/>
      <x:c r="F24" s="57"/>
      <x:c r="G24" s="57"/>
      <x:c r="H24" s="57"/>
    </x:row>
    <x:row r="25">
      <x:c r="A25" s="15" t="str">
        <x:v>指标</x:v>
      </x:c>
      <x:c r="B25" s="15" t="str">
        <x:v>2025</x:v>
      </x:c>
      <x:c r="C25" s="15" t="str">
        <x:v>2026H1</x:v>
      </x:c>
      <x:c r="D25" s="15" t="str">
        <x:v>说明</x:v>
      </x:c>
      <x:c r="E25" s="57"/>
      <x:c r="F25" s="57"/>
      <x:c r="G25" s="57"/>
      <x:c r="H25" s="57"/>
    </x:row>
    <x:row r="26">
      <x:c r="A26" s="58" t="str">
        <x:v>电池系统产能（GWh）</x:v>
      </x:c>
      <x:c r="B26" s="58" t="n">
        <x:v>772</x:v>
      </x:c>
      <x:c r="C26" s="58" t="n">
        <x:v>525</x:v>
      </x:c>
      <x:c r="D26" s="58" t="str">
        <x:v>披露期间不同，不直接同比</x:v>
      </x:c>
      <x:c r="E26" s="57"/>
      <x:c r="F26" s="57"/>
      <x:c r="G26" s="57"/>
      <x:c r="H26" s="57"/>
    </x:row>
    <x:row r="27">
      <x:c r="A27" s="58" t="str">
        <x:v>在建产能（GWh）</x:v>
      </x:c>
      <x:c r="B27" s="58" t="n">
        <x:v>321</x:v>
      </x:c>
      <x:c r="C27" s="58" t="n">
        <x:v>764</x:v>
      </x:c>
      <x:c r="D27" s="58" t="str">
        <x:v>海外与国内项目并行</x:v>
      </x:c>
      <x:c r="E27" s="57"/>
      <x:c r="F27" s="57"/>
      <x:c r="G27" s="57"/>
      <x:c r="H27" s="57"/>
    </x:row>
    <x:row r="28">
      <x:c r="A28" s="58" t="str">
        <x:v>产能利用率</x:v>
      </x:c>
      <x:c r="B28" s="79" t="n">
        <x:v>0.969</x:v>
      </x:c>
      <x:c r="C28" s="79" t="n">
        <x:v>0.9486</x:v>
      </x:c>
      <x:c r="D28" s="58" t="str">
        <x:v>高位运行</x:v>
      </x:c>
      <x:c r="E28" s="57"/>
      <x:c r="F28" s="57"/>
      <x:c r="G28" s="57"/>
      <x:c r="H28" s="57"/>
    </x:row>
    <x:row r="29">
      <x:c r="A29" s="58" t="str">
        <x:v>产量（GWh）</x:v>
      </x:c>
      <x:c r="B29" s="58" t="n">
        <x:v>748</x:v>
      </x:c>
      <x:c r="C29" s="58" t="n">
        <x:v>498</x:v>
      </x:c>
      <x:c r="D29" s="58" t="str">
        <x:v>期间产量</x:v>
      </x:c>
      <x:c r="E29" s="57"/>
      <x:c r="F29" s="57"/>
      <x:c r="G29" s="57"/>
      <x:c r="H29" s="57"/>
    </x:row>
    <x:row r="30">
      <x:c r="A30" s="58" t="str">
        <x:v>全球动力电池份额</x:v>
      </x:c>
      <x:c r="B30" s="79" t="n">
        <x:v>0.392</x:v>
      </x:c>
      <x:c r="C30" s="79" t="n">
        <x:v>0.402</x:v>
      </x:c>
      <x:c r="D30" s="58" t="str">
        <x:v>2026 为 1—5 月</x:v>
      </x:c>
      <x:c r="E30" s="57"/>
      <x:c r="F30" s="57"/>
      <x:c r="G30" s="57"/>
      <x:c r="H30" s="57"/>
    </x:row>
    <x:row r="31">
      <x:c r="A31" s="58" t="str">
        <x:v>海外动力电池份额</x:v>
      </x:c>
      <x:c r="B31" s="79"/>
      <x:c r="C31" s="79" t="n">
        <x:v>0.337</x:v>
      </x:c>
      <x:c r="D31" s="58" t="str">
        <x:v>2026 为 1—5 月</x:v>
      </x:c>
      <x:c r="E31" s="57"/>
      <x:c r="F31" s="57"/>
      <x:c r="G31" s="57"/>
      <x:c r="H31" s="57"/>
    </x:row>
    <x:row r="32">
      <x:c r="A32" s="58" t="str">
        <x:v>国内乘用车装车份额</x:v>
      </x:c>
      <x:c r="B32" s="79"/>
      <x:c r="C32" s="79" t="n">
        <x:v>0.467</x:v>
      </x:c>
      <x:c r="D32" s="58" t="str">
        <x:v>2026 为 1—6 月</x:v>
      </x:c>
      <x:c r="E32" s="57"/>
      <x:c r="F32" s="57"/>
      <x:c r="G32" s="57"/>
      <x:c r="H32" s="57"/>
    </x:row>
    <x:row r="33">
      <x:c r="A33" s="57"/>
      <x:c r="B33" s="57"/>
      <x:c r="C33" s="57"/>
      <x:c r="D33" s="57"/>
      <x:c r="E33" s="57"/>
      <x:c r="F33" s="57"/>
      <x:c r="G33" s="57"/>
      <x:c r="H33" s="57"/>
    </x:row>
    <x:row r="34">
      <x:c r="A34" s="57"/>
      <x:c r="B34" s="57"/>
      <x:c r="C34" s="57"/>
      <x:c r="D34" s="57"/>
      <x:c r="E34" s="57"/>
      <x:c r="F34" s="57"/>
      <x:c r="G34" s="57"/>
      <x:c r="H34" s="57"/>
    </x:row>
    <x:row r="35">
      <x:c r="A35" s="57"/>
      <x:c r="B35" s="57"/>
      <x:c r="C35" s="57"/>
      <x:c r="D35" s="57"/>
      <x:c r="E35" s="57"/>
      <x:c r="F35" s="57"/>
      <x:c r="G35" s="57"/>
      <x:c r="H35" s="57"/>
    </x:row>
    <x:row r="36">
      <x:c r="A36" s="57"/>
      <x:c r="B36" s="57"/>
      <x:c r="C36" s="57"/>
      <x:c r="D36" s="57"/>
      <x:c r="E36" s="57"/>
      <x:c r="F36" s="57"/>
      <x:c r="G36" s="57"/>
      <x:c r="H36" s="57"/>
    </x:row>
    <x:row r="37">
      <x:c r="A37" s="57"/>
      <x:c r="B37" s="57"/>
      <x:c r="C37" s="57"/>
      <x:c r="D37" s="57"/>
      <x:c r="E37" s="57"/>
      <x:c r="F37" s="57"/>
      <x:c r="G37" s="57"/>
      <x:c r="H37" s="57"/>
    </x:row>
    <x:row r="38">
      <x:c r="A38" s="57"/>
      <x:c r="B38" s="57"/>
      <x:c r="C38" s="57"/>
      <x:c r="D38" s="57"/>
      <x:c r="E38" s="57"/>
      <x:c r="F38" s="57"/>
      <x:c r="G38" s="57"/>
      <x:c r="H38" s="57"/>
    </x:row>
    <x:row r="39">
      <x:c r="A39" s="57"/>
      <x:c r="B39" s="57"/>
      <x:c r="C39" s="57"/>
      <x:c r="D39" s="57"/>
      <x:c r="E39" s="57"/>
      <x:c r="F39" s="57"/>
      <x:c r="G39" s="57"/>
      <x:c r="H39" s="57"/>
    </x:row>
    <x:row r="40">
      <x:c r="A40" s="57"/>
      <x:c r="B40" s="57"/>
      <x:c r="C40" s="57"/>
      <x:c r="D40" s="57"/>
      <x:c r="E40" s="57"/>
      <x:c r="F40" s="57"/>
      <x:c r="G40" s="57"/>
      <x:c r="H40" s="57"/>
    </x:row>
    <x:row r="41">
      <x:c r="A41" s="57"/>
      <x:c r="B41" s="57"/>
      <x:c r="C41" s="57"/>
      <x:c r="D41" s="57"/>
      <x:c r="E41" s="57"/>
      <x:c r="F41" s="57"/>
      <x:c r="G41" s="57"/>
      <x:c r="H41" s="57"/>
    </x:row>
    <x:row r="42">
      <x:c r="A42" s="57"/>
      <x:c r="B42" s="57"/>
      <x:c r="C42" s="57"/>
      <x:c r="D42" s="57"/>
      <x:c r="E42" s="57"/>
      <x:c r="F42" s="57"/>
      <x:c r="G42" s="57"/>
      <x:c r="H42" s="57"/>
    </x:row>
    <x:row r="43">
      <x:c r="A43" s="57"/>
      <x:c r="B43" s="57"/>
      <x:c r="C43" s="57"/>
      <x:c r="D43" s="57"/>
      <x:c r="E43" s="57"/>
      <x:c r="F43" s="57"/>
      <x:c r="G43" s="57"/>
      <x:c r="H43" s="57"/>
    </x:row>
    <x:row r="44">
      <x:c r="A44" s="57"/>
      <x:c r="B44" s="57"/>
      <x:c r="C44" s="57"/>
      <x:c r="D44" s="57"/>
      <x:c r="E44" s="57"/>
      <x:c r="F44" s="57"/>
      <x:c r="G44" s="57"/>
      <x:c r="H44" s="57"/>
    </x:row>
    <x:row r="45">
      <x:c r="A45" s="57"/>
      <x:c r="B45" s="57"/>
      <x:c r="C45" s="57"/>
      <x:c r="D45" s="57"/>
      <x:c r="E45" s="57"/>
      <x:c r="F45" s="57"/>
      <x:c r="G45" s="57"/>
      <x:c r="H45" s="57"/>
    </x:row>
    <x:row r="46">
      <x:c r="A46" s="57"/>
      <x:c r="B46" s="57"/>
      <x:c r="C46" s="57"/>
      <x:c r="D46" s="57"/>
      <x:c r="E46" s="57"/>
      <x:c r="F46" s="57"/>
      <x:c r="G46" s="57"/>
      <x:c r="H46" s="57"/>
    </x:row>
    <x:row r="47">
      <x:c r="A47" s="57"/>
      <x:c r="B47" s="57"/>
      <x:c r="C47" s="57"/>
      <x:c r="D47" s="57"/>
      <x:c r="E47" s="57"/>
      <x:c r="F47" s="57"/>
      <x:c r="G47" s="57"/>
      <x:c r="H47" s="57"/>
    </x:row>
    <x:row r="48">
      <x:c r="A48" s="57"/>
      <x:c r="B48" s="57"/>
      <x:c r="C48" s="57"/>
      <x:c r="D48" s="57"/>
      <x:c r="E48" s="57"/>
      <x:c r="F48" s="57"/>
      <x:c r="G48" s="57"/>
      <x:c r="H48" s="57"/>
    </x:row>
    <x:row r="49">
      <x:c r="A49" s="57"/>
      <x:c r="B49" s="57"/>
      <x:c r="C49" s="57"/>
      <x:c r="D49" s="57"/>
      <x:c r="E49" s="57"/>
      <x:c r="F49" s="57"/>
      <x:c r="G49" s="57"/>
      <x:c r="H49" s="57"/>
    </x:row>
    <x:row r="50">
      <x:c r="A50" s="57"/>
      <x:c r="B50" s="57"/>
      <x:c r="C50" s="57"/>
      <x:c r="D50" s="57"/>
      <x:c r="E50" s="57"/>
      <x:c r="F50" s="57"/>
      <x:c r="G50" s="57"/>
      <x:c r="H50" s="57"/>
    </x:row>
    <x:row r="51">
      <x:c r="A51" s="57"/>
      <x:c r="B51" s="57"/>
      <x:c r="C51" s="57"/>
      <x:c r="D51" s="57"/>
      <x:c r="E51" s="57"/>
      <x:c r="F51" s="57"/>
      <x:c r="G51" s="57"/>
      <x:c r="H51" s="57"/>
    </x:row>
    <x:row r="52">
      <x:c r="A52" s="57"/>
      <x:c r="B52" s="57"/>
      <x:c r="C52" s="57"/>
      <x:c r="D52" s="57"/>
      <x:c r="E52" s="57"/>
      <x:c r="F52" s="57"/>
      <x:c r="G52" s="57"/>
      <x:c r="H52" s="57"/>
    </x:row>
    <x:row r="53">
      <x:c r="A53" s="57"/>
      <x:c r="B53" s="57"/>
      <x:c r="C53" s="57"/>
      <x:c r="D53" s="57"/>
      <x:c r="E53" s="57"/>
      <x:c r="F53" s="57"/>
      <x:c r="G53" s="57"/>
      <x:c r="H53" s="57"/>
    </x:row>
    <x:row r="54">
      <x:c r="A54" s="57"/>
      <x:c r="B54" s="57"/>
      <x:c r="C54" s="57"/>
      <x:c r="D54" s="57"/>
      <x:c r="E54" s="57"/>
      <x:c r="F54" s="57"/>
      <x:c r="G54" s="57"/>
      <x:c r="H54" s="57"/>
    </x:row>
    <x:row r="55">
      <x:c r="A55" s="57"/>
      <x:c r="B55" s="57"/>
      <x:c r="C55" s="57"/>
      <x:c r="D55" s="57"/>
      <x:c r="E55" s="57"/>
      <x:c r="F55" s="57"/>
      <x:c r="G55" s="57"/>
      <x:c r="H55" s="57"/>
    </x:row>
    <x:row r="56">
      <x:c r="A56" s="57"/>
      <x:c r="B56" s="57"/>
      <x:c r="C56" s="57"/>
      <x:c r="D56" s="57"/>
      <x:c r="E56" s="57"/>
      <x:c r="F56" s="57"/>
      <x:c r="G56" s="57"/>
      <x:c r="H56" s="57"/>
    </x:row>
    <x:row r="57">
      <x:c r="A57" s="57"/>
      <x:c r="B57" s="57"/>
      <x:c r="C57" s="57"/>
      <x:c r="D57" s="57"/>
      <x:c r="E57" s="57"/>
      <x:c r="F57" s="57"/>
      <x:c r="G57" s="57"/>
      <x:c r="H57" s="57"/>
    </x:row>
    <x:row r="58">
      <x:c r="A58" s="57"/>
      <x:c r="B58" s="57"/>
      <x:c r="C58" s="57"/>
      <x:c r="D58" s="57"/>
      <x:c r="E58" s="57"/>
      <x:c r="F58" s="57"/>
      <x:c r="G58" s="57"/>
      <x:c r="H58" s="57"/>
    </x:row>
    <x:row r="59">
      <x:c r="A59" s="57"/>
      <x:c r="B59" s="57"/>
      <x:c r="C59" s="57"/>
      <x:c r="D59" s="57"/>
      <x:c r="E59" s="57"/>
      <x:c r="F59" s="57"/>
      <x:c r="G59" s="57"/>
      <x:c r="H59" s="57"/>
    </x:row>
    <x:row r="60">
      <x:c r="A60" s="57"/>
      <x:c r="B60" s="57"/>
      <x:c r="C60" s="57"/>
      <x:c r="D60" s="57"/>
      <x:c r="E60" s="57"/>
      <x:c r="F60" s="57"/>
      <x:c r="G60" s="57"/>
      <x:c r="H60" s="57"/>
    </x:row>
    <x:row r="61">
      <x:c r="A61" s="57"/>
      <x:c r="B61" s="57"/>
      <x:c r="C61" s="57"/>
      <x:c r="D61" s="57"/>
      <x:c r="E61" s="57"/>
      <x:c r="F61" s="57"/>
      <x:c r="G61" s="57"/>
      <x:c r="H61" s="57"/>
    </x:row>
    <x:row r="62">
      <x:c r="A62" s="57"/>
      <x:c r="B62" s="57"/>
      <x:c r="C62" s="57"/>
      <x:c r="D62" s="57"/>
      <x:c r="E62" s="57"/>
      <x:c r="F62" s="57"/>
      <x:c r="G62" s="57"/>
      <x:c r="H62" s="57"/>
    </x:row>
    <x:row r="63">
      <x:c r="A63" s="57"/>
      <x:c r="B63" s="57"/>
      <x:c r="C63" s="57"/>
      <x:c r="D63" s="57"/>
      <x:c r="E63" s="57"/>
      <x:c r="F63" s="57"/>
      <x:c r="G63" s="57"/>
      <x:c r="H63" s="57"/>
    </x:row>
    <x:row r="64">
      <x:c r="A64" s="57"/>
      <x:c r="B64" s="57"/>
      <x:c r="C64" s="57"/>
      <x:c r="D64" s="57"/>
      <x:c r="E64" s="57"/>
      <x:c r="F64" s="57"/>
      <x:c r="G64" s="57"/>
      <x:c r="H64" s="57"/>
    </x:row>
    <x:row r="65">
      <x:c r="A65" s="57"/>
      <x:c r="B65" s="57"/>
      <x:c r="C65" s="57"/>
      <x:c r="D65" s="57"/>
      <x:c r="E65" s="57"/>
      <x:c r="F65" s="57"/>
      <x:c r="G65" s="57"/>
      <x:c r="H65" s="57"/>
    </x:row>
    <x:row r="66">
      <x:c r="A66" s="57"/>
      <x:c r="B66" s="57"/>
      <x:c r="C66" s="57"/>
      <x:c r="D66" s="57"/>
      <x:c r="E66" s="57"/>
      <x:c r="F66" s="57"/>
      <x:c r="G66" s="57"/>
      <x:c r="H66" s="57"/>
    </x:row>
    <x:row r="67">
      <x:c r="A67" s="57"/>
      <x:c r="B67" s="57"/>
      <x:c r="C67" s="57"/>
      <x:c r="D67" s="57"/>
      <x:c r="E67" s="57"/>
      <x:c r="F67" s="57"/>
      <x:c r="G67" s="57"/>
      <x:c r="H67" s="57"/>
    </x:row>
    <x:row r="68">
      <x:c r="A68" s="57"/>
      <x:c r="B68" s="57"/>
      <x:c r="C68" s="57"/>
      <x:c r="D68" s="57"/>
      <x:c r="E68" s="57"/>
      <x:c r="F68" s="57"/>
      <x:c r="G68" s="57"/>
      <x:c r="H68" s="57"/>
    </x:row>
    <x:row r="69">
      <x:c r="A69" s="57"/>
      <x:c r="B69" s="57"/>
      <x:c r="C69" s="57"/>
      <x:c r="D69" s="57"/>
      <x:c r="E69" s="57"/>
      <x:c r="F69" s="57"/>
      <x:c r="G69" s="57"/>
      <x:c r="H69" s="57"/>
    </x:row>
    <x:row r="70">
      <x:c r="A70" s="57"/>
      <x:c r="B70" s="57"/>
      <x:c r="C70" s="57"/>
      <x:c r="D70" s="57"/>
      <x:c r="E70" s="57"/>
      <x:c r="F70" s="57"/>
      <x:c r="G70" s="57"/>
      <x:c r="H70" s="57"/>
    </x:row>
    <x:row r="71">
      <x:c r="A71" s="57"/>
      <x:c r="B71" s="57"/>
      <x:c r="C71" s="57"/>
      <x:c r="D71" s="57"/>
      <x:c r="E71" s="57"/>
      <x:c r="F71" s="57"/>
      <x:c r="G71" s="57"/>
      <x:c r="H71" s="57"/>
    </x:row>
    <x:row r="72">
      <x:c r="A72" s="57"/>
      <x:c r="B72" s="57"/>
      <x:c r="C72" s="57"/>
      <x:c r="D72" s="57"/>
      <x:c r="E72" s="57"/>
      <x:c r="F72" s="57"/>
      <x:c r="G72" s="57"/>
      <x:c r="H72" s="57"/>
    </x:row>
    <x:row r="73">
      <x:c r="A73" s="57"/>
      <x:c r="B73" s="57"/>
      <x:c r="C73" s="57"/>
      <x:c r="D73" s="57"/>
      <x:c r="E73" s="57"/>
      <x:c r="F73" s="57"/>
      <x:c r="G73" s="57"/>
      <x:c r="H73" s="57"/>
    </x:row>
    <x:row r="74">
      <x:c r="A74" s="57"/>
      <x:c r="B74" s="57"/>
      <x:c r="C74" s="57"/>
      <x:c r="D74" s="57"/>
      <x:c r="E74" s="57"/>
      <x:c r="F74" s="57"/>
      <x:c r="G74" s="57"/>
      <x:c r="H74" s="57"/>
    </x:row>
    <x:row r="75">
      <x:c r="A75" s="57"/>
      <x:c r="B75" s="57"/>
      <x:c r="C75" s="57"/>
      <x:c r="D75" s="57"/>
      <x:c r="E75" s="57"/>
      <x:c r="F75" s="57"/>
      <x:c r="G75" s="57"/>
      <x:c r="H75" s="57"/>
    </x:row>
    <x:row r="76">
      <x:c r="A76" s="57"/>
      <x:c r="B76" s="57"/>
      <x:c r="C76" s="57"/>
      <x:c r="D76" s="57"/>
      <x:c r="E76" s="57"/>
      <x:c r="F76" s="57"/>
      <x:c r="G76" s="57"/>
      <x:c r="H76" s="57"/>
    </x:row>
    <x:row r="77">
      <x:c r="A77" s="57"/>
      <x:c r="B77" s="57"/>
      <x:c r="C77" s="57"/>
      <x:c r="D77" s="57"/>
      <x:c r="E77" s="57"/>
      <x:c r="F77" s="57"/>
      <x:c r="G77" s="57"/>
      <x:c r="H77" s="57"/>
    </x:row>
    <x:row r="78">
      <x:c r="A78" s="57"/>
      <x:c r="B78" s="57"/>
      <x:c r="C78" s="57"/>
      <x:c r="D78" s="57"/>
      <x:c r="E78" s="57"/>
      <x:c r="F78" s="57"/>
      <x:c r="G78" s="57"/>
      <x:c r="H78" s="57"/>
    </x:row>
    <x:row r="79">
      <x:c r="A79" s="57"/>
      <x:c r="B79" s="57"/>
      <x:c r="C79" s="57"/>
      <x:c r="D79" s="57"/>
      <x:c r="E79" s="57"/>
      <x:c r="F79" s="57"/>
      <x:c r="G79" s="57"/>
      <x:c r="H79" s="57"/>
    </x:row>
    <x:row r="80">
      <x:c r="A80" s="57"/>
      <x:c r="B80" s="57"/>
      <x:c r="C80" s="57"/>
      <x:c r="D80" s="57"/>
      <x:c r="E80" s="57"/>
      <x:c r="F80" s="57"/>
      <x:c r="G80" s="57"/>
      <x:c r="H80" s="57"/>
    </x:row>
  </x:sheetData>
  <x:mergeCells>
    <x:mergeCell ref="A1:H2"/>
    <x:mergeCell ref="A3:H3"/>
    <x:mergeCell ref="A5:H5"/>
    <x:mergeCell ref="A15:H15"/>
    <x:mergeCell ref="A23:H23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Pr>
    <x:tabColor rgb="FF2A7F8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9" hidden="0" customWidth="1"/>
    <x:col min="2" max="2" width="19" hidden="0" customWidth="1"/>
    <x:col min="3" max="3" width="19" hidden="0" customWidth="1"/>
    <x:col min="4" max="4" width="23" hidden="0" customWidth="1"/>
    <x:col min="5" max="5" width="19" hidden="0" customWidth="1"/>
    <x:col min="6" max="6" width="19" hidden="0" customWidth="1"/>
    <x:col min="7" max="7" width="3" hidden="0" customWidth="1"/>
  </x:cols>
  <x:sheetData>
    <x:row r="1">
      <x:c r="A1" s="4" t="str">
        <x:v>资产负债表与现金</x:v>
      </x:c>
      <x:c r="B1" s="4"/>
      <x:c r="C1" s="4"/>
      <x:c r="D1" s="4"/>
      <x:c r="E1" s="4"/>
      <x:c r="F1" s="4"/>
      <x:c r="G1" s="4"/>
    </x:row>
    <x:row r="2">
      <x:c r="A2" s="4"/>
      <x:c r="B2" s="4"/>
      <x:c r="C2" s="4"/>
      <x:c r="D2" s="4"/>
      <x:c r="E2" s="4"/>
      <x:c r="F2" s="4"/>
      <x:c r="G2" s="4"/>
    </x:row>
    <x:row r="3">
      <x:c r="A3" s="6" t="str">
        <x:v>人民币十亿元；研究口径净现金不含长期投资，也未扣经营性预计负债</x:v>
      </x:c>
      <x:c r="B3" s="6"/>
      <x:c r="C3" s="6"/>
      <x:c r="D3" s="6"/>
      <x:c r="E3" s="6"/>
      <x:c r="F3" s="6"/>
      <x:c r="G3" s="6"/>
    </x:row>
    <x:row r="4">
      <x:c r="A4" s="57"/>
      <x:c r="B4" s="57"/>
      <x:c r="C4" s="57"/>
      <x:c r="D4" s="57"/>
      <x:c r="E4" s="57"/>
      <x:c r="F4" s="57"/>
      <x:c r="G4" s="57"/>
    </x:row>
    <x:row r="5">
      <x:c r="A5" s="31" t="str">
        <x:v>主要资产负债表项目</x:v>
      </x:c>
      <x:c r="B5" s="31"/>
      <x:c r="C5" s="31"/>
      <x:c r="D5" s="31"/>
      <x:c r="E5" s="31"/>
      <x:c r="F5" s="31"/>
      <x:c r="G5" s="31"/>
    </x:row>
    <x:row r="6">
      <x:c r="A6" s="57"/>
      <x:c r="B6" s="57"/>
      <x:c r="C6" s="57"/>
      <x:c r="D6" s="57"/>
      <x:c r="E6" s="57"/>
      <x:c r="F6" s="57"/>
      <x:c r="G6" s="57"/>
    </x:row>
    <x:row r="7">
      <x:c r="A7" s="15" t="str">
        <x:v>项目</x:v>
      </x:c>
      <x:c r="B7" s="15" t="str">
        <x:v>2025-12-31</x:v>
      </x:c>
      <x:c r="C7" s="15" t="str">
        <x:v>2026-06-30</x:v>
      </x:c>
      <x:c r="D7" s="15" t="str">
        <x:v>变化</x:v>
      </x:c>
      <x:c r="E7" s="57"/>
      <x:c r="F7" s="57"/>
      <x:c r="G7" s="57"/>
    </x:row>
    <x:row r="8">
      <x:c r="A8" s="58" t="str">
        <x:v>货币资金</x:v>
      </x:c>
      <x:c r="B8" s="75" t="n">
        <x:v>333.512927</x:v>
      </x:c>
      <x:c r="C8" s="75" t="n">
        <x:v>372.053275</x:v>
      </x:c>
      <x:c r="D8" s="75" t="n">
        <x:f>C8-B8</x:f>
        <x:v>38.540347999999994</x:v>
      </x:c>
      <x:c r="E8" s="57"/>
      <x:c r="F8" s="57"/>
      <x:c r="G8" s="57"/>
    </x:row>
    <x:row r="9">
      <x:c r="A9" s="58" t="str">
        <x:v>交易性金融资产</x:v>
      </x:c>
      <x:c r="B9" s="75" t="n">
        <x:v>58.993528</x:v>
      </x:c>
      <x:c r="C9" s="75" t="n">
        <x:v>68.158325</x:v>
      </x:c>
      <x:c r="D9" s="75" t="n">
        <x:f>C9-B9</x:f>
        <x:v>9.164797000000007</x:v>
      </x:c>
      <x:c r="E9" s="57"/>
      <x:c r="F9" s="57"/>
      <x:c r="G9" s="57"/>
    </x:row>
    <x:row r="10">
      <x:c r="A10" s="58" t="str">
        <x:v>应收账款</x:v>
      </x:c>
      <x:c r="B10" s="75" t="n">
        <x:v>76.403264</x:v>
      </x:c>
      <x:c r="C10" s="75" t="n">
        <x:v>88.417984</x:v>
      </x:c>
      <x:c r="D10" s="75" t="n">
        <x:f>C10-B10</x:f>
        <x:v>12.014720000000011</x:v>
      </x:c>
      <x:c r="E10" s="57"/>
      <x:c r="F10" s="57"/>
      <x:c r="G10" s="57"/>
    </x:row>
    <x:row r="11">
      <x:c r="A11" s="58" t="str">
        <x:v>应收款项融资</x:v>
      </x:c>
      <x:c r="B11" s="75" t="n">
        <x:v>43.205292</x:v>
      </x:c>
      <x:c r="C11" s="75" t="n">
        <x:v>51.923468</x:v>
      </x:c>
      <x:c r="D11" s="75" t="n">
        <x:f>C11-B11</x:f>
        <x:v>8.718176</x:v>
      </x:c>
      <x:c r="E11" s="57"/>
      <x:c r="F11" s="57"/>
      <x:c r="G11" s="57"/>
    </x:row>
    <x:row r="12">
      <x:c r="A12" s="58" t="str">
        <x:v>存货</x:v>
      </x:c>
      <x:c r="B12" s="75" t="n">
        <x:v>94.526239</x:v>
      </x:c>
      <x:c r="C12" s="75" t="n">
        <x:v>130.819205</x:v>
      </x:c>
      <x:c r="D12" s="75" t="n">
        <x:f>C12-B12</x:f>
        <x:v>36.29296600000001</x:v>
      </x:c>
      <x:c r="E12" s="57"/>
      <x:c r="F12" s="57"/>
      <x:c r="G12" s="57"/>
    </x:row>
    <x:row r="13">
      <x:c r="A13" s="58" t="str">
        <x:v>固定资产</x:v>
      </x:c>
      <x:c r="B13" s="75" t="n">
        <x:v>146.400592</x:v>
      </x:c>
      <x:c r="C13" s="75" t="n">
        <x:v>169.38182</x:v>
      </x:c>
      <x:c r="D13" s="75" t="n">
        <x:f>C13-B13</x:f>
        <x:v>22.981228000000016</x:v>
      </x:c>
      <x:c r="E13" s="57"/>
      <x:c r="F13" s="57"/>
      <x:c r="G13" s="57"/>
    </x:row>
    <x:row r="14">
      <x:c r="A14" s="58" t="str">
        <x:v>在建工程</x:v>
      </x:c>
      <x:c r="B14" s="75" t="n">
        <x:v>29.733108</x:v>
      </x:c>
      <x:c r="C14" s="75" t="n">
        <x:v>33.025296</x:v>
      </x:c>
      <x:c r="D14" s="75" t="n">
        <x:f>C14-B14</x:f>
        <x:v>3.292187999999996</x:v>
      </x:c>
      <x:c r="E14" s="57"/>
      <x:c r="F14" s="57"/>
      <x:c r="G14" s="57"/>
    </x:row>
    <x:row r="15">
      <x:c r="A15" s="58" t="str">
        <x:v>短期借款</x:v>
      </x:c>
      <x:c r="B15" s="75" t="n">
        <x:v>12.935498</x:v>
      </x:c>
      <x:c r="C15" s="75" t="n">
        <x:v>20.885906</x:v>
      </x:c>
      <x:c r="D15" s="75" t="n">
        <x:f>C15-B15</x:f>
        <x:v>7.950407999999998</x:v>
      </x:c>
      <x:c r="E15" s="57"/>
      <x:c r="F15" s="57"/>
      <x:c r="G15" s="57"/>
    </x:row>
    <x:row r="16">
      <x:c r="A16" s="58" t="str">
        <x:v>一年内到期非流动负债</x:v>
      </x:c>
      <x:c r="B16" s="75" t="n">
        <x:v>22.23754</x:v>
      </x:c>
      <x:c r="C16" s="75" t="n">
        <x:v>22.010724</x:v>
      </x:c>
      <x:c r="D16" s="75" t="n">
        <x:f>C16-B16</x:f>
        <x:v>-0.22681599999999946</x:v>
      </x:c>
      <x:c r="E16" s="57"/>
      <x:c r="F16" s="57"/>
      <x:c r="G16" s="57"/>
    </x:row>
    <x:row r="17">
      <x:c r="A17" s="58" t="str">
        <x:v>长期借款</x:v>
      </x:c>
      <x:c r="B17" s="75" t="n">
        <x:v>78.234935</x:v>
      </x:c>
      <x:c r="C17" s="75" t="n">
        <x:v>74.262746</x:v>
      </x:c>
      <x:c r="D17" s="75" t="n">
        <x:f>C17-B17</x:f>
        <x:v>-3.972188999999986</x:v>
      </x:c>
      <x:c r="E17" s="57"/>
      <x:c r="F17" s="57"/>
      <x:c r="G17" s="57"/>
    </x:row>
    <x:row r="18">
      <x:c r="A18" s="58" t="str">
        <x:v>应付债券</x:v>
      </x:c>
      <x:c r="B18" s="75" t="n">
        <x:v>3.443434</x:v>
      </x:c>
      <x:c r="C18" s="75" t="n">
        <x:v>28.512039</x:v>
      </x:c>
      <x:c r="D18" s="75" t="n">
        <x:f>C18-B18</x:f>
        <x:v>25.068605</x:v>
      </x:c>
      <x:c r="E18" s="57"/>
      <x:c r="F18" s="57"/>
      <x:c r="G18" s="57"/>
    </x:row>
    <x:row r="19">
      <x:c r="A19" s="58" t="str">
        <x:v>租赁负债</x:v>
      </x:c>
      <x:c r="B19" s="75" t="n">
        <x:v>2.805081</x:v>
      </x:c>
      <x:c r="C19" s="75" t="n">
        <x:v>3.35763</x:v>
      </x:c>
      <x:c r="D19" s="75" t="n">
        <x:f>C19-B19</x:f>
        <x:v>0.552549</x:v>
      </x:c>
      <x:c r="E19" s="57"/>
      <x:c r="F19" s="57"/>
      <x:c r="G19" s="57"/>
    </x:row>
    <x:row r="20">
      <x:c r="A20" s="58" t="str">
        <x:v>预计负债</x:v>
      </x:c>
      <x:c r="B20" s="75" t="n">
        <x:v>85.324358</x:v>
      </x:c>
      <x:c r="C20" s="75" t="n">
        <x:v>98.607243</x:v>
      </x:c>
      <x:c r="D20" s="75" t="n">
        <x:f>C20-B20</x:f>
        <x:v>13.282884999999993</x:v>
      </x:c>
      <x:c r="E20" s="57"/>
      <x:c r="F20" s="57"/>
      <x:c r="G20" s="57"/>
    </x:row>
    <x:row r="21">
      <x:c r="A21" s="58" t="str">
        <x:v>归母权益</x:v>
      </x:c>
      <x:c r="B21" s="75" t="n">
        <x:v>337.107747</x:v>
      </x:c>
      <x:c r="C21" s="75" t="n">
        <x:v>379.35371</x:v>
      </x:c>
      <x:c r="D21" s="75" t="n">
        <x:f>C21-B21</x:f>
        <x:v>42.24596299999996</x:v>
      </x:c>
      <x:c r="E21" s="57"/>
      <x:c r="F21" s="57"/>
      <x:c r="G21" s="57"/>
    </x:row>
    <x:row r="22">
      <x:c r="A22" s="80" t="str">
        <x:v>研究口径净现金</x:v>
      </x:c>
      <x:c r="B22" s="83" t="n">
        <x:f>B8+B9-SUM(B15:B19)</x:f>
        <x:v>272.849967</x:v>
      </x:c>
      <x:c r="C22" s="83" t="n">
        <x:f>C8+C9-SUM(C15:C19)</x:f>
        <x:v>291.182555</x:v>
      </x:c>
      <x:c r="D22" s="83" t="n">
        <x:f>C22-B22</x:f>
        <x:v>18.332587999999987</x:v>
      </x:c>
      <x:c r="E22" s="57"/>
      <x:c r="F22" s="57"/>
      <x:c r="G22" s="57"/>
    </x:row>
    <x:row r="23">
      <x:c r="A23" s="57"/>
      <x:c r="B23" s="57"/>
      <x:c r="C23" s="57"/>
      <x:c r="D23" s="57"/>
      <x:c r="E23" s="57"/>
      <x:c r="F23" s="57"/>
      <x:c r="G23" s="57"/>
    </x:row>
    <x:row r="24">
      <x:c r="A24" s="57"/>
      <x:c r="B24" s="57"/>
      <x:c r="C24" s="57"/>
      <x:c r="D24" s="57"/>
      <x:c r="E24" s="57"/>
      <x:c r="F24" s="57"/>
      <x:c r="G24" s="57"/>
    </x:row>
    <x:row r="25">
      <x:c r="A25" s="31" t="str">
        <x:v>2026H1 经营现金流调节</x:v>
      </x:c>
      <x:c r="B25" s="31"/>
      <x:c r="C25" s="31"/>
      <x:c r="D25" s="31" t="str">
        <x:v>2026H1 预计负债</x:v>
      </x:c>
      <x:c r="E25" s="31"/>
      <x:c r="F25" s="31"/>
      <x:c r="G25" s="31"/>
    </x:row>
    <x:row r="26">
      <x:c r="A26" s="57"/>
      <x:c r="B26" s="57"/>
      <x:c r="C26" s="57"/>
      <x:c r="D26" s="57"/>
      <x:c r="E26" s="57"/>
      <x:c r="F26" s="57"/>
      <x:c r="G26" s="57"/>
    </x:row>
    <x:row r="27">
      <x:c r="A27" s="15" t="str">
        <x:v>项目</x:v>
      </x:c>
      <x:c r="B27" s="15" t="str">
        <x:v>金额</x:v>
      </x:c>
      <x:c r="C27" s="57"/>
      <x:c r="D27" s="15" t="str">
        <x:v>项目</x:v>
      </x:c>
      <x:c r="E27" s="15" t="str">
        <x:v>2025-12-31</x:v>
      </x:c>
      <x:c r="F27" s="15" t="str">
        <x:v>2026-06-30</x:v>
      </x:c>
      <x:c r="G27" s="57"/>
    </x:row>
    <x:row r="28">
      <x:c r="A28" s="58" t="str">
        <x:v>净利润</x:v>
      </x:c>
      <x:c r="B28" s="75" t="n">
        <x:v>47.030638</x:v>
      </x:c>
      <x:c r="C28" s="57"/>
      <x:c r="D28" s="58" t="str">
        <x:v>售后综合服务费</x:v>
      </x:c>
      <x:c r="E28" s="78" t="n">
        <x:v>51.23308</x:v>
      </x:c>
      <x:c r="F28" s="78" t="n">
        <x:v>59.131359</x:v>
      </x:c>
      <x:c r="G28" s="57"/>
    </x:row>
    <x:row r="29">
      <x:c r="A29" s="58" t="str">
        <x:v>非现金及其他调整</x:v>
      </x:c>
      <x:c r="B29" s="75" t="n">
        <x:f>B34-B28-B30-B31-B32-B33</x:f>
        <x:v>12.027134999999996</x:v>
      </x:c>
      <x:c r="C29" s="57"/>
      <x:c r="D29" s="58" t="str">
        <x:v>销售返利</x:v>
      </x:c>
      <x:c r="E29" s="78" t="n">
        <x:v>33.944295</x:v>
      </x:c>
      <x:c r="F29" s="78" t="n">
        <x:v>39.327759</x:v>
      </x:c>
      <x:c r="G29" s="57"/>
    </x:row>
    <x:row r="30">
      <x:c r="A30" s="58" t="str">
        <x:v>存货增加</x:v>
      </x:c>
      <x:c r="B30" s="75" t="n">
        <x:v>-37.859085</x:v>
      </x:c>
      <x:c r="C30" s="57"/>
      <x:c r="D30" s="58" t="str">
        <x:v>弃置费用及其他</x:v>
      </x:c>
      <x:c r="E30" s="78" t="n">
        <x:v>0.146983</x:v>
      </x:c>
      <x:c r="F30" s="78" t="n">
        <x:v>0.148125</x:v>
      </x:c>
      <x:c r="G30" s="57"/>
    </x:row>
    <x:row r="31">
      <x:c r="A31" s="58" t="str">
        <x:v>经营性应收增加</x:v>
      </x:c>
      <x:c r="B31" s="75" t="n">
        <x:v>-33.026925</x:v>
      </x:c>
      <x:c r="C31" s="57"/>
      <x:c r="D31" s="58" t="str">
        <x:v>合计</x:v>
      </x:c>
      <x:c r="E31" s="78" t="n">
        <x:f>SUM(E28:E30)</x:f>
        <x:v>85.324358</x:v>
      </x:c>
      <x:c r="F31" s="78" t="n">
        <x:f>SUM(F28:F30)</x:f>
        <x:v>98.607243</x:v>
      </x:c>
      <x:c r="G31" s="57"/>
    </x:row>
    <x:row r="32">
      <x:c r="A32" s="58" t="str">
        <x:v>经营性应付增加</x:v>
      </x:c>
      <x:c r="B32" s="75" t="n">
        <x:v>71.690439</x:v>
      </x:c>
      <x:c r="C32" s="57"/>
      <x:c r="D32" s="57"/>
      <x:c r="E32" s="57"/>
      <x:c r="F32" s="57"/>
      <x:c r="G32" s="57"/>
    </x:row>
    <x:row r="33">
      <x:c r="A33" s="58" t="str">
        <x:v>其他</x:v>
      </x:c>
      <x:c r="B33" s="75" t="n">
        <x:v>0.354649</x:v>
      </x:c>
      <x:c r="C33" s="57"/>
      <x:c r="D33" s="57"/>
      <x:c r="E33" s="57"/>
      <x:c r="F33" s="57"/>
      <x:c r="G33" s="57"/>
    </x:row>
    <x:row r="34">
      <x:c r="A34" s="58" t="str">
        <x:v>经营现金流</x:v>
      </x:c>
      <x:c r="B34" s="75" t="n">
        <x:v>60.216851</x:v>
      </x:c>
      <x:c r="C34" s="57"/>
      <x:c r="D34" s="57"/>
      <x:c r="E34" s="57"/>
      <x:c r="F34" s="57"/>
      <x:c r="G34" s="57"/>
    </x:row>
    <x:row r="35">
      <x:c r="A35" s="57"/>
      <x:c r="B35" s="57"/>
      <x:c r="C35" s="57"/>
      <x:c r="D35" s="57"/>
      <x:c r="E35" s="57"/>
      <x:c r="F35" s="57"/>
      <x:c r="G35" s="57"/>
    </x:row>
    <x:row r="36">
      <x:c r="A36" s="57"/>
      <x:c r="B36" s="57"/>
      <x:c r="C36" s="57"/>
      <x:c r="D36" s="57"/>
      <x:c r="E36" s="57"/>
      <x:c r="F36" s="57"/>
      <x:c r="G36" s="57"/>
    </x:row>
    <x:row r="37">
      <x:c r="A37" s="57"/>
      <x:c r="B37" s="57"/>
      <x:c r="C37" s="57"/>
      <x:c r="D37" s="57"/>
      <x:c r="E37" s="57"/>
      <x:c r="F37" s="57"/>
      <x:c r="G37" s="57"/>
    </x:row>
    <x:row r="38">
      <x:c r="A38" s="57"/>
      <x:c r="B38" s="57"/>
      <x:c r="C38" s="57"/>
      <x:c r="D38" s="57"/>
      <x:c r="E38" s="57"/>
      <x:c r="F38" s="57"/>
      <x:c r="G38" s="57"/>
    </x:row>
    <x:row r="39">
      <x:c r="A39" s="57"/>
      <x:c r="B39" s="57"/>
      <x:c r="C39" s="57"/>
      <x:c r="D39" s="57"/>
      <x:c r="E39" s="57"/>
      <x:c r="F39" s="57"/>
      <x:c r="G39" s="57"/>
    </x:row>
    <x:row r="40">
      <x:c r="A40" s="57"/>
      <x:c r="B40" s="57"/>
      <x:c r="C40" s="57"/>
      <x:c r="D40" s="57"/>
      <x:c r="E40" s="57"/>
      <x:c r="F40" s="57"/>
      <x:c r="G40" s="57"/>
    </x:row>
    <x:row r="41">
      <x:c r="A41" s="57"/>
      <x:c r="B41" s="57"/>
      <x:c r="C41" s="57"/>
      <x:c r="D41" s="57"/>
      <x:c r="E41" s="57"/>
      <x:c r="F41" s="57"/>
      <x:c r="G41" s="57"/>
    </x:row>
    <x:row r="42">
      <x:c r="A42" s="57"/>
      <x:c r="B42" s="57"/>
      <x:c r="C42" s="57"/>
      <x:c r="D42" s="57"/>
      <x:c r="E42" s="57"/>
      <x:c r="F42" s="57"/>
      <x:c r="G42" s="57"/>
    </x:row>
    <x:row r="43">
      <x:c r="A43" s="57"/>
      <x:c r="B43" s="57"/>
      <x:c r="C43" s="57"/>
      <x:c r="D43" s="57"/>
      <x:c r="E43" s="57"/>
      <x:c r="F43" s="57"/>
      <x:c r="G43" s="57"/>
    </x:row>
    <x:row r="44">
      <x:c r="A44" s="57"/>
      <x:c r="B44" s="57"/>
      <x:c r="C44" s="57"/>
      <x:c r="D44" s="57"/>
      <x:c r="E44" s="57"/>
      <x:c r="F44" s="57"/>
      <x:c r="G44" s="57"/>
    </x:row>
    <x:row r="45">
      <x:c r="A45" s="57"/>
      <x:c r="B45" s="57"/>
      <x:c r="C45" s="57"/>
      <x:c r="D45" s="57"/>
      <x:c r="E45" s="57"/>
      <x:c r="F45" s="57"/>
      <x:c r="G45" s="57"/>
    </x:row>
    <x:row r="46">
      <x:c r="A46" s="57"/>
      <x:c r="B46" s="57"/>
      <x:c r="C46" s="57"/>
      <x:c r="D46" s="57"/>
      <x:c r="E46" s="57"/>
      <x:c r="F46" s="57"/>
      <x:c r="G46" s="57"/>
    </x:row>
    <x:row r="47">
      <x:c r="A47" s="57"/>
      <x:c r="B47" s="57"/>
      <x:c r="C47" s="57"/>
      <x:c r="D47" s="57"/>
      <x:c r="E47" s="57"/>
      <x:c r="F47" s="57"/>
      <x:c r="G47" s="57"/>
    </x:row>
    <x:row r="48">
      <x:c r="A48" s="57"/>
      <x:c r="B48" s="57"/>
      <x:c r="C48" s="57"/>
      <x:c r="D48" s="57"/>
      <x:c r="E48" s="57"/>
      <x:c r="F48" s="57"/>
      <x:c r="G48" s="57"/>
    </x:row>
    <x:row r="49">
      <x:c r="A49" s="57"/>
      <x:c r="B49" s="57"/>
      <x:c r="C49" s="57"/>
      <x:c r="D49" s="57"/>
      <x:c r="E49" s="57"/>
      <x:c r="F49" s="57"/>
      <x:c r="G49" s="57"/>
    </x:row>
    <x:row r="50">
      <x:c r="A50" s="57"/>
      <x:c r="B50" s="57"/>
      <x:c r="C50" s="57"/>
      <x:c r="D50" s="57"/>
      <x:c r="E50" s="57"/>
      <x:c r="F50" s="57"/>
      <x:c r="G50" s="57"/>
    </x:row>
    <x:row r="51">
      <x:c r="A51" s="57"/>
      <x:c r="B51" s="57"/>
      <x:c r="C51" s="57"/>
      <x:c r="D51" s="57"/>
      <x:c r="E51" s="57"/>
      <x:c r="F51" s="57"/>
      <x:c r="G51" s="57"/>
    </x:row>
    <x:row r="52">
      <x:c r="A52" s="57"/>
      <x:c r="B52" s="57"/>
      <x:c r="C52" s="57"/>
      <x:c r="D52" s="57"/>
      <x:c r="E52" s="57"/>
      <x:c r="F52" s="57"/>
      <x:c r="G52" s="57"/>
    </x:row>
    <x:row r="53">
      <x:c r="A53" s="57"/>
      <x:c r="B53" s="57"/>
      <x:c r="C53" s="57"/>
      <x:c r="D53" s="57"/>
      <x:c r="E53" s="57"/>
      <x:c r="F53" s="57"/>
      <x:c r="G53" s="57"/>
    </x:row>
    <x:row r="54">
      <x:c r="A54" s="57"/>
      <x:c r="B54" s="57"/>
      <x:c r="C54" s="57"/>
      <x:c r="D54" s="57"/>
      <x:c r="E54" s="57"/>
      <x:c r="F54" s="57"/>
      <x:c r="G54" s="57"/>
    </x:row>
    <x:row r="55">
      <x:c r="A55" s="57"/>
      <x:c r="B55" s="57"/>
      <x:c r="C55" s="57"/>
      <x:c r="D55" s="57"/>
      <x:c r="E55" s="57"/>
      <x:c r="F55" s="57"/>
      <x:c r="G55" s="57"/>
    </x:row>
    <x:row r="56">
      <x:c r="A56" s="57"/>
      <x:c r="B56" s="57"/>
      <x:c r="C56" s="57"/>
      <x:c r="D56" s="57"/>
      <x:c r="E56" s="57"/>
      <x:c r="F56" s="57"/>
      <x:c r="G56" s="57"/>
    </x:row>
    <x:row r="57">
      <x:c r="A57" s="57"/>
      <x:c r="B57" s="57"/>
      <x:c r="C57" s="57"/>
      <x:c r="D57" s="57"/>
      <x:c r="E57" s="57"/>
      <x:c r="F57" s="57"/>
      <x:c r="G57" s="57"/>
    </x:row>
    <x:row r="58">
      <x:c r="A58" s="57"/>
      <x:c r="B58" s="57"/>
      <x:c r="C58" s="57"/>
      <x:c r="D58" s="57"/>
      <x:c r="E58" s="57"/>
      <x:c r="F58" s="57"/>
      <x:c r="G58" s="57"/>
    </x:row>
    <x:row r="59">
      <x:c r="A59" s="57"/>
      <x:c r="B59" s="57"/>
      <x:c r="C59" s="57"/>
      <x:c r="D59" s="57"/>
      <x:c r="E59" s="57"/>
      <x:c r="F59" s="57"/>
      <x:c r="G59" s="57"/>
    </x:row>
    <x:row r="60">
      <x:c r="A60" s="57"/>
      <x:c r="B60" s="57"/>
      <x:c r="C60" s="57"/>
      <x:c r="D60" s="57"/>
      <x:c r="E60" s="57"/>
      <x:c r="F60" s="57"/>
      <x:c r="G60" s="57"/>
    </x:row>
    <x:row r="61">
      <x:c r="A61" s="57"/>
      <x:c r="B61" s="57"/>
      <x:c r="C61" s="57"/>
      <x:c r="D61" s="57"/>
      <x:c r="E61" s="57"/>
      <x:c r="F61" s="57"/>
      <x:c r="G61" s="57"/>
    </x:row>
    <x:row r="62">
      <x:c r="A62" s="57"/>
      <x:c r="B62" s="57"/>
      <x:c r="C62" s="57"/>
      <x:c r="D62" s="57"/>
      <x:c r="E62" s="57"/>
      <x:c r="F62" s="57"/>
      <x:c r="G62" s="57"/>
    </x:row>
    <x:row r="63">
      <x:c r="A63" s="57"/>
      <x:c r="B63" s="57"/>
      <x:c r="C63" s="57"/>
      <x:c r="D63" s="57"/>
      <x:c r="E63" s="57"/>
      <x:c r="F63" s="57"/>
      <x:c r="G63" s="57"/>
    </x:row>
    <x:row r="64">
      <x:c r="A64" s="57"/>
      <x:c r="B64" s="57"/>
      <x:c r="C64" s="57"/>
      <x:c r="D64" s="57"/>
      <x:c r="E64" s="57"/>
      <x:c r="F64" s="57"/>
      <x:c r="G64" s="57"/>
    </x:row>
    <x:row r="65">
      <x:c r="A65" s="57"/>
      <x:c r="B65" s="57"/>
      <x:c r="C65" s="57"/>
      <x:c r="D65" s="57"/>
      <x:c r="E65" s="57"/>
      <x:c r="F65" s="57"/>
      <x:c r="G65" s="57"/>
    </x:row>
    <x:row r="66">
      <x:c r="A66" s="57"/>
      <x:c r="B66" s="57"/>
      <x:c r="C66" s="57"/>
      <x:c r="D66" s="57"/>
      <x:c r="E66" s="57"/>
      <x:c r="F66" s="57"/>
      <x:c r="G66" s="57"/>
    </x:row>
    <x:row r="67">
      <x:c r="A67" s="57"/>
      <x:c r="B67" s="57"/>
      <x:c r="C67" s="57"/>
      <x:c r="D67" s="57"/>
      <x:c r="E67" s="57"/>
      <x:c r="F67" s="57"/>
      <x:c r="G67" s="57"/>
    </x:row>
    <x:row r="68">
      <x:c r="A68" s="57"/>
      <x:c r="B68" s="57"/>
      <x:c r="C68" s="57"/>
      <x:c r="D68" s="57"/>
      <x:c r="E68" s="57"/>
      <x:c r="F68" s="57"/>
      <x:c r="G68" s="57"/>
    </x:row>
    <x:row r="69">
      <x:c r="A69" s="57"/>
      <x:c r="B69" s="57"/>
      <x:c r="C69" s="57"/>
      <x:c r="D69" s="57"/>
      <x:c r="E69" s="57"/>
      <x:c r="F69" s="57"/>
      <x:c r="G69" s="57"/>
    </x:row>
    <x:row r="70">
      <x:c r="A70" s="57"/>
      <x:c r="B70" s="57"/>
      <x:c r="C70" s="57"/>
      <x:c r="D70" s="57"/>
      <x:c r="E70" s="57"/>
      <x:c r="F70" s="57"/>
      <x:c r="G70" s="57"/>
    </x:row>
    <x:row r="71">
      <x:c r="A71" s="57"/>
      <x:c r="B71" s="57"/>
      <x:c r="C71" s="57"/>
      <x:c r="D71" s="57"/>
      <x:c r="E71" s="57"/>
      <x:c r="F71" s="57"/>
      <x:c r="G71" s="57"/>
    </x:row>
    <x:row r="72">
      <x:c r="A72" s="57"/>
      <x:c r="B72" s="57"/>
      <x:c r="C72" s="57"/>
      <x:c r="D72" s="57"/>
      <x:c r="E72" s="57"/>
      <x:c r="F72" s="57"/>
      <x:c r="G72" s="57"/>
    </x:row>
    <x:row r="73">
      <x:c r="A73" s="57"/>
      <x:c r="B73" s="57"/>
      <x:c r="C73" s="57"/>
      <x:c r="D73" s="57"/>
      <x:c r="E73" s="57"/>
      <x:c r="F73" s="57"/>
      <x:c r="G73" s="57"/>
    </x:row>
    <x:row r="74">
      <x:c r="A74" s="57"/>
      <x:c r="B74" s="57"/>
      <x:c r="C74" s="57"/>
      <x:c r="D74" s="57"/>
      <x:c r="E74" s="57"/>
      <x:c r="F74" s="57"/>
      <x:c r="G74" s="57"/>
    </x:row>
    <x:row r="75">
      <x:c r="A75" s="57"/>
      <x:c r="B75" s="57"/>
      <x:c r="C75" s="57"/>
      <x:c r="D75" s="57"/>
      <x:c r="E75" s="57"/>
      <x:c r="F75" s="57"/>
      <x:c r="G75" s="57"/>
    </x:row>
    <x:row r="76">
      <x:c r="A76" s="57"/>
      <x:c r="B76" s="57"/>
      <x:c r="C76" s="57"/>
      <x:c r="D76" s="57"/>
      <x:c r="E76" s="57"/>
      <x:c r="F76" s="57"/>
      <x:c r="G76" s="57"/>
    </x:row>
    <x:row r="77">
      <x:c r="A77" s="57"/>
      <x:c r="B77" s="57"/>
      <x:c r="C77" s="57"/>
      <x:c r="D77" s="57"/>
      <x:c r="E77" s="57"/>
      <x:c r="F77" s="57"/>
      <x:c r="G77" s="57"/>
    </x:row>
    <x:row r="78">
      <x:c r="A78" s="57"/>
      <x:c r="B78" s="57"/>
      <x:c r="C78" s="57"/>
      <x:c r="D78" s="57"/>
      <x:c r="E78" s="57"/>
      <x:c r="F78" s="57"/>
      <x:c r="G78" s="57"/>
    </x:row>
    <x:row r="79">
      <x:c r="A79" s="57"/>
      <x:c r="B79" s="57"/>
      <x:c r="C79" s="57"/>
      <x:c r="D79" s="57"/>
      <x:c r="E79" s="57"/>
      <x:c r="F79" s="57"/>
      <x:c r="G79" s="57"/>
    </x:row>
    <x:row r="80">
      <x:c r="A80" s="57"/>
      <x:c r="B80" s="57"/>
      <x:c r="C80" s="57"/>
      <x:c r="D80" s="57"/>
      <x:c r="E80" s="57"/>
      <x:c r="F80" s="57"/>
      <x:c r="G80" s="57"/>
    </x:row>
  </x:sheetData>
  <x:mergeCells>
    <x:mergeCell ref="A1:G2"/>
    <x:mergeCell ref="A3:G3"/>
    <x:mergeCell ref="A5:G5"/>
    <x:mergeCell ref="A25:G25"/>
    <x:mergeCell ref="D25:G25"/>
  </x:mergeCells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Pr>
    <x:tabColor rgb="FF2A7F83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2" hidden="0" customWidth="1"/>
    <x:col min="2" max="2" width="19" hidden="0" customWidth="1"/>
    <x:col min="3" max="3" width="19" hidden="0" customWidth="1"/>
    <x:col min="4" max="4" width="19" hidden="0" customWidth="1"/>
    <x:col min="5" max="5" width="3" hidden="0" customWidth="1"/>
    <x:col min="6" max="6" width="3" hidden="0" customWidth="1"/>
  </x:cols>
  <x:sheetData>
    <x:row r="1">
      <x:c r="A1" s="4" t="str">
        <x:v>2027 情景测算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3">
      <x:c r="A3" s="6" t="str">
        <x:v>同一组公式按 Bear、Base、Bull 输入计算；金额为人民币十亿元</x:v>
      </x:c>
      <x:c r="B3" s="6"/>
      <x:c r="C3" s="6"/>
      <x:c r="D3" s="6"/>
      <x:c r="E3" s="6"/>
      <x:c r="F3" s="6"/>
    </x:row>
    <x:row r="4">
      <x:c r="A4" s="57"/>
      <x:c r="B4" s="57"/>
      <x:c r="C4" s="57"/>
      <x:c r="D4" s="57"/>
      <x:c r="E4" s="57"/>
      <x:c r="F4" s="57"/>
    </x:row>
    <x:row r="5">
      <x:c r="A5" s="14" t="str">
        <x:v>指标</x:v>
      </x:c>
      <x:c r="B5" s="14" t="str">
        <x:v>Bear</x:v>
      </x:c>
      <x:c r="C5" s="14" t="str">
        <x:v>Base</x:v>
      </x:c>
      <x:c r="D5" s="14" t="str">
        <x:v>Bull</x:v>
      </x:c>
      <x:c r="E5" s="57"/>
      <x:c r="F5" s="57"/>
    </x:row>
    <x:row r="6">
      <x:c r="A6" s="57"/>
      <x:c r="B6" s="57"/>
      <x:c r="C6" s="57"/>
      <x:c r="D6" s="57"/>
      <x:c r="E6" s="57"/>
      <x:c r="F6" s="57"/>
    </x:row>
    <x:row r="7">
      <x:c r="A7" s="57"/>
      <x:c r="B7" s="57"/>
      <x:c r="C7" s="57"/>
      <x:c r="D7" s="57"/>
      <x:c r="E7" s="57"/>
      <x:c r="F7" s="57"/>
    </x:row>
    <x:row r="8">
      <x:c r="A8" s="58" t="str">
        <x:v>收入</x:v>
      </x:c>
      <x:c r="B8" s="84" t="n">
        <x:f>'Assumptions'!B19</x:f>
        <x:v>600</x:v>
      </x:c>
      <x:c r="C8" s="84" t="n">
        <x:f>'Assumptions'!C19</x:f>
        <x:v>720</x:v>
      </x:c>
      <x:c r="D8" s="84" t="n">
        <x:f>'Assumptions'!D19</x:f>
        <x:v>850</x:v>
      </x:c>
      <x:c r="E8" s="57"/>
      <x:c r="F8" s="57"/>
    </x:row>
    <x:row r="9">
      <x:c r="A9" s="58" t="str">
        <x:v>归母净利率</x:v>
      </x:c>
      <x:c r="B9" s="85" t="n">
        <x:f>'Assumptions'!B20</x:f>
        <x:v>0.13</x:v>
      </x:c>
      <x:c r="C9" s="85" t="n">
        <x:f>'Assumptions'!C20</x:f>
        <x:v>0.15</x:v>
      </x:c>
      <x:c r="D9" s="85" t="n">
        <x:f>'Assumptions'!D20</x:f>
        <x:v>0.165</x:v>
      </x:c>
      <x:c r="E9" s="57"/>
      <x:c r="F9" s="57"/>
    </x:row>
    <x:row r="10">
      <x:c r="A10" s="58" t="str">
        <x:v>归母净利润</x:v>
      </x:c>
      <x:c r="B10" s="78" t="n">
        <x:f>B8*B9</x:f>
        <x:v>78</x:v>
      </x:c>
      <x:c r="C10" s="78" t="n">
        <x:f>C8*C9</x:f>
        <x:v>108</x:v>
      </x:c>
      <x:c r="D10" s="78" t="n">
        <x:f>D8*D9</x:f>
        <x:v>140.25</x:v>
      </x:c>
      <x:c r="E10" s="57"/>
      <x:c r="F10" s="57"/>
    </x:row>
    <x:row r="11">
      <x:c r="A11" s="58" t="str">
        <x:v>经济股本（百万股）</x:v>
      </x:c>
      <x:c r="B11" s="78" t="n">
        <x:f>'Assumptions'!$B$11</x:f>
        <x:v>4598.451366</x:v>
      </x:c>
      <x:c r="C11" s="78" t="n">
        <x:f>'Assumptions'!$B$11</x:f>
        <x:v>4598.451366</x:v>
      </x:c>
      <x:c r="D11" s="78" t="n">
        <x:f>'Assumptions'!$B$11</x:f>
        <x:v>4598.451366</x:v>
      </x:c>
      <x:c r="E11" s="57"/>
      <x:c r="F11" s="57"/>
    </x:row>
    <x:row r="12">
      <x:c r="A12" s="58" t="str">
        <x:v>每股收益（元）</x:v>
      </x:c>
      <x:c r="B12" s="86" t="n">
        <x:f>B10*1000/B11</x:f>
        <x:v>16.962232236860412</x:v>
      </x:c>
      <x:c r="C12" s="86" t="n">
        <x:f>C10*1000/C11</x:f>
        <x:v>23.486167712575956</x:v>
      </x:c>
      <x:c r="D12" s="86" t="n">
        <x:f>D10*1000/D11</x:f>
        <x:v>30.499398348970164</x:v>
      </x:c>
      <x:c r="E12" s="57"/>
      <x:c r="F12" s="57"/>
    </x:row>
    <x:row r="13">
      <x:c r="A13" s="58" t="str">
        <x:v>P/E</x:v>
      </x:c>
      <x:c r="B13" s="87" t="n">
        <x:f>'Assumptions'!B21</x:f>
        <x:v>15</x:v>
      </x:c>
      <x:c r="C13" s="87" t="n">
        <x:f>'Assumptions'!C21</x:f>
        <x:v>21</x:v>
      </x:c>
      <x:c r="D13" s="87" t="n">
        <x:f>'Assumptions'!D21</x:f>
        <x:v>26</x:v>
      </x:c>
      <x:c r="E13" s="57"/>
      <x:c r="F13" s="57"/>
    </x:row>
    <x:row r="14">
      <x:c r="A14" s="58" t="str">
        <x:v>每股价值（元）</x:v>
      </x:c>
      <x:c r="B14" s="86" t="n">
        <x:f>B12*B13</x:f>
        <x:v>254.43348355290618</x:v>
      </x:c>
      <x:c r="C14" s="86" t="n">
        <x:f>C12*C13</x:f>
        <x:v>493.2095219640951</x:v>
      </x:c>
      <x:c r="D14" s="86" t="n">
        <x:f>D12*D13</x:f>
        <x:v>792.9843570732243</x:v>
      </x:c>
      <x:c r="E14" s="57"/>
      <x:c r="F14" s="57"/>
    </x:row>
    <x:row r="15">
      <x:c r="A15" s="57"/>
      <x:c r="B15" s="57"/>
      <x:c r="C15" s="57"/>
      <x:c r="D15" s="57"/>
      <x:c r="E15" s="57"/>
      <x:c r="F15" s="57"/>
    </x:row>
    <x:row r="16">
      <x:c r="A16" s="57"/>
      <x:c r="B16" s="57"/>
      <x:c r="C16" s="57"/>
      <x:c r="D16" s="57"/>
      <x:c r="E16" s="57"/>
      <x:c r="F16" s="57"/>
    </x:row>
    <x:row r="17">
      <x:c r="A17" s="73" t="str">
        <x:v>校准参考</x:v>
      </x:c>
      <x:c r="B17" s="73"/>
      <x:c r="C17" s="73"/>
      <x:c r="D17" s="73"/>
      <x:c r="E17" s="73"/>
      <x:c r="F17" s="73"/>
    </x:row>
    <x:row r="18">
      <x:c r="A18" s="57" t="str">
        <x:v>2026H1 收入简单年化</x:v>
      </x:c>
      <x:c r="B18" s="63" t="n">
        <x:f>'Historical'!G8*2</x:f>
        <x:v>553.83316</x:v>
      </x:c>
      <x:c r="C18" s="57"/>
      <x:c r="D18" s="57"/>
      <x:c r="E18" s="57"/>
      <x:c r="F18" s="57"/>
    </x:row>
    <x:row r="19">
      <x:c r="A19" s="57" t="str">
        <x:v>2026H1 归母净利润简单年化</x:v>
      </x:c>
      <x:c r="B19" s="63" t="n">
        <x:f>'Historical'!G13*2</x:f>
        <x:v>86.568004</x:v>
      </x:c>
      <x:c r="C19" s="57"/>
      <x:c r="D19" s="57"/>
      <x:c r="E19" s="57"/>
      <x:c r="F19" s="57"/>
    </x:row>
    <x:row r="20">
      <x:c r="A20" s="57" t="str">
        <x:v>Base 2027 收入较 H1 年化</x:v>
      </x:c>
      <x:c r="B20" s="65" t="n">
        <x:f>C8/B18-1</x:f>
        <x:v>0.3000305001600121</x:v>
      </x:c>
      <x:c r="C20" s="57"/>
      <x:c r="D20" s="57"/>
      <x:c r="E20" s="57"/>
      <x:c r="F20" s="57"/>
    </x:row>
    <x:row r="21">
      <x:c r="A21" s="57" t="str">
        <x:v>Base 2027 净利率较 H1</x:v>
      </x:c>
      <x:c r="B21" s="65" t="n">
        <x:f>C9-'Historical'!G14</x:f>
        <x:v>-0.006307007691630451</x:v>
      </x:c>
      <x:c r="C21" s="57"/>
      <x:c r="D21" s="57"/>
      <x:c r="E21" s="57"/>
      <x:c r="F21" s="57"/>
    </x:row>
    <x:row r="22">
      <x:c r="A22" s="57"/>
      <x:c r="B22" s="57"/>
      <x:c r="C22" s="57"/>
      <x:c r="D22" s="57"/>
      <x:c r="E22" s="57"/>
      <x:c r="F22" s="57"/>
    </x:row>
    <x:row r="23">
      <x:c r="A23" s="57"/>
      <x:c r="B23" s="57"/>
      <x:c r="C23" s="57"/>
      <x:c r="D23" s="57"/>
      <x:c r="E23" s="57"/>
      <x:c r="F23" s="57"/>
    </x:row>
    <x:row r="24">
      <x:c r="A24" s="57"/>
      <x:c r="B24" s="57"/>
      <x:c r="C24" s="57"/>
      <x:c r="D24" s="57"/>
      <x:c r="E24" s="57"/>
      <x:c r="F24" s="57"/>
    </x:row>
    <x:row r="25">
      <x:c r="A25" s="57"/>
      <x:c r="B25" s="57"/>
      <x:c r="C25" s="57"/>
      <x:c r="D25" s="57"/>
      <x:c r="E25" s="57"/>
      <x:c r="F25" s="57"/>
    </x:row>
    <x:row r="26">
      <x:c r="A26" s="57"/>
      <x:c r="B26" s="57"/>
      <x:c r="C26" s="57"/>
      <x:c r="D26" s="57"/>
      <x:c r="E26" s="57"/>
      <x:c r="F26" s="57"/>
    </x:row>
    <x:row r="27">
      <x:c r="A27" s="57"/>
      <x:c r="B27" s="57"/>
      <x:c r="C27" s="57"/>
      <x:c r="D27" s="57"/>
      <x:c r="E27" s="57"/>
      <x:c r="F27" s="57"/>
    </x:row>
    <x:row r="28">
      <x:c r="A28" s="57"/>
      <x:c r="B28" s="57"/>
      <x:c r="C28" s="57"/>
      <x:c r="D28" s="57"/>
      <x:c r="E28" s="57"/>
      <x:c r="F28" s="57"/>
    </x:row>
    <x:row r="29">
      <x:c r="A29" s="57"/>
      <x:c r="B29" s="57"/>
      <x:c r="C29" s="57"/>
      <x:c r="D29" s="57"/>
      <x:c r="E29" s="57"/>
      <x:c r="F29" s="57"/>
    </x:row>
    <x:row r="30">
      <x:c r="A30" s="57"/>
      <x:c r="B30" s="57"/>
      <x:c r="C30" s="57"/>
      <x:c r="D30" s="57"/>
      <x:c r="E30" s="57"/>
      <x:c r="F30" s="57"/>
    </x:row>
    <x:row r="31">
      <x:c r="A31" s="57"/>
      <x:c r="B31" s="57"/>
      <x:c r="C31" s="57"/>
      <x:c r="D31" s="57"/>
      <x:c r="E31" s="57"/>
      <x:c r="F31" s="57"/>
    </x:row>
    <x:row r="32">
      <x:c r="A32" s="57"/>
      <x:c r="B32" s="57"/>
      <x:c r="C32" s="57"/>
      <x:c r="D32" s="57"/>
      <x:c r="E32" s="57"/>
      <x:c r="F32" s="57"/>
    </x:row>
    <x:row r="33">
      <x:c r="A33" s="57"/>
      <x:c r="B33" s="57"/>
      <x:c r="C33" s="57"/>
      <x:c r="D33" s="57"/>
      <x:c r="E33" s="57"/>
      <x:c r="F33" s="57"/>
    </x:row>
    <x:row r="34">
      <x:c r="A34" s="57"/>
      <x:c r="B34" s="57"/>
      <x:c r="C34" s="57"/>
      <x:c r="D34" s="57"/>
      <x:c r="E34" s="57"/>
      <x:c r="F34" s="57"/>
    </x:row>
    <x:row r="35">
      <x:c r="A35" s="57"/>
      <x:c r="B35" s="57"/>
      <x:c r="C35" s="57"/>
      <x:c r="D35" s="57"/>
      <x:c r="E35" s="57"/>
      <x:c r="F35" s="57"/>
    </x:row>
    <x:row r="36">
      <x:c r="A36" s="57"/>
      <x:c r="B36" s="57"/>
      <x:c r="C36" s="57"/>
      <x:c r="D36" s="57"/>
      <x:c r="E36" s="57"/>
      <x:c r="F36" s="57"/>
    </x:row>
    <x:row r="37">
      <x:c r="A37" s="57"/>
      <x:c r="B37" s="57"/>
      <x:c r="C37" s="57"/>
      <x:c r="D37" s="57"/>
      <x:c r="E37" s="57"/>
      <x:c r="F37" s="57"/>
    </x:row>
    <x:row r="38">
      <x:c r="A38" s="57"/>
      <x:c r="B38" s="57"/>
      <x:c r="C38" s="57"/>
      <x:c r="D38" s="57"/>
      <x:c r="E38" s="57"/>
      <x:c r="F38" s="57"/>
    </x:row>
    <x:row r="39">
      <x:c r="A39" s="57"/>
      <x:c r="B39" s="57"/>
      <x:c r="C39" s="57"/>
      <x:c r="D39" s="57"/>
      <x:c r="E39" s="57"/>
      <x:c r="F39" s="57"/>
    </x:row>
    <x:row r="40">
      <x:c r="A40" s="57"/>
      <x:c r="B40" s="57"/>
      <x:c r="C40" s="57"/>
      <x:c r="D40" s="57"/>
      <x:c r="E40" s="57"/>
      <x:c r="F40" s="57"/>
    </x:row>
    <x:row r="41">
      <x:c r="A41" s="57"/>
      <x:c r="B41" s="57"/>
      <x:c r="C41" s="57"/>
      <x:c r="D41" s="57"/>
      <x:c r="E41" s="57"/>
      <x:c r="F41" s="57"/>
    </x:row>
    <x:row r="42">
      <x:c r="A42" s="57"/>
      <x:c r="B42" s="57"/>
      <x:c r="C42" s="57"/>
      <x:c r="D42" s="57"/>
      <x:c r="E42" s="57"/>
      <x:c r="F42" s="57"/>
    </x:row>
    <x:row r="43">
      <x:c r="A43" s="57"/>
      <x:c r="B43" s="57"/>
      <x:c r="C43" s="57"/>
      <x:c r="D43" s="57"/>
      <x:c r="E43" s="57"/>
      <x:c r="F43" s="57"/>
    </x:row>
    <x:row r="44">
      <x:c r="A44" s="57"/>
      <x:c r="B44" s="57"/>
      <x:c r="C44" s="57"/>
      <x:c r="D44" s="57"/>
      <x:c r="E44" s="57"/>
      <x:c r="F44" s="57"/>
    </x:row>
    <x:row r="45">
      <x:c r="A45" s="57"/>
      <x:c r="B45" s="57"/>
      <x:c r="C45" s="57"/>
      <x:c r="D45" s="57"/>
      <x:c r="E45" s="57"/>
      <x:c r="F45" s="57"/>
    </x:row>
    <x:row r="46">
      <x:c r="A46" s="57"/>
      <x:c r="B46" s="57"/>
      <x:c r="C46" s="57"/>
      <x:c r="D46" s="57"/>
      <x:c r="E46" s="57"/>
      <x:c r="F46" s="57"/>
    </x:row>
    <x:row r="47">
      <x:c r="A47" s="57"/>
      <x:c r="B47" s="57"/>
      <x:c r="C47" s="57"/>
      <x:c r="D47" s="57"/>
      <x:c r="E47" s="57"/>
      <x:c r="F47" s="57"/>
    </x:row>
    <x:row r="48">
      <x:c r="A48" s="57"/>
      <x:c r="B48" s="57"/>
      <x:c r="C48" s="57"/>
      <x:c r="D48" s="57"/>
      <x:c r="E48" s="57"/>
      <x:c r="F48" s="57"/>
    </x:row>
    <x:row r="49">
      <x:c r="A49" s="57"/>
      <x:c r="B49" s="57"/>
      <x:c r="C49" s="57"/>
      <x:c r="D49" s="57"/>
      <x:c r="E49" s="57"/>
      <x:c r="F49" s="57"/>
    </x:row>
    <x:row r="50">
      <x:c r="A50" s="57"/>
      <x:c r="B50" s="57"/>
      <x:c r="C50" s="57"/>
      <x:c r="D50" s="57"/>
      <x:c r="E50" s="57"/>
      <x:c r="F50" s="57"/>
    </x:row>
    <x:row r="51">
      <x:c r="A51" s="57"/>
      <x:c r="B51" s="57"/>
      <x:c r="C51" s="57"/>
      <x:c r="D51" s="57"/>
      <x:c r="E51" s="57"/>
      <x:c r="F51" s="57"/>
    </x:row>
    <x:row r="52">
      <x:c r="A52" s="57"/>
      <x:c r="B52" s="57"/>
      <x:c r="C52" s="57"/>
      <x:c r="D52" s="57"/>
      <x:c r="E52" s="57"/>
      <x:c r="F52" s="57"/>
    </x:row>
    <x:row r="53">
      <x:c r="A53" s="57"/>
      <x:c r="B53" s="57"/>
      <x:c r="C53" s="57"/>
      <x:c r="D53" s="57"/>
      <x:c r="E53" s="57"/>
      <x:c r="F53" s="57"/>
    </x:row>
    <x:row r="54">
      <x:c r="A54" s="57"/>
      <x:c r="B54" s="57"/>
      <x:c r="C54" s="57"/>
      <x:c r="D54" s="57"/>
      <x:c r="E54" s="57"/>
      <x:c r="F54" s="57"/>
    </x:row>
    <x:row r="55">
      <x:c r="A55" s="57"/>
      <x:c r="B55" s="57"/>
      <x:c r="C55" s="57"/>
      <x:c r="D55" s="57"/>
      <x:c r="E55" s="57"/>
      <x:c r="F55" s="57"/>
    </x:row>
    <x:row r="56">
      <x:c r="A56" s="57"/>
      <x:c r="B56" s="57"/>
      <x:c r="C56" s="57"/>
      <x:c r="D56" s="57"/>
      <x:c r="E56" s="57"/>
      <x:c r="F56" s="57"/>
    </x:row>
    <x:row r="57">
      <x:c r="A57" s="57"/>
      <x:c r="B57" s="57"/>
      <x:c r="C57" s="57"/>
      <x:c r="D57" s="57"/>
      <x:c r="E57" s="57"/>
      <x:c r="F57" s="57"/>
    </x:row>
    <x:row r="58">
      <x:c r="A58" s="57"/>
      <x:c r="B58" s="57"/>
      <x:c r="C58" s="57"/>
      <x:c r="D58" s="57"/>
      <x:c r="E58" s="57"/>
      <x:c r="F58" s="57"/>
    </x:row>
    <x:row r="59">
      <x:c r="A59" s="57"/>
      <x:c r="B59" s="57"/>
      <x:c r="C59" s="57"/>
      <x:c r="D59" s="57"/>
      <x:c r="E59" s="57"/>
      <x:c r="F59" s="57"/>
    </x:row>
    <x:row r="60">
      <x:c r="A60" s="57"/>
      <x:c r="B60" s="57"/>
      <x:c r="C60" s="57"/>
      <x:c r="D60" s="57"/>
      <x:c r="E60" s="57"/>
      <x:c r="F60" s="57"/>
    </x:row>
    <x:row r="61">
      <x:c r="A61" s="57"/>
      <x:c r="B61" s="57"/>
      <x:c r="C61" s="57"/>
      <x:c r="D61" s="57"/>
      <x:c r="E61" s="57"/>
      <x:c r="F61" s="57"/>
    </x:row>
    <x:row r="62">
      <x:c r="A62" s="57"/>
      <x:c r="B62" s="57"/>
      <x:c r="C62" s="57"/>
      <x:c r="D62" s="57"/>
      <x:c r="E62" s="57"/>
      <x:c r="F62" s="57"/>
    </x:row>
    <x:row r="63">
      <x:c r="A63" s="57"/>
      <x:c r="B63" s="57"/>
      <x:c r="C63" s="57"/>
      <x:c r="D63" s="57"/>
      <x:c r="E63" s="57"/>
      <x:c r="F63" s="57"/>
    </x:row>
    <x:row r="64">
      <x:c r="A64" s="57"/>
      <x:c r="B64" s="57"/>
      <x:c r="C64" s="57"/>
      <x:c r="D64" s="57"/>
      <x:c r="E64" s="57"/>
      <x:c r="F64" s="57"/>
    </x:row>
    <x:row r="65">
      <x:c r="A65" s="57"/>
      <x:c r="B65" s="57"/>
      <x:c r="C65" s="57"/>
      <x:c r="D65" s="57"/>
      <x:c r="E65" s="57"/>
      <x:c r="F65" s="57"/>
    </x:row>
    <x:row r="66">
      <x:c r="A66" s="57"/>
      <x:c r="B66" s="57"/>
      <x:c r="C66" s="57"/>
      <x:c r="D66" s="57"/>
      <x:c r="E66" s="57"/>
      <x:c r="F66" s="57"/>
    </x:row>
    <x:row r="67">
      <x:c r="A67" s="57"/>
      <x:c r="B67" s="57"/>
      <x:c r="C67" s="57"/>
      <x:c r="D67" s="57"/>
      <x:c r="E67" s="57"/>
      <x:c r="F67" s="57"/>
    </x:row>
    <x:row r="68">
      <x:c r="A68" s="57"/>
      <x:c r="B68" s="57"/>
      <x:c r="C68" s="57"/>
      <x:c r="D68" s="57"/>
      <x:c r="E68" s="57"/>
      <x:c r="F68" s="57"/>
    </x:row>
    <x:row r="69">
      <x:c r="A69" s="57"/>
      <x:c r="B69" s="57"/>
      <x:c r="C69" s="57"/>
      <x:c r="D69" s="57"/>
      <x:c r="E69" s="57"/>
      <x:c r="F69" s="57"/>
    </x:row>
    <x:row r="70">
      <x:c r="A70" s="57"/>
      <x:c r="B70" s="57"/>
      <x:c r="C70" s="57"/>
      <x:c r="D70" s="57"/>
      <x:c r="E70" s="57"/>
      <x:c r="F70" s="57"/>
    </x:row>
    <x:row r="71">
      <x:c r="A71" s="57"/>
      <x:c r="B71" s="57"/>
      <x:c r="C71" s="57"/>
      <x:c r="D71" s="57"/>
      <x:c r="E71" s="57"/>
      <x:c r="F71" s="57"/>
    </x:row>
    <x:row r="72">
      <x:c r="A72" s="57"/>
      <x:c r="B72" s="57"/>
      <x:c r="C72" s="57"/>
      <x:c r="D72" s="57"/>
      <x:c r="E72" s="57"/>
      <x:c r="F72" s="57"/>
    </x:row>
    <x:row r="73">
      <x:c r="A73" s="57"/>
      <x:c r="B73" s="57"/>
      <x:c r="C73" s="57"/>
      <x:c r="D73" s="57"/>
      <x:c r="E73" s="57"/>
      <x:c r="F73" s="57"/>
    </x:row>
    <x:row r="74">
      <x:c r="A74" s="57"/>
      <x:c r="B74" s="57"/>
      <x:c r="C74" s="57"/>
      <x:c r="D74" s="57"/>
      <x:c r="E74" s="57"/>
      <x:c r="F74" s="57"/>
    </x:row>
    <x:row r="75">
      <x:c r="A75" s="57"/>
      <x:c r="B75" s="57"/>
      <x:c r="C75" s="57"/>
      <x:c r="D75" s="57"/>
      <x:c r="E75" s="57"/>
      <x:c r="F75" s="57"/>
    </x:row>
    <x:row r="76">
      <x:c r="A76" s="57"/>
      <x:c r="B76" s="57"/>
      <x:c r="C76" s="57"/>
      <x:c r="D76" s="57"/>
      <x:c r="E76" s="57"/>
      <x:c r="F76" s="57"/>
    </x:row>
    <x:row r="77">
      <x:c r="A77" s="57"/>
      <x:c r="B77" s="57"/>
      <x:c r="C77" s="57"/>
      <x:c r="D77" s="57"/>
      <x:c r="E77" s="57"/>
      <x:c r="F77" s="57"/>
    </x:row>
    <x:row r="78">
      <x:c r="A78" s="57"/>
      <x:c r="B78" s="57"/>
      <x:c r="C78" s="57"/>
      <x:c r="D78" s="57"/>
      <x:c r="E78" s="57"/>
      <x:c r="F78" s="57"/>
    </x:row>
    <x:row r="79">
      <x:c r="A79" s="57"/>
      <x:c r="B79" s="57"/>
      <x:c r="C79" s="57"/>
      <x:c r="D79" s="57"/>
      <x:c r="E79" s="57"/>
      <x:c r="F79" s="57"/>
    </x:row>
    <x:row r="80">
      <x:c r="A80" s="57"/>
      <x:c r="B80" s="57"/>
      <x:c r="C80" s="57"/>
      <x:c r="D80" s="57"/>
      <x:c r="E80" s="57"/>
      <x:c r="F80" s="57"/>
    </x:row>
  </x:sheetData>
  <x:mergeCells>
    <x:mergeCell ref="A1:F2"/>
    <x:mergeCell ref="A3:F3"/>
    <x:mergeCell ref="A17:F17"/>
  </x:mergeCells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Pr>
    <x:tabColor rgb="FF16324F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3" hidden="0" customWidth="1"/>
    <x:col min="2" max="2" width="19" hidden="0" customWidth="1"/>
    <x:col min="3" max="3" width="19" hidden="0" customWidth="1"/>
    <x:col min="4" max="4" width="19" hidden="0" customWidth="1"/>
    <x:col min="5" max="5" width="3" hidden="0" customWidth="1"/>
    <x:col min="6" max="6" width="3" hidden="0" customWidth="1"/>
    <x:col min="7" max="7" width="3" hidden="0" customWidth="1"/>
  </x:cols>
  <x:sheetData>
    <x:row r="1">
      <x:c r="A1" s="4" t="str">
        <x:v>估值</x:v>
      </x:c>
      <x:c r="B1" s="4"/>
      <x:c r="C1" s="4"/>
      <x:c r="D1" s="4"/>
      <x:c r="E1" s="4"/>
      <x:c r="F1" s="4"/>
      <x:c r="G1" s="4"/>
    </x:row>
    <x:row r="2">
      <x:c r="A2" s="4"/>
      <x:c r="B2" s="4"/>
      <x:c r="C2" s="4"/>
      <x:c r="D2" s="4"/>
      <x:c r="E2" s="4"/>
      <x:c r="F2" s="4"/>
      <x:c r="G2" s="4"/>
    </x:row>
    <x:row r="3">
      <x:c r="A3" s="6" t="str">
        <x:v>A 股人民币估值为主；H 股按价格日汇率折算，仅作上市类别比较</x:v>
      </x:c>
      <x:c r="B3" s="6"/>
      <x:c r="C3" s="6"/>
      <x:c r="D3" s="6"/>
      <x:c r="E3" s="6"/>
      <x:c r="F3" s="6"/>
      <x:c r="G3" s="6"/>
    </x:row>
    <x:row r="4">
      <x:c r="A4" s="57"/>
      <x:c r="B4" s="57"/>
      <x:c r="C4" s="57"/>
      <x:c r="D4" s="57"/>
      <x:c r="E4" s="57"/>
      <x:c r="F4" s="57"/>
      <x:c r="G4" s="57"/>
    </x:row>
    <x:row r="5">
      <x:c r="A5" s="31" t="str">
        <x:v>当前估值</x:v>
      </x:c>
      <x:c r="B5" s="31"/>
      <x:c r="C5" s="31"/>
      <x:c r="D5" s="31"/>
      <x:c r="E5" s="31"/>
      <x:c r="F5" s="31"/>
      <x:c r="G5" s="31"/>
    </x:row>
    <x:row r="6">
      <x:c r="A6" s="57"/>
      <x:c r="B6" s="57"/>
      <x:c r="C6" s="57"/>
      <x:c r="D6" s="57"/>
      <x:c r="E6" s="57"/>
      <x:c r="F6" s="57"/>
      <x:c r="G6" s="57"/>
    </x:row>
    <x:row r="7">
      <x:c r="A7" s="15" t="str">
        <x:v>指标</x:v>
      </x:c>
      <x:c r="B7" s="15" t="str">
        <x:v>结果</x:v>
      </x:c>
      <x:c r="C7" s="57"/>
      <x:c r="D7" s="57"/>
      <x:c r="E7" s="57"/>
      <x:c r="F7" s="57"/>
      <x:c r="G7" s="57"/>
    </x:row>
    <x:row r="8">
      <x:c r="A8" s="58" t="str">
        <x:v>滚动归母净利润（十亿元）</x:v>
      </x:c>
      <x:c r="B8" s="78" t="n">
        <x:f>'Historical'!C30</x:f>
        <x:v>85.000145</x:v>
      </x:c>
      <x:c r="C8" s="57"/>
      <x:c r="D8" s="57"/>
      <x:c r="E8" s="57"/>
      <x:c r="F8" s="57"/>
      <x:c r="G8" s="57"/>
    </x:row>
    <x:row r="9">
      <x:c r="A9" s="58" t="str">
        <x:v>A 股滚动归母 P/E</x:v>
      </x:c>
      <x:c r="B9" s="87" t="n">
        <x:f>'Assumptions'!B8/('Historical'!C30*1000/'Assumptions'!B11)</x:f>
        <x:v>18.237427006651107</x:v>
      </x:c>
      <x:c r="C9" s="57"/>
      <x:c r="D9" s="57"/>
      <x:c r="E9" s="57"/>
      <x:c r="F9" s="57"/>
      <x:c r="G9" s="57"/>
    </x:row>
    <x:row r="10">
      <x:c r="A10" s="58" t="str">
        <x:v>滚动扣非归母净利润（十亿元）</x:v>
      </x:c>
      <x:c r="B10" s="78" t="n">
        <x:f>'Historical'!C31</x:f>
        <x:v>76.323696</x:v>
      </x:c>
      <x:c r="C10" s="57"/>
      <x:c r="D10" s="57"/>
      <x:c r="E10" s="57"/>
      <x:c r="F10" s="57"/>
      <x:c r="G10" s="57"/>
    </x:row>
    <x:row r="11">
      <x:c r="A11" s="58" t="str">
        <x:v>A 股滚动扣非 P/E</x:v>
      </x:c>
      <x:c r="B11" s="87" t="n">
        <x:f>'Assumptions'!B8/('Historical'!C31*1000/'Assumptions'!B11)</x:f>
        <x:v>20.310650836304628</x:v>
      </x:c>
      <x:c r="C11" s="57"/>
      <x:c r="D11" s="57"/>
      <x:c r="E11" s="57"/>
      <x:c r="F11" s="57"/>
      <x:c r="G11" s="57"/>
    </x:row>
    <x:row r="12">
      <x:c r="A12" s="58" t="str">
        <x:v>H 股折算人民币价格</x:v>
      </x:c>
      <x:c r="B12" s="86" t="n">
        <x:f>'Assumptions'!B9/'Assumptions'!B10</x:f>
        <x:v>469.55183031132395</x:v>
      </x:c>
      <x:c r="C12" s="57"/>
      <x:c r="D12" s="57"/>
      <x:c r="E12" s="57"/>
      <x:c r="F12" s="57"/>
      <x:c r="G12" s="57"/>
    </x:row>
    <x:row r="13">
      <x:c r="A13" s="58" t="str">
        <x:v>H 股滚动归母 P/E</x:v>
      </x:c>
      <x:c r="B13" s="87" t="n">
        <x:f>B12/('Historical'!C30*1000/'Assumptions'!B11)</x:f>
        <x:v>25.402442025280166</x:v>
      </x:c>
      <x:c r="C13" s="57"/>
      <x:c r="D13" s="57"/>
      <x:c r="E13" s="57"/>
      <x:c r="F13" s="57"/>
      <x:c r="G13" s="57"/>
    </x:row>
    <x:row r="14">
      <x:c r="A14" s="58" t="str">
        <x:v>H 股相对 A 股溢价</x:v>
      </x:c>
      <x:c r="B14" s="79" t="n">
        <x:f>B12/'Assumptions'!B8-1</x:f>
        <x:v>0.39287422595391397</x:v>
      </x:c>
      <x:c r="C14" s="57"/>
      <x:c r="D14" s="57"/>
      <x:c r="E14" s="57"/>
      <x:c r="F14" s="57"/>
      <x:c r="G14" s="57"/>
    </x:row>
    <x:row r="15">
      <x:c r="A15" s="57"/>
      <x:c r="B15" s="57"/>
      <x:c r="C15" s="57"/>
      <x:c r="D15" s="57"/>
      <x:c r="E15" s="57"/>
      <x:c r="F15" s="57"/>
      <x:c r="G15" s="57"/>
    </x:row>
    <x:row r="16">
      <x:c r="A16" s="57"/>
      <x:c r="B16" s="57"/>
      <x:c r="C16" s="57"/>
      <x:c r="D16" s="57"/>
      <x:c r="E16" s="57"/>
      <x:c r="F16" s="57"/>
      <x:c r="G16" s="57"/>
    </x:row>
    <x:row r="17">
      <x:c r="A17" s="31" t="str">
        <x:v>2027 情景价值</x:v>
      </x:c>
      <x:c r="B17" s="31"/>
      <x:c r="C17" s="31"/>
      <x:c r="D17" s="31"/>
      <x:c r="E17" s="31"/>
      <x:c r="F17" s="31"/>
      <x:c r="G17" s="31"/>
    </x:row>
    <x:row r="18">
      <x:c r="A18" s="57"/>
      <x:c r="B18" s="57"/>
      <x:c r="C18" s="57"/>
      <x:c r="D18" s="57"/>
      <x:c r="E18" s="57"/>
      <x:c r="F18" s="57"/>
      <x:c r="G18" s="57"/>
    </x:row>
    <x:row r="19">
      <x:c r="A19" s="15" t="str">
        <x:v>指标</x:v>
      </x:c>
      <x:c r="B19" s="15" t="str">
        <x:v>Bear</x:v>
      </x:c>
      <x:c r="C19" s="15" t="str">
        <x:v>Base</x:v>
      </x:c>
      <x:c r="D19" s="15" t="str">
        <x:v>Bull</x:v>
      </x:c>
      <x:c r="E19" s="57"/>
      <x:c r="F19" s="57"/>
      <x:c r="G19" s="57"/>
    </x:row>
    <x:row r="20">
      <x:c r="A20" s="58" t="str">
        <x:v>每股价值（元）</x:v>
      </x:c>
      <x:c r="B20" s="86" t="n">
        <x:f>'Forecast'!B14</x:f>
        <x:v>254.43348355290618</x:v>
      </x:c>
      <x:c r="C20" s="86" t="n">
        <x:f>'Forecast'!C14</x:f>
        <x:v>493.2095219640951</x:v>
      </x:c>
      <x:c r="D20" s="86" t="n">
        <x:f>'Forecast'!D14</x:f>
        <x:v>792.9843570732243</x:v>
      </x:c>
      <x:c r="E20" s="57"/>
      <x:c r="F20" s="57"/>
      <x:c r="G20" s="57"/>
    </x:row>
    <x:row r="21">
      <x:c r="A21" s="58" t="str">
        <x:v>相对 A 股现价</x:v>
      </x:c>
      <x:c r="B21" s="79" t="n">
        <x:f>B20/'Assumptions'!$B$8-1</x:f>
        <x:v>-0.2452508571299986</x:v>
      </x:c>
      <x:c r="C21" s="79" t="n">
        <x:f>C20/'Assumptions'!$B$8-1</x:f>
        <x:v>0.4630521846403104</x:v>
      </x:c>
      <x:c r="D21" s="79" t="n">
        <x:f>D20/'Assumptions'!$B$8-1</x:f>
        <x:v>1.3523014952781711</x:v>
      </x:c>
      <x:c r="E21" s="57"/>
      <x:c r="F21" s="57"/>
      <x:c r="G21" s="57"/>
    </x:row>
    <x:row r="22">
      <x:c r="A22" s="58" t="str">
        <x:v>概率</x:v>
      </x:c>
      <x:c r="B22" s="79" t="n">
        <x:f>'Assumptions'!B18</x:f>
        <x:v>0.25</x:v>
      </x:c>
      <x:c r="C22" s="79" t="n">
        <x:f>'Assumptions'!C18</x:f>
        <x:v>0.55</x:v>
      </x:c>
      <x:c r="D22" s="79" t="n">
        <x:f>'Assumptions'!D18</x:f>
        <x:v>0.2</x:v>
      </x:c>
      <x:c r="E22" s="57"/>
      <x:c r="F22" s="57"/>
      <x:c r="G22" s="57"/>
    </x:row>
    <x:row r="23">
      <x:c r="A23" s="58" t="str">
        <x:v>概率加权贡献</x:v>
      </x:c>
      <x:c r="B23" s="86" t="n">
        <x:f>B20*B22</x:f>
        <x:v>63.608370888226546</x:v>
      </x:c>
      <x:c r="C23" s="86" t="n">
        <x:f>C20*C22</x:f>
        <x:v>271.2652370802523</x:v>
      </x:c>
      <x:c r="D23" s="86" t="n">
        <x:f>D20*D22</x:f>
        <x:v>158.59687141464485</x:v>
      </x:c>
      <x:c r="E23" s="57"/>
      <x:c r="F23" s="57"/>
      <x:c r="G23" s="57"/>
    </x:row>
    <x:row r="24">
      <x:c r="A24" s="58" t="str">
        <x:v>H 股对应价值（港元）</x:v>
      </x:c>
      <x:c r="B24" s="86" t="n">
        <x:f>B20*'Assumptions'!$B$10</x:f>
        <x:v>297.4836289700579</x:v>
      </x:c>
      <x:c r="C24" s="86" t="n">
        <x:f>C20*'Assumptions'!$B$10</x:f>
        <x:v>576.66057308042</x:v>
      </x:c>
      <x:c r="D24" s="86" t="n">
        <x:f>D20*'Assumptions'!$B$10</x:f>
        <x:v>927.1573102900138</x:v>
      </x:c>
      <x:c r="E24" s="57"/>
      <x:c r="F24" s="57"/>
      <x:c r="G24" s="57"/>
    </x:row>
    <x:row r="25">
      <x:c r="A25" s="58" t="str">
        <x:v>H 股相对现价</x:v>
      </x:c>
      <x:c r="B25" s="79" t="n">
        <x:f>B24/'Assumptions'!$B$9-1</x:f>
        <x:v>-0.4581354663569073</x:v>
      </x:c>
      <x:c r="C25" s="79" t="n">
        <x:f>C24/'Assumptions'!$B$9-1</x:f>
        <x:v>0.05038355752353363</x:v>
      </x:c>
      <x:c r="D25" s="79" t="n">
        <x:f>D24/'Assumptions'!$B$9-1</x:f>
        <x:v>0.6888111298543056</x:v>
      </x:c>
      <x:c r="E25" s="57"/>
      <x:c r="F25" s="57"/>
      <x:c r="G25" s="57"/>
    </x:row>
    <x:row r="26">
      <x:c r="A26" s="57"/>
      <x:c r="B26" s="57"/>
      <x:c r="C26" s="57"/>
      <x:c r="D26" s="57"/>
      <x:c r="E26" s="57"/>
      <x:c r="F26" s="57"/>
      <x:c r="G26" s="57"/>
    </x:row>
    <x:row r="27">
      <x:c r="A27" s="57"/>
      <x:c r="B27" s="57"/>
      <x:c r="C27" s="57"/>
      <x:c r="D27" s="57"/>
      <x:c r="E27" s="57"/>
      <x:c r="F27" s="57"/>
      <x:c r="G27" s="57"/>
    </x:row>
    <x:row r="28">
      <x:c r="A28" s="15" t="str">
        <x:v>汇总</x:v>
      </x:c>
      <x:c r="B28" s="15" t="str">
        <x:v>结果</x:v>
      </x:c>
      <x:c r="C28" s="57"/>
      <x:c r="D28" s="57"/>
      <x:c r="E28" s="57"/>
      <x:c r="F28" s="57"/>
      <x:c r="G28" s="57"/>
    </x:row>
    <x:row r="29">
      <x:c r="A29" s="58" t="str">
        <x:v>概率合计</x:v>
      </x:c>
      <x:c r="B29" s="79" t="n">
        <x:f>SUM(B22:D22)</x:f>
        <x:v>1</x:v>
      </x:c>
      <x:c r="C29" s="57"/>
      <x:c r="D29" s="57"/>
      <x:c r="E29" s="57"/>
      <x:c r="F29" s="57"/>
      <x:c r="G29" s="57"/>
    </x:row>
    <x:row r="30">
      <x:c r="A30" s="58" t="str">
        <x:v>概率加权价值（元）</x:v>
      </x:c>
      <x:c r="B30" s="86" t="n">
        <x:f>SUM(B23:D23)</x:f>
        <x:v>493.4704793831237</x:v>
      </x:c>
      <x:c r="C30" s="57"/>
      <x:c r="D30" s="57"/>
      <x:c r="E30" s="57"/>
      <x:c r="F30" s="57"/>
      <x:c r="G30" s="57"/>
    </x:row>
    <x:row r="31">
      <x:c r="A31" s="58" t="str">
        <x:v>相对 A 股现价</x:v>
      </x:c>
      <x:c r="B31" s="79" t="n">
        <x:f>B30/'Assumptions'!B8-1</x:f>
        <x:v>0.4638262863253053</x:v>
      </x:c>
      <x:c r="C31" s="57"/>
      <x:c r="D31" s="57"/>
      <x:c r="E31" s="57"/>
      <x:c r="F31" s="57"/>
      <x:c r="G31" s="57"/>
    </x:row>
    <x:row r="32">
      <x:c r="A32" s="58" t="str">
        <x:v>Base 对应 H 股价值（港元）</x:v>
      </x:c>
      <x:c r="B32" s="86" t="n">
        <x:f>C24</x:f>
        <x:v>576.66057308042</x:v>
      </x:c>
      <x:c r="C32" s="57"/>
      <x:c r="D32" s="57"/>
      <x:c r="E32" s="57"/>
      <x:c r="F32" s="57"/>
      <x:c r="G32" s="57"/>
    </x:row>
    <x:row r="33">
      <x:c r="A33" s="57"/>
      <x:c r="B33" s="57"/>
      <x:c r="C33" s="57"/>
      <x:c r="D33" s="57"/>
      <x:c r="E33" s="57"/>
      <x:c r="F33" s="57"/>
      <x:c r="G33" s="57"/>
    </x:row>
    <x:row r="34">
      <x:c r="A34" s="57"/>
      <x:c r="B34" s="57"/>
      <x:c r="C34" s="57"/>
      <x:c r="D34" s="57"/>
      <x:c r="E34" s="57"/>
      <x:c r="F34" s="57"/>
      <x:c r="G34" s="57"/>
    </x:row>
    <x:row r="35">
      <x:c r="A35" s="57"/>
      <x:c r="B35" s="57"/>
      <x:c r="C35" s="57"/>
      <x:c r="D35" s="57"/>
      <x:c r="E35" s="57"/>
      <x:c r="F35" s="57"/>
      <x:c r="G35" s="57"/>
    </x:row>
    <x:row r="36">
      <x:c r="A36" s="57"/>
      <x:c r="B36" s="57"/>
      <x:c r="C36" s="57"/>
      <x:c r="D36" s="57"/>
      <x:c r="E36" s="57"/>
      <x:c r="F36" s="57"/>
      <x:c r="G36" s="57"/>
    </x:row>
    <x:row r="37">
      <x:c r="A37" s="57"/>
      <x:c r="B37" s="57"/>
      <x:c r="C37" s="57"/>
      <x:c r="D37" s="57"/>
      <x:c r="E37" s="57"/>
      <x:c r="F37" s="57"/>
      <x:c r="G37" s="57"/>
    </x:row>
    <x:row r="38">
      <x:c r="A38" s="57"/>
      <x:c r="B38" s="57"/>
      <x:c r="C38" s="57"/>
      <x:c r="D38" s="57"/>
      <x:c r="E38" s="57"/>
      <x:c r="F38" s="57"/>
      <x:c r="G38" s="57"/>
    </x:row>
    <x:row r="39">
      <x:c r="A39" s="57"/>
      <x:c r="B39" s="57"/>
      <x:c r="C39" s="57"/>
      <x:c r="D39" s="57"/>
      <x:c r="E39" s="57"/>
      <x:c r="F39" s="57"/>
      <x:c r="G39" s="57"/>
    </x:row>
    <x:row r="40">
      <x:c r="A40" s="57"/>
      <x:c r="B40" s="57"/>
      <x:c r="C40" s="57"/>
      <x:c r="D40" s="57"/>
      <x:c r="E40" s="57"/>
      <x:c r="F40" s="57"/>
      <x:c r="G40" s="57"/>
    </x:row>
    <x:row r="41">
      <x:c r="A41" s="57"/>
      <x:c r="B41" s="57"/>
      <x:c r="C41" s="57"/>
      <x:c r="D41" s="57"/>
      <x:c r="E41" s="57"/>
      <x:c r="F41" s="57"/>
      <x:c r="G41" s="57"/>
    </x:row>
    <x:row r="42">
      <x:c r="A42" s="57"/>
      <x:c r="B42" s="57"/>
      <x:c r="C42" s="57"/>
      <x:c r="D42" s="57"/>
      <x:c r="E42" s="57"/>
      <x:c r="F42" s="57"/>
      <x:c r="G42" s="57"/>
    </x:row>
    <x:row r="43">
      <x:c r="A43" s="57"/>
      <x:c r="B43" s="57"/>
      <x:c r="C43" s="57"/>
      <x:c r="D43" s="57"/>
      <x:c r="E43" s="57"/>
      <x:c r="F43" s="57"/>
      <x:c r="G43" s="57"/>
    </x:row>
    <x:row r="44">
      <x:c r="A44" s="57"/>
      <x:c r="B44" s="57"/>
      <x:c r="C44" s="57"/>
      <x:c r="D44" s="57"/>
      <x:c r="E44" s="57"/>
      <x:c r="F44" s="57"/>
      <x:c r="G44" s="57"/>
    </x:row>
    <x:row r="45">
      <x:c r="A45" s="57"/>
      <x:c r="B45" s="57"/>
      <x:c r="C45" s="57"/>
      <x:c r="D45" s="57"/>
      <x:c r="E45" s="57"/>
      <x:c r="F45" s="57"/>
      <x:c r="G45" s="57"/>
    </x:row>
    <x:row r="46">
      <x:c r="A46" s="57"/>
      <x:c r="B46" s="57"/>
      <x:c r="C46" s="57"/>
      <x:c r="D46" s="57"/>
      <x:c r="E46" s="57"/>
      <x:c r="F46" s="57"/>
      <x:c r="G46" s="57"/>
    </x:row>
    <x:row r="47">
      <x:c r="A47" s="57"/>
      <x:c r="B47" s="57"/>
      <x:c r="C47" s="57"/>
      <x:c r="D47" s="57"/>
      <x:c r="E47" s="57"/>
      <x:c r="F47" s="57"/>
      <x:c r="G47" s="57"/>
    </x:row>
    <x:row r="48">
      <x:c r="A48" s="57"/>
      <x:c r="B48" s="57"/>
      <x:c r="C48" s="57"/>
      <x:c r="D48" s="57"/>
      <x:c r="E48" s="57"/>
      <x:c r="F48" s="57"/>
      <x:c r="G48" s="57"/>
    </x:row>
    <x:row r="49">
      <x:c r="A49" s="57"/>
      <x:c r="B49" s="57"/>
      <x:c r="C49" s="57"/>
      <x:c r="D49" s="57"/>
      <x:c r="E49" s="57"/>
      <x:c r="F49" s="57"/>
      <x:c r="G49" s="57"/>
    </x:row>
    <x:row r="50">
      <x:c r="A50" s="57"/>
      <x:c r="B50" s="57"/>
      <x:c r="C50" s="57"/>
      <x:c r="D50" s="57"/>
      <x:c r="E50" s="57"/>
      <x:c r="F50" s="57"/>
      <x:c r="G50" s="57"/>
    </x:row>
    <x:row r="51">
      <x:c r="A51" s="57"/>
      <x:c r="B51" s="57"/>
      <x:c r="C51" s="57"/>
      <x:c r="D51" s="57"/>
      <x:c r="E51" s="57"/>
      <x:c r="F51" s="57"/>
      <x:c r="G51" s="57"/>
    </x:row>
    <x:row r="52">
      <x:c r="A52" s="57"/>
      <x:c r="B52" s="57"/>
      <x:c r="C52" s="57"/>
      <x:c r="D52" s="57"/>
      <x:c r="E52" s="57"/>
      <x:c r="F52" s="57"/>
      <x:c r="G52" s="57"/>
    </x:row>
    <x:row r="53">
      <x:c r="A53" s="57"/>
      <x:c r="B53" s="57"/>
      <x:c r="C53" s="57"/>
      <x:c r="D53" s="57"/>
      <x:c r="E53" s="57"/>
      <x:c r="F53" s="57"/>
      <x:c r="G53" s="57"/>
    </x:row>
    <x:row r="54">
      <x:c r="A54" s="57"/>
      <x:c r="B54" s="57"/>
      <x:c r="C54" s="57"/>
      <x:c r="D54" s="57"/>
      <x:c r="E54" s="57"/>
      <x:c r="F54" s="57"/>
      <x:c r="G54" s="57"/>
    </x:row>
    <x:row r="55">
      <x:c r="A55" s="57"/>
      <x:c r="B55" s="57"/>
      <x:c r="C55" s="57"/>
      <x:c r="D55" s="57"/>
      <x:c r="E55" s="57"/>
      <x:c r="F55" s="57"/>
      <x:c r="G55" s="57"/>
    </x:row>
    <x:row r="56">
      <x:c r="A56" s="57"/>
      <x:c r="B56" s="57"/>
      <x:c r="C56" s="57"/>
      <x:c r="D56" s="57"/>
      <x:c r="E56" s="57"/>
      <x:c r="F56" s="57"/>
      <x:c r="G56" s="57"/>
    </x:row>
    <x:row r="57">
      <x:c r="A57" s="57"/>
      <x:c r="B57" s="57"/>
      <x:c r="C57" s="57"/>
      <x:c r="D57" s="57"/>
      <x:c r="E57" s="57"/>
      <x:c r="F57" s="57"/>
      <x:c r="G57" s="57"/>
    </x:row>
    <x:row r="58">
      <x:c r="A58" s="57"/>
      <x:c r="B58" s="57"/>
      <x:c r="C58" s="57"/>
      <x:c r="D58" s="57"/>
      <x:c r="E58" s="57"/>
      <x:c r="F58" s="57"/>
      <x:c r="G58" s="57"/>
    </x:row>
    <x:row r="59">
      <x:c r="A59" s="57"/>
      <x:c r="B59" s="57"/>
      <x:c r="C59" s="57"/>
      <x:c r="D59" s="57"/>
      <x:c r="E59" s="57"/>
      <x:c r="F59" s="57"/>
      <x:c r="G59" s="57"/>
    </x:row>
    <x:row r="60">
      <x:c r="A60" s="57"/>
      <x:c r="B60" s="57"/>
      <x:c r="C60" s="57"/>
      <x:c r="D60" s="57"/>
      <x:c r="E60" s="57"/>
      <x:c r="F60" s="57"/>
      <x:c r="G60" s="57"/>
    </x:row>
    <x:row r="61">
      <x:c r="A61" s="57"/>
      <x:c r="B61" s="57"/>
      <x:c r="C61" s="57"/>
      <x:c r="D61" s="57"/>
      <x:c r="E61" s="57"/>
      <x:c r="F61" s="57"/>
      <x:c r="G61" s="57"/>
    </x:row>
    <x:row r="62">
      <x:c r="A62" s="57"/>
      <x:c r="B62" s="57"/>
      <x:c r="C62" s="57"/>
      <x:c r="D62" s="57"/>
      <x:c r="E62" s="57"/>
      <x:c r="F62" s="57"/>
      <x:c r="G62" s="57"/>
    </x:row>
    <x:row r="63">
      <x:c r="A63" s="57"/>
      <x:c r="B63" s="57"/>
      <x:c r="C63" s="57"/>
      <x:c r="D63" s="57"/>
      <x:c r="E63" s="57"/>
      <x:c r="F63" s="57"/>
      <x:c r="G63" s="57"/>
    </x:row>
    <x:row r="64">
      <x:c r="A64" s="57"/>
      <x:c r="B64" s="57"/>
      <x:c r="C64" s="57"/>
      <x:c r="D64" s="57"/>
      <x:c r="E64" s="57"/>
      <x:c r="F64" s="57"/>
      <x:c r="G64" s="57"/>
    </x:row>
    <x:row r="65">
      <x:c r="A65" s="57"/>
      <x:c r="B65" s="57"/>
      <x:c r="C65" s="57"/>
      <x:c r="D65" s="57"/>
      <x:c r="E65" s="57"/>
      <x:c r="F65" s="57"/>
      <x:c r="G65" s="57"/>
    </x:row>
    <x:row r="66">
      <x:c r="A66" s="57"/>
      <x:c r="B66" s="57"/>
      <x:c r="C66" s="57"/>
      <x:c r="D66" s="57"/>
      <x:c r="E66" s="57"/>
      <x:c r="F66" s="57"/>
      <x:c r="G66" s="57"/>
    </x:row>
    <x:row r="67">
      <x:c r="A67" s="57"/>
      <x:c r="B67" s="57"/>
      <x:c r="C67" s="57"/>
      <x:c r="D67" s="57"/>
      <x:c r="E67" s="57"/>
      <x:c r="F67" s="57"/>
      <x:c r="G67" s="57"/>
    </x:row>
    <x:row r="68">
      <x:c r="A68" s="57"/>
      <x:c r="B68" s="57"/>
      <x:c r="C68" s="57"/>
      <x:c r="D68" s="57"/>
      <x:c r="E68" s="57"/>
      <x:c r="F68" s="57"/>
      <x:c r="G68" s="57"/>
    </x:row>
    <x:row r="69">
      <x:c r="A69" s="57"/>
      <x:c r="B69" s="57"/>
      <x:c r="C69" s="57"/>
      <x:c r="D69" s="57"/>
      <x:c r="E69" s="57"/>
      <x:c r="F69" s="57"/>
      <x:c r="G69" s="57"/>
    </x:row>
    <x:row r="70">
      <x:c r="A70" s="57"/>
      <x:c r="B70" s="57"/>
      <x:c r="C70" s="57"/>
      <x:c r="D70" s="57"/>
      <x:c r="E70" s="57"/>
      <x:c r="F70" s="57"/>
      <x:c r="G70" s="57"/>
    </x:row>
    <x:row r="71">
      <x:c r="A71" s="57"/>
      <x:c r="B71" s="57"/>
      <x:c r="C71" s="57"/>
      <x:c r="D71" s="57"/>
      <x:c r="E71" s="57"/>
      <x:c r="F71" s="57"/>
      <x:c r="G71" s="57"/>
    </x:row>
    <x:row r="72">
      <x:c r="A72" s="57"/>
      <x:c r="B72" s="57"/>
      <x:c r="C72" s="57"/>
      <x:c r="D72" s="57"/>
      <x:c r="E72" s="57"/>
      <x:c r="F72" s="57"/>
      <x:c r="G72" s="57"/>
    </x:row>
    <x:row r="73">
      <x:c r="A73" s="57"/>
      <x:c r="B73" s="57"/>
      <x:c r="C73" s="57"/>
      <x:c r="D73" s="57"/>
      <x:c r="E73" s="57"/>
      <x:c r="F73" s="57"/>
      <x:c r="G73" s="57"/>
    </x:row>
    <x:row r="74">
      <x:c r="A74" s="57"/>
      <x:c r="B74" s="57"/>
      <x:c r="C74" s="57"/>
      <x:c r="D74" s="57"/>
      <x:c r="E74" s="57"/>
      <x:c r="F74" s="57"/>
      <x:c r="G74" s="57"/>
    </x:row>
    <x:row r="75">
      <x:c r="A75" s="57"/>
      <x:c r="B75" s="57"/>
      <x:c r="C75" s="57"/>
      <x:c r="D75" s="57"/>
      <x:c r="E75" s="57"/>
      <x:c r="F75" s="57"/>
      <x:c r="G75" s="57"/>
    </x:row>
    <x:row r="76">
      <x:c r="A76" s="57"/>
      <x:c r="B76" s="57"/>
      <x:c r="C76" s="57"/>
      <x:c r="D76" s="57"/>
      <x:c r="E76" s="57"/>
      <x:c r="F76" s="57"/>
      <x:c r="G76" s="57"/>
    </x:row>
    <x:row r="77">
      <x:c r="A77" s="57"/>
      <x:c r="B77" s="57"/>
      <x:c r="C77" s="57"/>
      <x:c r="D77" s="57"/>
      <x:c r="E77" s="57"/>
      <x:c r="F77" s="57"/>
      <x:c r="G77" s="57"/>
    </x:row>
    <x:row r="78">
      <x:c r="A78" s="57"/>
      <x:c r="B78" s="57"/>
      <x:c r="C78" s="57"/>
      <x:c r="D78" s="57"/>
      <x:c r="E78" s="57"/>
      <x:c r="F78" s="57"/>
      <x:c r="G78" s="57"/>
    </x:row>
    <x:row r="79">
      <x:c r="A79" s="57"/>
      <x:c r="B79" s="57"/>
      <x:c r="C79" s="57"/>
      <x:c r="D79" s="57"/>
      <x:c r="E79" s="57"/>
      <x:c r="F79" s="57"/>
      <x:c r="G79" s="57"/>
    </x:row>
    <x:row r="80">
      <x:c r="A80" s="57"/>
      <x:c r="B80" s="57"/>
      <x:c r="C80" s="57"/>
      <x:c r="D80" s="57"/>
      <x:c r="E80" s="57"/>
      <x:c r="F80" s="57"/>
      <x:c r="G80" s="57"/>
    </x:row>
  </x:sheetData>
  <x:mergeCells>
    <x:mergeCell ref="A1:G2"/>
    <x:mergeCell ref="A3:G3"/>
    <x:mergeCell ref="A5:G5"/>
    <x:mergeCell ref="A17:G17"/>
  </x:mergeCells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Pr>
    <x:tabColor rgb="FF7B879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39" hidden="0" customWidth="1"/>
    <x:col min="2" max="2" width="19" hidden="0" customWidth="1"/>
    <x:col min="3" max="3" width="16" hidden="0" customWidth="1"/>
    <x:col min="4" max="4" width="16" hidden="0" customWidth="1"/>
    <x:col min="5" max="5" width="3" hidden="0" customWidth="1"/>
    <x:col min="6" max="6" width="3" hidden="0" customWidth="1"/>
  </x:cols>
  <x:sheetData>
    <x:row r="1">
      <x:c r="A1" s="4" t="str">
        <x:v>检查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3">
      <x:c r="A3" s="6" t="str">
        <x:v>所有检查独立读取业务表，不向业务计算反向供数；差额单位见各行</x:v>
      </x:c>
      <x:c r="B3" s="6"/>
      <x:c r="C3" s="6"/>
      <x:c r="D3" s="6"/>
      <x:c r="E3" s="6"/>
      <x:c r="F3" s="6"/>
    </x:row>
    <x:row r="4">
      <x:c r="A4" s="57"/>
      <x:c r="B4" s="57"/>
      <x:c r="C4" s="57"/>
      <x:c r="D4" s="57"/>
      <x:c r="E4" s="57"/>
      <x:c r="F4" s="57"/>
    </x:row>
    <x:row r="5">
      <x:c r="A5" s="14" t="str">
        <x:v>检查</x:v>
      </x:c>
      <x:c r="B5" s="14" t="str">
        <x:v>差额</x:v>
      </x:c>
      <x:c r="C5" s="14" t="str">
        <x:v>容差</x:v>
      </x:c>
      <x:c r="D5" s="14" t="str">
        <x:v>状态</x:v>
      </x:c>
      <x:c r="E5" s="57"/>
      <x:c r="F5" s="57"/>
    </x:row>
    <x:row r="6">
      <x:c r="A6" s="57"/>
      <x:c r="B6" s="57"/>
      <x:c r="C6" s="57"/>
      <x:c r="D6" s="57"/>
      <x:c r="E6" s="57"/>
      <x:c r="F6" s="57"/>
    </x:row>
    <x:row r="7">
      <x:c r="A7" s="57"/>
      <x:c r="B7" s="57"/>
      <x:c r="C7" s="57"/>
      <x:c r="D7" s="57"/>
      <x:c r="E7" s="57"/>
      <x:c r="F7" s="57"/>
    </x:row>
    <x:row r="8">
      <x:c r="A8" s="58" t="str">
        <x:v>2025 产品收入合计与总收入</x:v>
      </x:c>
      <x:c r="B8" s="88" t="n">
        <x:f>'Operations'!B12-'Historical'!E8</x:f>
        <x:v>-5.684341886080802e-14</x:v>
      </x:c>
      <x:c r="C8" s="88" t="n">
        <x:v>0.001</x:v>
      </x:c>
      <x:c r="D8" s="58" t="str">
        <x:f>IF(ABS(B8)&lt;=C8,"OK","REVIEW")</x:f>
        <x:v>OK</x:v>
      </x:c>
      <x:c r="E8" s="57"/>
      <x:c r="F8" s="57"/>
    </x:row>
    <x:row r="9">
      <x:c r="A9" s="58" t="str">
        <x:v>2026H1 产品收入合计与总收入</x:v>
      </x:c>
      <x:c r="B9" s="88" t="n">
        <x:f>'Operations'!E12-'Historical'!G8</x:f>
        <x:v>0</x:v>
      </x:c>
      <x:c r="C9" s="88" t="n">
        <x:v>0.001</x:v>
      </x:c>
      <x:c r="D9" s="58" t="str">
        <x:f>IF(ABS(B9)&lt;=C9,"OK","REVIEW")</x:f>
        <x:v>OK</x:v>
      </x:c>
      <x:c r="E9" s="57"/>
      <x:c r="F9" s="57"/>
    </x:row>
    <x:row r="10">
      <x:c r="A10" s="58" t="str">
        <x:v>2025 地区收入合计与总收入</x:v>
      </x:c>
      <x:c r="B10" s="88" t="n">
        <x:f>'Operations'!B20-'Historical'!E8</x:f>
        <x:v>0</x:v>
      </x:c>
      <x:c r="C10" s="88" t="n">
        <x:v>0.001</x:v>
      </x:c>
      <x:c r="D10" s="58" t="str">
        <x:f>IF(ABS(B10)&lt;=C10,"OK","REVIEW")</x:f>
        <x:v>OK</x:v>
      </x:c>
      <x:c r="E10" s="57"/>
      <x:c r="F10" s="57"/>
    </x:row>
    <x:row r="11">
      <x:c r="A11" s="58" t="str">
        <x:v>2026H1 地区收入合计与总收入</x:v>
      </x:c>
      <x:c r="B11" s="88" t="n">
        <x:f>'Operations'!D20-'Historical'!G8</x:f>
        <x:v>0</x:v>
      </x:c>
      <x:c r="C11" s="88" t="n">
        <x:v>0.001</x:v>
      </x:c>
      <x:c r="D11" s="58" t="str">
        <x:f>IF(ABS(B11)&lt;=C11,"OK","REVIEW")</x:f>
        <x:v>OK</x:v>
      </x:c>
      <x:c r="E11" s="57"/>
      <x:c r="F11" s="57"/>
    </x:row>
    <x:row r="12">
      <x:c r="A12" s="58" t="str">
        <x:v>2025 简化自由现金流</x:v>
      </x:c>
      <x:c r="B12" s="88" t="n">
        <x:f>'Historical'!E20-('Historical'!E17-'Historical'!E19)</x:f>
        <x:v>0</x:v>
      </x:c>
      <x:c r="C12" s="88" t="n">
        <x:v>0.001</x:v>
      </x:c>
      <x:c r="D12" s="58" t="str">
        <x:f>IF(ABS(B12)&lt;=C12,"OK","REVIEW")</x:f>
        <x:v>OK</x:v>
      </x:c>
      <x:c r="E12" s="57"/>
      <x:c r="F12" s="57"/>
    </x:row>
    <x:row r="13">
      <x:c r="A13" s="58" t="str">
        <x:v>2026H1 简化自由现金流</x:v>
      </x:c>
      <x:c r="B13" s="88" t="n">
        <x:f>'Historical'!G20-('Historical'!G17-'Historical'!G19)</x:f>
        <x:v>0</x:v>
      </x:c>
      <x:c r="C13" s="88" t="n">
        <x:v>0.001</x:v>
      </x:c>
      <x:c r="D13" s="58" t="str">
        <x:f>IF(ABS(B13)&lt;=C13,"OK","REVIEW")</x:f>
        <x:v>OK</x:v>
      </x:c>
      <x:c r="E13" s="57"/>
      <x:c r="F13" s="57"/>
    </x:row>
    <x:row r="14">
      <x:c r="A14" s="58" t="str">
        <x:v>2026H1 预计负债合计</x:v>
      </x:c>
      <x:c r="B14" s="88" t="n">
        <x:f>'Balance &amp; Cash'!F31-'Balance &amp; Cash'!C20</x:f>
        <x:v>0</x:v>
      </x:c>
      <x:c r="C14" s="88" t="n">
        <x:v>0.001</x:v>
      </x:c>
      <x:c r="D14" s="58" t="str">
        <x:f>IF(ABS(B14)&lt;=C14,"OK","REVIEW")</x:f>
        <x:v>OK</x:v>
      </x:c>
      <x:c r="E14" s="57"/>
      <x:c r="F14" s="57"/>
    </x:row>
    <x:row r="15">
      <x:c r="A15" s="58" t="str">
        <x:v>2026H1 净现金公式</x:v>
      </x:c>
      <x:c r="B15" s="88" t="n">
        <x:f>'Balance &amp; Cash'!C22-('Balance &amp; Cash'!C8+'Balance &amp; Cash'!C9-SUM('Balance &amp; Cash'!C15:C19))</x:f>
        <x:v>0</x:v>
      </x:c>
      <x:c r="C15" s="88" t="n">
        <x:v>0.001</x:v>
      </x:c>
      <x:c r="D15" s="58" t="str">
        <x:f>IF(ABS(B15)&lt;=C15,"OK","REVIEW")</x:f>
        <x:v>OK</x:v>
      </x:c>
      <x:c r="E15" s="57"/>
      <x:c r="F15" s="57"/>
    </x:row>
    <x:row r="16">
      <x:c r="A16" s="58" t="str">
        <x:v>情景概率合计</x:v>
      </x:c>
      <x:c r="B16" s="88" t="n">
        <x:f>'Valuation'!B29-1</x:f>
        <x:v>0</x:v>
      </x:c>
      <x:c r="C16" s="88" t="n">
        <x:v>0.000001</x:v>
      </x:c>
      <x:c r="D16" s="58" t="str">
        <x:f>IF(ABS(B16)&lt;=C16,"OK","REVIEW")</x:f>
        <x:v>OK</x:v>
      </x:c>
      <x:c r="E16" s="57"/>
      <x:c r="F16" s="57"/>
    </x:row>
    <x:row r="17">
      <x:c r="A17" s="58" t="str">
        <x:v>股本桥：A+H-库存股</x:v>
      </x:c>
      <x:c r="B17" s="88" t="n">
        <x:f>(4408.470110+218.300300-28.319044)-'Assumptions'!B11</x:f>
        <x:v>0</x:v>
      </x:c>
      <x:c r="C17" s="88" t="n">
        <x:v>0.000001</x:v>
      </x:c>
      <x:c r="D17" s="58" t="str">
        <x:f>IF(ABS(B17)&lt;=C17,"OK","REVIEW")</x:f>
        <x:v>OK</x:v>
      </x:c>
      <x:c r="E17" s="57"/>
      <x:c r="F17" s="57"/>
    </x:row>
    <x:row r="18">
      <x:c r="A18" s="57"/>
      <x:c r="B18" s="57"/>
      <x:c r="C18" s="57"/>
      <x:c r="D18" s="57"/>
      <x:c r="E18" s="57"/>
      <x:c r="F18" s="57"/>
    </x:row>
    <x:row r="19">
      <x:c r="A19" s="57"/>
      <x:c r="B19" s="57"/>
      <x:c r="C19" s="57"/>
      <x:c r="D19" s="57"/>
      <x:c r="E19" s="57"/>
      <x:c r="F19" s="57"/>
    </x:row>
    <x:row r="20">
      <x:c r="A20" s="73" t="str">
        <x:v>验收说明</x:v>
      </x:c>
      <x:c r="B20" s="73"/>
      <x:c r="C20" s="73"/>
      <x:c r="D20" s="73"/>
      <x:c r="E20" s="73"/>
      <x:c r="F20" s="73"/>
    </x:row>
    <x:row r="21">
      <x:c r="A21" s="57" t="str">
        <x:v>公式错误扫描覆盖常见 Excel 错误。</x:v>
      </x:c>
      <x:c r="B21" s="57"/>
      <x:c r="C21" s="57"/>
      <x:c r="D21" s="57"/>
      <x:c r="E21" s="57"/>
      <x:c r="F21" s="57"/>
    </x:row>
    <x:row r="22">
      <x:c r="A22" s="57" t="str">
        <x:v>模型完成后会变更 Base 收入输入并验证 Forecast 与 Valuation 同步更新，再恢复原值。</x:v>
      </x:c>
      <x:c r="B22" s="57"/>
      <x:c r="C22" s="57"/>
      <x:c r="D22" s="57"/>
      <x:c r="E22" s="57"/>
      <x:c r="F22" s="57"/>
    </x:row>
    <x:row r="23">
      <x:c r="A23" s="57" t="str">
        <x:v>所有工作表都会渲染检查文字、数字与图表是否完整显示。</x:v>
      </x:c>
      <x:c r="B23" s="57"/>
      <x:c r="C23" s="57"/>
      <x:c r="D23" s="57"/>
      <x:c r="E23" s="57"/>
      <x:c r="F23" s="57"/>
    </x:row>
    <x:row r="24">
      <x:c r="A24" s="57"/>
      <x:c r="B24" s="57"/>
      <x:c r="C24" s="57"/>
      <x:c r="D24" s="57"/>
      <x:c r="E24" s="57"/>
      <x:c r="F24" s="57"/>
    </x:row>
    <x:row r="25">
      <x:c r="A25" s="57"/>
      <x:c r="B25" s="57"/>
      <x:c r="C25" s="57"/>
      <x:c r="D25" s="57"/>
      <x:c r="E25" s="57"/>
      <x:c r="F25" s="57"/>
    </x:row>
    <x:row r="26">
      <x:c r="A26" s="57"/>
      <x:c r="B26" s="57"/>
      <x:c r="C26" s="57"/>
      <x:c r="D26" s="57"/>
      <x:c r="E26" s="57"/>
      <x:c r="F26" s="57"/>
    </x:row>
    <x:row r="27">
      <x:c r="A27" s="57"/>
      <x:c r="B27" s="57"/>
      <x:c r="C27" s="57"/>
      <x:c r="D27" s="57"/>
      <x:c r="E27" s="57"/>
      <x:c r="F27" s="57"/>
    </x:row>
    <x:row r="28">
      <x:c r="A28" s="57"/>
      <x:c r="B28" s="57"/>
      <x:c r="C28" s="57"/>
      <x:c r="D28" s="57"/>
      <x:c r="E28" s="57"/>
      <x:c r="F28" s="57"/>
    </x:row>
    <x:row r="29">
      <x:c r="A29" s="57"/>
      <x:c r="B29" s="57"/>
      <x:c r="C29" s="57"/>
      <x:c r="D29" s="57"/>
      <x:c r="E29" s="57"/>
      <x:c r="F29" s="57"/>
    </x:row>
    <x:row r="30">
      <x:c r="A30" s="57"/>
      <x:c r="B30" s="57"/>
      <x:c r="C30" s="57"/>
      <x:c r="D30" s="57"/>
      <x:c r="E30" s="57"/>
      <x:c r="F30" s="57"/>
    </x:row>
    <x:row r="31">
      <x:c r="A31" s="57"/>
      <x:c r="B31" s="57"/>
      <x:c r="C31" s="57"/>
      <x:c r="D31" s="57"/>
      <x:c r="E31" s="57"/>
      <x:c r="F31" s="57"/>
    </x:row>
    <x:row r="32">
      <x:c r="A32" s="57"/>
      <x:c r="B32" s="57"/>
      <x:c r="C32" s="57"/>
      <x:c r="D32" s="57"/>
      <x:c r="E32" s="57"/>
      <x:c r="F32" s="57"/>
    </x:row>
    <x:row r="33">
      <x:c r="A33" s="57"/>
      <x:c r="B33" s="57"/>
      <x:c r="C33" s="57"/>
      <x:c r="D33" s="57"/>
      <x:c r="E33" s="57"/>
      <x:c r="F33" s="57"/>
    </x:row>
    <x:row r="34">
      <x:c r="A34" s="57"/>
      <x:c r="B34" s="57"/>
      <x:c r="C34" s="57"/>
      <x:c r="D34" s="57"/>
      <x:c r="E34" s="57"/>
      <x:c r="F34" s="57"/>
    </x:row>
    <x:row r="35">
      <x:c r="A35" s="57"/>
      <x:c r="B35" s="57"/>
      <x:c r="C35" s="57"/>
      <x:c r="D35" s="57"/>
      <x:c r="E35" s="57"/>
      <x:c r="F35" s="57"/>
    </x:row>
    <x:row r="36">
      <x:c r="A36" s="57"/>
      <x:c r="B36" s="57"/>
      <x:c r="C36" s="57"/>
      <x:c r="D36" s="57"/>
      <x:c r="E36" s="57"/>
      <x:c r="F36" s="57"/>
    </x:row>
    <x:row r="37">
      <x:c r="A37" s="57"/>
      <x:c r="B37" s="57"/>
      <x:c r="C37" s="57"/>
      <x:c r="D37" s="57"/>
      <x:c r="E37" s="57"/>
      <x:c r="F37" s="57"/>
    </x:row>
    <x:row r="38">
      <x:c r="A38" s="57"/>
      <x:c r="B38" s="57"/>
      <x:c r="C38" s="57"/>
      <x:c r="D38" s="57"/>
      <x:c r="E38" s="57"/>
      <x:c r="F38" s="57"/>
    </x:row>
    <x:row r="39">
      <x:c r="A39" s="57"/>
      <x:c r="B39" s="57"/>
      <x:c r="C39" s="57"/>
      <x:c r="D39" s="57"/>
      <x:c r="E39" s="57"/>
      <x:c r="F39" s="57"/>
    </x:row>
    <x:row r="40">
      <x:c r="A40" s="57"/>
      <x:c r="B40" s="57"/>
      <x:c r="C40" s="57"/>
      <x:c r="D40" s="57"/>
      <x:c r="E40" s="57"/>
      <x:c r="F40" s="57"/>
    </x:row>
    <x:row r="41">
      <x:c r="A41" s="57"/>
      <x:c r="B41" s="57"/>
      <x:c r="C41" s="57"/>
      <x:c r="D41" s="57"/>
      <x:c r="E41" s="57"/>
      <x:c r="F41" s="57"/>
    </x:row>
    <x:row r="42">
      <x:c r="A42" s="57"/>
      <x:c r="B42" s="57"/>
      <x:c r="C42" s="57"/>
      <x:c r="D42" s="57"/>
      <x:c r="E42" s="57"/>
      <x:c r="F42" s="57"/>
    </x:row>
    <x:row r="43">
      <x:c r="A43" s="57"/>
      <x:c r="B43" s="57"/>
      <x:c r="C43" s="57"/>
      <x:c r="D43" s="57"/>
      <x:c r="E43" s="57"/>
      <x:c r="F43" s="57"/>
    </x:row>
    <x:row r="44">
      <x:c r="A44" s="57"/>
      <x:c r="B44" s="57"/>
      <x:c r="C44" s="57"/>
      <x:c r="D44" s="57"/>
      <x:c r="E44" s="57"/>
      <x:c r="F44" s="57"/>
    </x:row>
    <x:row r="45">
      <x:c r="A45" s="57"/>
      <x:c r="B45" s="57"/>
      <x:c r="C45" s="57"/>
      <x:c r="D45" s="57"/>
      <x:c r="E45" s="57"/>
      <x:c r="F45" s="57"/>
    </x:row>
    <x:row r="46">
      <x:c r="A46" s="57"/>
      <x:c r="B46" s="57"/>
      <x:c r="C46" s="57"/>
      <x:c r="D46" s="57"/>
      <x:c r="E46" s="57"/>
      <x:c r="F46" s="57"/>
    </x:row>
    <x:row r="47">
      <x:c r="A47" s="57"/>
      <x:c r="B47" s="57"/>
      <x:c r="C47" s="57"/>
      <x:c r="D47" s="57"/>
      <x:c r="E47" s="57"/>
      <x:c r="F47" s="57"/>
    </x:row>
    <x:row r="48">
      <x:c r="A48" s="57"/>
      <x:c r="B48" s="57"/>
      <x:c r="C48" s="57"/>
      <x:c r="D48" s="57"/>
      <x:c r="E48" s="57"/>
      <x:c r="F48" s="57"/>
    </x:row>
    <x:row r="49">
      <x:c r="A49" s="57"/>
      <x:c r="B49" s="57"/>
      <x:c r="C49" s="57"/>
      <x:c r="D49" s="57"/>
      <x:c r="E49" s="57"/>
      <x:c r="F49" s="57"/>
    </x:row>
    <x:row r="50">
      <x:c r="A50" s="57"/>
      <x:c r="B50" s="57"/>
      <x:c r="C50" s="57"/>
      <x:c r="D50" s="57"/>
      <x:c r="E50" s="57"/>
      <x:c r="F50" s="57"/>
    </x:row>
    <x:row r="51">
      <x:c r="A51" s="57"/>
      <x:c r="B51" s="57"/>
      <x:c r="C51" s="57"/>
      <x:c r="D51" s="57"/>
      <x:c r="E51" s="57"/>
      <x:c r="F51" s="57"/>
    </x:row>
    <x:row r="52">
      <x:c r="A52" s="57"/>
      <x:c r="B52" s="57"/>
      <x:c r="C52" s="57"/>
      <x:c r="D52" s="57"/>
      <x:c r="E52" s="57"/>
      <x:c r="F52" s="57"/>
    </x:row>
    <x:row r="53">
      <x:c r="A53" s="57"/>
      <x:c r="B53" s="57"/>
      <x:c r="C53" s="57"/>
      <x:c r="D53" s="57"/>
      <x:c r="E53" s="57"/>
      <x:c r="F53" s="57"/>
    </x:row>
    <x:row r="54">
      <x:c r="A54" s="57"/>
      <x:c r="B54" s="57"/>
      <x:c r="C54" s="57"/>
      <x:c r="D54" s="57"/>
      <x:c r="E54" s="57"/>
      <x:c r="F54" s="57"/>
    </x:row>
    <x:row r="55">
      <x:c r="A55" s="57"/>
      <x:c r="B55" s="57"/>
      <x:c r="C55" s="57"/>
      <x:c r="D55" s="57"/>
      <x:c r="E55" s="57"/>
      <x:c r="F55" s="57"/>
    </x:row>
    <x:row r="56">
      <x:c r="A56" s="57"/>
      <x:c r="B56" s="57"/>
      <x:c r="C56" s="57"/>
      <x:c r="D56" s="57"/>
      <x:c r="E56" s="57"/>
      <x:c r="F56" s="57"/>
    </x:row>
    <x:row r="57">
      <x:c r="A57" s="57"/>
      <x:c r="B57" s="57"/>
      <x:c r="C57" s="57"/>
      <x:c r="D57" s="57"/>
      <x:c r="E57" s="57"/>
      <x:c r="F57" s="57"/>
    </x:row>
    <x:row r="58">
      <x:c r="A58" s="57"/>
      <x:c r="B58" s="57"/>
      <x:c r="C58" s="57"/>
      <x:c r="D58" s="57"/>
      <x:c r="E58" s="57"/>
      <x:c r="F58" s="57"/>
    </x:row>
    <x:row r="59">
      <x:c r="A59" s="57"/>
      <x:c r="B59" s="57"/>
      <x:c r="C59" s="57"/>
      <x:c r="D59" s="57"/>
      <x:c r="E59" s="57"/>
      <x:c r="F59" s="57"/>
    </x:row>
    <x:row r="60">
      <x:c r="A60" s="57"/>
      <x:c r="B60" s="57"/>
      <x:c r="C60" s="57"/>
      <x:c r="D60" s="57"/>
      <x:c r="E60" s="57"/>
      <x:c r="F60" s="57"/>
    </x:row>
    <x:row r="61">
      <x:c r="A61" s="57"/>
      <x:c r="B61" s="57"/>
      <x:c r="C61" s="57"/>
      <x:c r="D61" s="57"/>
      <x:c r="E61" s="57"/>
      <x:c r="F61" s="57"/>
    </x:row>
    <x:row r="62">
      <x:c r="A62" s="57"/>
      <x:c r="B62" s="57"/>
      <x:c r="C62" s="57"/>
      <x:c r="D62" s="57"/>
      <x:c r="E62" s="57"/>
      <x:c r="F62" s="57"/>
    </x:row>
    <x:row r="63">
      <x:c r="A63" s="57"/>
      <x:c r="B63" s="57"/>
      <x:c r="C63" s="57"/>
      <x:c r="D63" s="57"/>
      <x:c r="E63" s="57"/>
      <x:c r="F63" s="57"/>
    </x:row>
    <x:row r="64">
      <x:c r="A64" s="57"/>
      <x:c r="B64" s="57"/>
      <x:c r="C64" s="57"/>
      <x:c r="D64" s="57"/>
      <x:c r="E64" s="57"/>
      <x:c r="F64" s="57"/>
    </x:row>
    <x:row r="65">
      <x:c r="A65" s="57"/>
      <x:c r="B65" s="57"/>
      <x:c r="C65" s="57"/>
      <x:c r="D65" s="57"/>
      <x:c r="E65" s="57"/>
      <x:c r="F65" s="57"/>
    </x:row>
    <x:row r="66">
      <x:c r="A66" s="57"/>
      <x:c r="B66" s="57"/>
      <x:c r="C66" s="57"/>
      <x:c r="D66" s="57"/>
      <x:c r="E66" s="57"/>
      <x:c r="F66" s="57"/>
    </x:row>
    <x:row r="67">
      <x:c r="A67" s="57"/>
      <x:c r="B67" s="57"/>
      <x:c r="C67" s="57"/>
      <x:c r="D67" s="57"/>
      <x:c r="E67" s="57"/>
      <x:c r="F67" s="57"/>
    </x:row>
    <x:row r="68">
      <x:c r="A68" s="57"/>
      <x:c r="B68" s="57"/>
      <x:c r="C68" s="57"/>
      <x:c r="D68" s="57"/>
      <x:c r="E68" s="57"/>
      <x:c r="F68" s="57"/>
    </x:row>
    <x:row r="69">
      <x:c r="A69" s="57"/>
      <x:c r="B69" s="57"/>
      <x:c r="C69" s="57"/>
      <x:c r="D69" s="57"/>
      <x:c r="E69" s="57"/>
      <x:c r="F69" s="57"/>
    </x:row>
    <x:row r="70">
      <x:c r="A70" s="57"/>
      <x:c r="B70" s="57"/>
      <x:c r="C70" s="57"/>
      <x:c r="D70" s="57"/>
      <x:c r="E70" s="57"/>
      <x:c r="F70" s="57"/>
    </x:row>
    <x:row r="71">
      <x:c r="A71" s="57"/>
      <x:c r="B71" s="57"/>
      <x:c r="C71" s="57"/>
      <x:c r="D71" s="57"/>
      <x:c r="E71" s="57"/>
      <x:c r="F71" s="57"/>
    </x:row>
    <x:row r="72">
      <x:c r="A72" s="57"/>
      <x:c r="B72" s="57"/>
      <x:c r="C72" s="57"/>
      <x:c r="D72" s="57"/>
      <x:c r="E72" s="57"/>
      <x:c r="F72" s="57"/>
    </x:row>
    <x:row r="73">
      <x:c r="A73" s="57"/>
      <x:c r="B73" s="57"/>
      <x:c r="C73" s="57"/>
      <x:c r="D73" s="57"/>
      <x:c r="E73" s="57"/>
      <x:c r="F73" s="57"/>
    </x:row>
    <x:row r="74">
      <x:c r="A74" s="57"/>
      <x:c r="B74" s="57"/>
      <x:c r="C74" s="57"/>
      <x:c r="D74" s="57"/>
      <x:c r="E74" s="57"/>
      <x:c r="F74" s="57"/>
    </x:row>
    <x:row r="75">
      <x:c r="A75" s="57"/>
      <x:c r="B75" s="57"/>
      <x:c r="C75" s="57"/>
      <x:c r="D75" s="57"/>
      <x:c r="E75" s="57"/>
      <x:c r="F75" s="57"/>
    </x:row>
    <x:row r="76">
      <x:c r="A76" s="57"/>
      <x:c r="B76" s="57"/>
      <x:c r="C76" s="57"/>
      <x:c r="D76" s="57"/>
      <x:c r="E76" s="57"/>
      <x:c r="F76" s="57"/>
    </x:row>
    <x:row r="77">
      <x:c r="A77" s="57"/>
      <x:c r="B77" s="57"/>
      <x:c r="C77" s="57"/>
      <x:c r="D77" s="57"/>
      <x:c r="E77" s="57"/>
      <x:c r="F77" s="57"/>
    </x:row>
    <x:row r="78">
      <x:c r="A78" s="57"/>
      <x:c r="B78" s="57"/>
      <x:c r="C78" s="57"/>
      <x:c r="D78" s="57"/>
      <x:c r="E78" s="57"/>
      <x:c r="F78" s="57"/>
    </x:row>
    <x:row r="79">
      <x:c r="A79" s="57"/>
      <x:c r="B79" s="57"/>
      <x:c r="C79" s="57"/>
      <x:c r="D79" s="57"/>
      <x:c r="E79" s="57"/>
      <x:c r="F79" s="57"/>
    </x:row>
    <x:row r="80">
      <x:c r="A80" s="57"/>
      <x:c r="B80" s="57"/>
      <x:c r="C80" s="57"/>
      <x:c r="D80" s="57"/>
      <x:c r="E80" s="57"/>
      <x:c r="F80" s="57"/>
    </x:row>
  </x:sheetData>
  <x:mergeCells>
    <x:mergeCell ref="A1:F2"/>
    <x:mergeCell ref="A3:F3"/>
    <x:mergeCell ref="A20:F20"/>
    <x:mergeCell ref="A21:F21"/>
    <x:mergeCell ref="A22:F22"/>
    <x:mergeCell ref="A23:F23"/>
  </x:mergeCells>
  <x:conditionalFormatting sqref="D8:D17">
    <x:cfRule type="containsText" dxfId="0" priority="1" operator="containsText" text="REVIEW"/>
    <x:cfRule type="containsText" dxfId="1" priority="2" operator="containsText" text="OK"/>
  </x:conditionalFormatting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Pr>
    <x:tabColor rgb="FF7B8794"/>
  </x:sheetPr>
  <x:sheetViews>
    <x:sheetView showGridLines="0" workbookViewId="0">
      <x:pane ySplit="5" topLeftCell="A6" activePane="bottomLeft" state="frozen"/>
    </x:sheetView>
  </x:sheetViews>
  <x:sheetFormatPr defaultRowHeight="15"/>
  <x:cols>
    <x:col min="1" max="1" width="25" hidden="0" customWidth="1"/>
    <x:col min="2" max="2" width="15" hidden="0" customWidth="1"/>
    <x:col min="3" max="3" width="34" hidden="0" customWidth="1"/>
    <x:col min="4" max="4" width="20" hidden="0" customWidth="1"/>
    <x:col min="5" max="5" width="62" hidden="0" customWidth="1"/>
    <x:col min="6" max="6" width="38" hidden="0" customWidth="1"/>
  </x:cols>
  <x:sheetData>
    <x:row r="1">
      <x:c r="A1" s="4" t="str">
        <x:v>来源审计</x:v>
      </x:c>
      <x:c r="B1" s="4"/>
      <x:c r="C1" s="4"/>
      <x:c r="D1" s="4"/>
      <x:c r="E1" s="4"/>
      <x:c r="F1" s="4"/>
    </x:row>
    <x:row r="2">
      <x:c r="A2" s="4"/>
      <x:c r="B2" s="4"/>
      <x:c r="C2" s="4"/>
      <x:c r="D2" s="4"/>
      <x:c r="E2" s="4"/>
      <x:c r="F2" s="4"/>
    </x:row>
    <x:row r="3">
      <x:c r="A3" s="6" t="str">
        <x:v>输入可追溯至交易所披露、公司正式材料和固定日期市场数据</x:v>
      </x:c>
      <x:c r="B3" s="6"/>
      <x:c r="C3" s="6"/>
      <x:c r="D3" s="6"/>
      <x:c r="E3" s="6"/>
      <x:c r="F3" s="6"/>
    </x:row>
    <x:row r="4">
      <x:c r="A4" s="57"/>
      <x:c r="B4" s="57"/>
      <x:c r="C4" s="57"/>
      <x:c r="D4" s="57"/>
      <x:c r="E4" s="57"/>
      <x:c r="F4" s="57"/>
    </x:row>
    <x:row r="5">
      <x:c r="A5" s="14" t="str">
        <x:v>来源</x:v>
      </x:c>
      <x:c r="B5" s="14" t="str">
        <x:v>日期</x:v>
      </x:c>
      <x:c r="C5" s="14" t="str">
        <x:v>主要输入</x:v>
      </x:c>
      <x:c r="D5" s="14" t="str">
        <x:v>口径</x:v>
      </x:c>
      <x:c r="E5" s="14" t="str">
        <x:v>链接</x:v>
      </x:c>
      <x:c r="F5" s="14" t="str">
        <x:v>质量与限制</x:v>
      </x:c>
    </x:row>
    <x:row r="6">
      <x:c r="A6" s="57"/>
      <x:c r="B6" s="57"/>
      <x:c r="C6" s="57"/>
      <x:c r="D6" s="57"/>
      <x:c r="E6" s="57"/>
      <x:c r="F6" s="57"/>
    </x:row>
    <x:row r="7" ht="48" customHeight="1">
      <x:c r="A7" s="72" t="str">
        <x:v>2025 年年度报告</x:v>
      </x:c>
      <x:c r="B7" s="72" t="str">
        <x:v>2026-03-10</x:v>
      </x:c>
      <x:c r="C7" s="72" t="str">
        <x:v>2023—2025 财务、产能、份额、分产品数据</x:v>
      </x:c>
      <x:c r="D7" s="72" t="str">
        <x:v>人民币千元/GWh</x:v>
      </x:c>
      <x:c r="E7" s="72" t="str">
        <x:v>https://disc.static.szse.cn/disc/disk03/finalpage/2026-03-10/f019f96b-b960-410b-b88f-08838a36d81b.PDF</x:v>
      </x:c>
      <x:c r="F7" s="72" t="str">
        <x:v>经审计正式披露；行业份额为公司引用第三方数据</x:v>
      </x:c>
    </x:row>
    <x:row r="8" ht="48" customHeight="1">
      <x:c r="A8" s="72" t="str">
        <x:v>2026 年半年度报告</x:v>
      </x:c>
      <x:c r="B8" s="72" t="str">
        <x:v>2026-07-25</x:v>
      </x:c>
      <x:c r="C8" s="72" t="str">
        <x:v>H1 财务、业务、产能、股本、分红、回购</x:v>
      </x:c>
      <x:c r="D8" s="72" t="str">
        <x:v>人民币千元/GWh</x:v>
      </x:c>
      <x:c r="E8" s="72" t="str">
        <x:v>https://disc.static.szse.cn/download/disc/disk03/finalpage/2026-07-25/8e6750da-b178-4be9-a74a-4b1d8fc42c58.PDF</x:v>
      </x:c>
      <x:c r="F8" s="72" t="str">
        <x:v>正式披露；中期财务未经审计</x:v>
      </x:c>
    </x:row>
    <x:row r="9" ht="48" customHeight="1">
      <x:c r="A9" s="72" t="str">
        <x:v>2026 年 8 月月报表</x:v>
      </x:c>
      <x:c r="B9" s="72" t="str">
        <x:v>2026-09-03</x:v>
      </x:c>
      <x:c r="C9" s="72" t="str">
        <x:v>A/H 股本与库存股</x:v>
      </x:c>
      <x:c r="D9" s="72" t="str">
        <x:v>股</x:v>
      </x:c>
      <x:c r="E9" s="72" t="str">
        <x:v>https://www1.hkexnews.hk/listedco/listconews/sehk/2026/0903/2026090301562.pdf</x:v>
      </x:c>
      <x:c r="F9" s="72" t="str">
        <x:v>港交所正式披露</x:v>
      </x:c>
    </x:row>
    <x:row r="10" ht="48" customHeight="1">
      <x:c r="A10" s="72" t="str">
        <x:v>2026 年回购通函</x:v>
      </x:c>
      <x:c r="B10" s="72" t="str">
        <x:v>2026-07-26</x:v>
      </x:c>
      <x:c r="C10" s="72" t="str">
        <x:v>200—400 亿元注销式回购</x:v>
      </x:c>
      <x:c r="D10" s="72" t="str">
        <x:v>人民币</x:v>
      </x:c>
      <x:c r="E10" s="72" t="str">
        <x:v>https://www1.hkexnews.hk/listedco/listconews/sehk/2026/0726/2026072600107.pdf</x:v>
      </x:c>
      <x:c r="F10" s="72" t="str">
        <x:v>港交所正式披露；最终执行额未定</x:v>
      </x:c>
    </x:row>
    <x:row r="11" ht="48" customHeight="1">
      <x:c r="A11" s="72" t="str">
        <x:v>首次回购公告全文镜像</x:v>
      </x:c>
      <x:c r="B11" s="72" t="str">
        <x:v>2026-09-11</x:v>
      </x:c>
      <x:c r="C11" s="72" t="str">
        <x:v>604,293 股，约 2.00 亿元</x:v>
      </x:c>
      <x:c r="D11" s="72" t="str">
        <x:v>股/人民币</x:v>
      </x:c>
      <x:c r="E11" s="72" t="str">
        <x:v>https://money.finance.sina.com.cn/corp/view/vCB_AllBulletinDetail.php?id=12598706&amp;stockid=300750</x:v>
      </x:c>
      <x:c r="F11" s="72" t="str">
        <x:v>完整转载公司公告</x:v>
      </x:c>
    </x:row>
    <x:row r="12" ht="48" customHeight="1">
      <x:c r="A12" s="72" t="str">
        <x:v>Twelve Data</x:v>
      </x:c>
      <x:c r="B12" s="72" t="str">
        <x:v>2026-09-14</x:v>
      </x:c>
      <x:c r="C12" s="72" t="str">
        <x:v>A 股收盘 337.11 元</x:v>
      </x:c>
      <x:c r="D12" s="72" t="str">
        <x:v>人民币/股</x:v>
      </x:c>
      <x:c r="E12" s="72" t="str">
        <x:v>https://twelvedata.com/markets/795109/stock/szse/300750/historical-data</x:v>
      </x:c>
      <x:c r="F12" s="72" t="str">
        <x:v>二级行情源</x:v>
      </x:c>
    </x:row>
    <x:row r="13" ht="48" customHeight="1">
      <x:c r="A13" s="72" t="str">
        <x:v>MarketScreener</x:v>
      </x:c>
      <x:c r="B13" s="72" t="str">
        <x:v>2026-09-14</x:v>
      </x:c>
      <x:c r="C13" s="72" t="str">
        <x:v>H 股收盘 549.00 港元</x:v>
      </x:c>
      <x:c r="D13" s="72" t="str">
        <x:v>港元/股</x:v>
      </x:c>
      <x:c r="E13" s="72" t="str">
        <x:v>https://it.marketscreener.com/quotazioni/azione/CATL-CONTEMPORARY-AMPEREX-188480789/</x:v>
      </x:c>
      <x:c r="F13" s="72" t="str">
        <x:v>二级延迟行情源</x:v>
      </x:c>
    </x:row>
    <x:row r="14" ht="48" customHeight="1">
      <x:c r="A14" s="72" t="str">
        <x:v>Investing.com</x:v>
      </x:c>
      <x:c r="B14" s="72" t="str">
        <x:v>2026-09-14</x:v>
      </x:c>
      <x:c r="C14" s="72" t="str">
        <x:v>CNY/HKD 1.1692</x:v>
      </x:c>
      <x:c r="D14" s="72" t="str">
        <x:v>港元/人民币</x:v>
      </x:c>
      <x:c r="E14" s="72" t="str">
        <x:v>https://ca.investing.com/currencies/cny-hkd-historical-data</x:v>
      </x:c>
      <x:c r="F14" s="72" t="str">
        <x:v>二级汇率源</x:v>
      </x:c>
    </x:row>
    <x:row r="15" ht="48" customHeight="1">
      <x:c r="A15" s="72" t="str">
        <x:v>研究假设</x:v>
      </x:c>
      <x:c r="B15" s="72" t="str">
        <x:v>2026-09-15</x:v>
      </x:c>
      <x:c r="C15" s="72" t="str">
        <x:v>2027 收入、净利率、P/E 与概率</x:v>
      </x:c>
      <x:c r="D15" s="72" t="str">
        <x:v>情景</x:v>
      </x:c>
      <x:c r="E15" s="72" t="str">
        <x:v>内部研究假设</x:v>
      </x:c>
      <x:c r="F15" s="72" t="str">
        <x:v>非公司指引或市场一致预期</x:v>
      </x:c>
    </x:row>
    <x:row r="16">
      <x:c r="A16" s="57"/>
      <x:c r="B16" s="57"/>
      <x:c r="C16" s="57"/>
      <x:c r="D16" s="57"/>
      <x:c r="E16" s="57"/>
      <x:c r="F16" s="57"/>
    </x:row>
    <x:row r="17">
      <x:c r="A17" s="57"/>
      <x:c r="B17" s="57"/>
      <x:c r="C17" s="57"/>
      <x:c r="D17" s="57"/>
      <x:c r="E17" s="57"/>
      <x:c r="F17" s="57"/>
    </x:row>
    <x:row r="18">
      <x:c r="A18" s="57"/>
      <x:c r="B18" s="57"/>
      <x:c r="C18" s="57"/>
      <x:c r="D18" s="57"/>
      <x:c r="E18" s="57"/>
      <x:c r="F18" s="57"/>
    </x:row>
    <x:row r="19">
      <x:c r="A19" s="57"/>
      <x:c r="B19" s="57"/>
      <x:c r="C19" s="57"/>
      <x:c r="D19" s="57"/>
      <x:c r="E19" s="57"/>
      <x:c r="F19" s="57"/>
    </x:row>
    <x:row r="20">
      <x:c r="A20" s="57"/>
      <x:c r="B20" s="57"/>
      <x:c r="C20" s="57"/>
      <x:c r="D20" s="57"/>
      <x:c r="E20" s="57"/>
      <x:c r="F20" s="57"/>
    </x:row>
    <x:row r="21">
      <x:c r="A21" s="57"/>
      <x:c r="B21" s="57"/>
      <x:c r="C21" s="57"/>
      <x:c r="D21" s="57"/>
      <x:c r="E21" s="57"/>
      <x:c r="F21" s="57"/>
    </x:row>
    <x:row r="22">
      <x:c r="A22" s="57"/>
      <x:c r="B22" s="57"/>
      <x:c r="C22" s="57"/>
      <x:c r="D22" s="57"/>
      <x:c r="E22" s="57"/>
      <x:c r="F22" s="57"/>
    </x:row>
    <x:row r="23">
      <x:c r="A23" s="57"/>
      <x:c r="B23" s="57"/>
      <x:c r="C23" s="57"/>
      <x:c r="D23" s="57"/>
      <x:c r="E23" s="57"/>
      <x:c r="F23" s="57"/>
    </x:row>
    <x:row r="24">
      <x:c r="A24" s="57"/>
      <x:c r="B24" s="57"/>
      <x:c r="C24" s="57"/>
      <x:c r="D24" s="57"/>
      <x:c r="E24" s="57"/>
      <x:c r="F24" s="57"/>
    </x:row>
    <x:row r="25">
      <x:c r="A25" s="57"/>
      <x:c r="B25" s="57"/>
      <x:c r="C25" s="57"/>
      <x:c r="D25" s="57"/>
      <x:c r="E25" s="57"/>
      <x:c r="F25" s="57"/>
    </x:row>
    <x:row r="26">
      <x:c r="A26" s="57"/>
      <x:c r="B26" s="57"/>
      <x:c r="C26" s="57"/>
      <x:c r="D26" s="57"/>
      <x:c r="E26" s="57"/>
      <x:c r="F26" s="57"/>
    </x:row>
    <x:row r="27">
      <x:c r="A27" s="57"/>
      <x:c r="B27" s="57"/>
      <x:c r="C27" s="57"/>
      <x:c r="D27" s="57"/>
      <x:c r="E27" s="57"/>
      <x:c r="F27" s="57"/>
    </x:row>
    <x:row r="28">
      <x:c r="A28" s="57"/>
      <x:c r="B28" s="57"/>
      <x:c r="C28" s="57"/>
      <x:c r="D28" s="57"/>
      <x:c r="E28" s="57"/>
      <x:c r="F28" s="57"/>
    </x:row>
    <x:row r="29">
      <x:c r="A29" s="57"/>
      <x:c r="B29" s="57"/>
      <x:c r="C29" s="57"/>
      <x:c r="D29" s="57"/>
      <x:c r="E29" s="57"/>
      <x:c r="F29" s="57"/>
    </x:row>
    <x:row r="30">
      <x:c r="A30" s="57"/>
      <x:c r="B30" s="57"/>
      <x:c r="C30" s="57"/>
      <x:c r="D30" s="57"/>
      <x:c r="E30" s="57"/>
      <x:c r="F30" s="57"/>
    </x:row>
    <x:row r="31">
      <x:c r="A31" s="57"/>
      <x:c r="B31" s="57"/>
      <x:c r="C31" s="57"/>
      <x:c r="D31" s="57"/>
      <x:c r="E31" s="57"/>
      <x:c r="F31" s="57"/>
    </x:row>
    <x:row r="32">
      <x:c r="A32" s="57"/>
      <x:c r="B32" s="57"/>
      <x:c r="C32" s="57"/>
      <x:c r="D32" s="57"/>
      <x:c r="E32" s="57"/>
      <x:c r="F32" s="57"/>
    </x:row>
    <x:row r="33">
      <x:c r="A33" s="57"/>
      <x:c r="B33" s="57"/>
      <x:c r="C33" s="57"/>
      <x:c r="D33" s="57"/>
      <x:c r="E33" s="57"/>
      <x:c r="F33" s="57"/>
    </x:row>
    <x:row r="34">
      <x:c r="A34" s="57"/>
      <x:c r="B34" s="57"/>
      <x:c r="C34" s="57"/>
      <x:c r="D34" s="57"/>
      <x:c r="E34" s="57"/>
      <x:c r="F34" s="57"/>
    </x:row>
    <x:row r="35">
      <x:c r="A35" s="57"/>
      <x:c r="B35" s="57"/>
      <x:c r="C35" s="57"/>
      <x:c r="D35" s="57"/>
      <x:c r="E35" s="57"/>
      <x:c r="F35" s="57"/>
    </x:row>
    <x:row r="36">
      <x:c r="A36" s="57"/>
      <x:c r="B36" s="57"/>
      <x:c r="C36" s="57"/>
      <x:c r="D36" s="57"/>
      <x:c r="E36" s="57"/>
      <x:c r="F36" s="57"/>
    </x:row>
    <x:row r="37">
      <x:c r="A37" s="57"/>
      <x:c r="B37" s="57"/>
      <x:c r="C37" s="57"/>
      <x:c r="D37" s="57"/>
      <x:c r="E37" s="57"/>
      <x:c r="F37" s="57"/>
    </x:row>
    <x:row r="38">
      <x:c r="A38" s="57"/>
      <x:c r="B38" s="57"/>
      <x:c r="C38" s="57"/>
      <x:c r="D38" s="57"/>
      <x:c r="E38" s="57"/>
      <x:c r="F38" s="57"/>
    </x:row>
    <x:row r="39">
      <x:c r="A39" s="57"/>
      <x:c r="B39" s="57"/>
      <x:c r="C39" s="57"/>
      <x:c r="D39" s="57"/>
      <x:c r="E39" s="57"/>
      <x:c r="F39" s="57"/>
    </x:row>
    <x:row r="40">
      <x:c r="A40" s="57"/>
      <x:c r="B40" s="57"/>
      <x:c r="C40" s="57"/>
      <x:c r="D40" s="57"/>
      <x:c r="E40" s="57"/>
      <x:c r="F40" s="57"/>
    </x:row>
    <x:row r="41">
      <x:c r="A41" s="57"/>
      <x:c r="B41" s="57"/>
      <x:c r="C41" s="57"/>
      <x:c r="D41" s="57"/>
      <x:c r="E41" s="57"/>
      <x:c r="F41" s="57"/>
    </x:row>
    <x:row r="42">
      <x:c r="A42" s="57"/>
      <x:c r="B42" s="57"/>
      <x:c r="C42" s="57"/>
      <x:c r="D42" s="57"/>
      <x:c r="E42" s="57"/>
      <x:c r="F42" s="57"/>
    </x:row>
    <x:row r="43">
      <x:c r="A43" s="57"/>
      <x:c r="B43" s="57"/>
      <x:c r="C43" s="57"/>
      <x:c r="D43" s="57"/>
      <x:c r="E43" s="57"/>
      <x:c r="F43" s="57"/>
    </x:row>
    <x:row r="44">
      <x:c r="A44" s="57"/>
      <x:c r="B44" s="57"/>
      <x:c r="C44" s="57"/>
      <x:c r="D44" s="57"/>
      <x:c r="E44" s="57"/>
      <x:c r="F44" s="57"/>
    </x:row>
    <x:row r="45">
      <x:c r="A45" s="57"/>
      <x:c r="B45" s="57"/>
      <x:c r="C45" s="57"/>
      <x:c r="D45" s="57"/>
      <x:c r="E45" s="57"/>
      <x:c r="F45" s="57"/>
    </x:row>
    <x:row r="46">
      <x:c r="A46" s="57"/>
      <x:c r="B46" s="57"/>
      <x:c r="C46" s="57"/>
      <x:c r="D46" s="57"/>
      <x:c r="E46" s="57"/>
      <x:c r="F46" s="57"/>
    </x:row>
    <x:row r="47">
      <x:c r="A47" s="57"/>
      <x:c r="B47" s="57"/>
      <x:c r="C47" s="57"/>
      <x:c r="D47" s="57"/>
      <x:c r="E47" s="57"/>
      <x:c r="F47" s="57"/>
    </x:row>
    <x:row r="48">
      <x:c r="A48" s="57"/>
      <x:c r="B48" s="57"/>
      <x:c r="C48" s="57"/>
      <x:c r="D48" s="57"/>
      <x:c r="E48" s="57"/>
      <x:c r="F48" s="57"/>
    </x:row>
    <x:row r="49">
      <x:c r="A49" s="57"/>
      <x:c r="B49" s="57"/>
      <x:c r="C49" s="57"/>
      <x:c r="D49" s="57"/>
      <x:c r="E49" s="57"/>
      <x:c r="F49" s="57"/>
    </x:row>
    <x:row r="50">
      <x:c r="A50" s="57"/>
      <x:c r="B50" s="57"/>
      <x:c r="C50" s="57"/>
      <x:c r="D50" s="57"/>
      <x:c r="E50" s="57"/>
      <x:c r="F50" s="57"/>
    </x:row>
    <x:row r="51">
      <x:c r="A51" s="57"/>
      <x:c r="B51" s="57"/>
      <x:c r="C51" s="57"/>
      <x:c r="D51" s="57"/>
      <x:c r="E51" s="57"/>
      <x:c r="F51" s="57"/>
    </x:row>
    <x:row r="52">
      <x:c r="A52" s="57"/>
      <x:c r="B52" s="57"/>
      <x:c r="C52" s="57"/>
      <x:c r="D52" s="57"/>
      <x:c r="E52" s="57"/>
      <x:c r="F52" s="57"/>
    </x:row>
    <x:row r="53">
      <x:c r="A53" s="57"/>
      <x:c r="B53" s="57"/>
      <x:c r="C53" s="57"/>
      <x:c r="D53" s="57"/>
      <x:c r="E53" s="57"/>
      <x:c r="F53" s="57"/>
    </x:row>
    <x:row r="54">
      <x:c r="A54" s="57"/>
      <x:c r="B54" s="57"/>
      <x:c r="C54" s="57"/>
      <x:c r="D54" s="57"/>
      <x:c r="E54" s="57"/>
      <x:c r="F54" s="57"/>
    </x:row>
    <x:row r="55">
      <x:c r="A55" s="57"/>
      <x:c r="B55" s="57"/>
      <x:c r="C55" s="57"/>
      <x:c r="D55" s="57"/>
      <x:c r="E55" s="57"/>
      <x:c r="F55" s="57"/>
    </x:row>
    <x:row r="56">
      <x:c r="A56" s="57"/>
      <x:c r="B56" s="57"/>
      <x:c r="C56" s="57"/>
      <x:c r="D56" s="57"/>
      <x:c r="E56" s="57"/>
      <x:c r="F56" s="57"/>
    </x:row>
    <x:row r="57">
      <x:c r="A57" s="57"/>
      <x:c r="B57" s="57"/>
      <x:c r="C57" s="57"/>
      <x:c r="D57" s="57"/>
      <x:c r="E57" s="57"/>
      <x:c r="F57" s="57"/>
    </x:row>
    <x:row r="58">
      <x:c r="A58" s="57"/>
      <x:c r="B58" s="57"/>
      <x:c r="C58" s="57"/>
      <x:c r="D58" s="57"/>
      <x:c r="E58" s="57"/>
      <x:c r="F58" s="57"/>
    </x:row>
    <x:row r="59">
      <x:c r="A59" s="57"/>
      <x:c r="B59" s="57"/>
      <x:c r="C59" s="57"/>
      <x:c r="D59" s="57"/>
      <x:c r="E59" s="57"/>
      <x:c r="F59" s="57"/>
    </x:row>
    <x:row r="60">
      <x:c r="A60" s="57"/>
      <x:c r="B60" s="57"/>
      <x:c r="C60" s="57"/>
      <x:c r="D60" s="57"/>
      <x:c r="E60" s="57"/>
      <x:c r="F60" s="57"/>
    </x:row>
    <x:row r="61">
      <x:c r="A61" s="57"/>
      <x:c r="B61" s="57"/>
      <x:c r="C61" s="57"/>
      <x:c r="D61" s="57"/>
      <x:c r="E61" s="57"/>
      <x:c r="F61" s="57"/>
    </x:row>
    <x:row r="62">
      <x:c r="A62" s="57"/>
      <x:c r="B62" s="57"/>
      <x:c r="C62" s="57"/>
      <x:c r="D62" s="57"/>
      <x:c r="E62" s="57"/>
      <x:c r="F62" s="57"/>
    </x:row>
    <x:row r="63">
      <x:c r="A63" s="57"/>
      <x:c r="B63" s="57"/>
      <x:c r="C63" s="57"/>
      <x:c r="D63" s="57"/>
      <x:c r="E63" s="57"/>
      <x:c r="F63" s="57"/>
    </x:row>
    <x:row r="64">
      <x:c r="A64" s="57"/>
      <x:c r="B64" s="57"/>
      <x:c r="C64" s="57"/>
      <x:c r="D64" s="57"/>
      <x:c r="E64" s="57"/>
      <x:c r="F64" s="57"/>
    </x:row>
    <x:row r="65">
      <x:c r="A65" s="57"/>
      <x:c r="B65" s="57"/>
      <x:c r="C65" s="57"/>
      <x:c r="D65" s="57"/>
      <x:c r="E65" s="57"/>
      <x:c r="F65" s="57"/>
    </x:row>
    <x:row r="66">
      <x:c r="A66" s="57"/>
      <x:c r="B66" s="57"/>
      <x:c r="C66" s="57"/>
      <x:c r="D66" s="57"/>
      <x:c r="E66" s="57"/>
      <x:c r="F66" s="57"/>
    </x:row>
    <x:row r="67">
      <x:c r="A67" s="57"/>
      <x:c r="B67" s="57"/>
      <x:c r="C67" s="57"/>
      <x:c r="D67" s="57"/>
      <x:c r="E67" s="57"/>
      <x:c r="F67" s="57"/>
    </x:row>
    <x:row r="68">
      <x:c r="A68" s="57"/>
      <x:c r="B68" s="57"/>
      <x:c r="C68" s="57"/>
      <x:c r="D68" s="57"/>
      <x:c r="E68" s="57"/>
      <x:c r="F68" s="57"/>
    </x:row>
    <x:row r="69">
      <x:c r="A69" s="57"/>
      <x:c r="B69" s="57"/>
      <x:c r="C69" s="57"/>
      <x:c r="D69" s="57"/>
      <x:c r="E69" s="57"/>
      <x:c r="F69" s="57"/>
    </x:row>
    <x:row r="70">
      <x:c r="A70" s="57"/>
      <x:c r="B70" s="57"/>
      <x:c r="C70" s="57"/>
      <x:c r="D70" s="57"/>
      <x:c r="E70" s="57"/>
      <x:c r="F70" s="57"/>
    </x:row>
    <x:row r="71">
      <x:c r="A71" s="57"/>
      <x:c r="B71" s="57"/>
      <x:c r="C71" s="57"/>
      <x:c r="D71" s="57"/>
      <x:c r="E71" s="57"/>
      <x:c r="F71" s="57"/>
    </x:row>
    <x:row r="72">
      <x:c r="A72" s="57"/>
      <x:c r="B72" s="57"/>
      <x:c r="C72" s="57"/>
      <x:c r="D72" s="57"/>
      <x:c r="E72" s="57"/>
      <x:c r="F72" s="57"/>
    </x:row>
    <x:row r="73">
      <x:c r="A73" s="57"/>
      <x:c r="B73" s="57"/>
      <x:c r="C73" s="57"/>
      <x:c r="D73" s="57"/>
      <x:c r="E73" s="57"/>
      <x:c r="F73" s="57"/>
    </x:row>
    <x:row r="74">
      <x:c r="A74" s="57"/>
      <x:c r="B74" s="57"/>
      <x:c r="C74" s="57"/>
      <x:c r="D74" s="57"/>
      <x:c r="E74" s="57"/>
      <x:c r="F74" s="57"/>
    </x:row>
    <x:row r="75">
      <x:c r="A75" s="57"/>
      <x:c r="B75" s="57"/>
      <x:c r="C75" s="57"/>
      <x:c r="D75" s="57"/>
      <x:c r="E75" s="57"/>
      <x:c r="F75" s="57"/>
    </x:row>
    <x:row r="76">
      <x:c r="A76" s="57"/>
      <x:c r="B76" s="57"/>
      <x:c r="C76" s="57"/>
      <x:c r="D76" s="57"/>
      <x:c r="E76" s="57"/>
      <x:c r="F76" s="57"/>
    </x:row>
    <x:row r="77">
      <x:c r="A77" s="57"/>
      <x:c r="B77" s="57"/>
      <x:c r="C77" s="57"/>
      <x:c r="D77" s="57"/>
      <x:c r="E77" s="57"/>
      <x:c r="F77" s="57"/>
    </x:row>
    <x:row r="78">
      <x:c r="A78" s="57"/>
      <x:c r="B78" s="57"/>
      <x:c r="C78" s="57"/>
      <x:c r="D78" s="57"/>
      <x:c r="E78" s="57"/>
      <x:c r="F78" s="57"/>
    </x:row>
    <x:row r="79">
      <x:c r="A79" s="57"/>
      <x:c r="B79" s="57"/>
      <x:c r="C79" s="57"/>
      <x:c r="D79" s="57"/>
      <x:c r="E79" s="57"/>
      <x:c r="F79" s="57"/>
    </x:row>
    <x:row r="80">
      <x:c r="A80" s="57"/>
      <x:c r="B80" s="57"/>
      <x:c r="C80" s="57"/>
      <x:c r="D80" s="57"/>
      <x:c r="E80" s="57"/>
      <x:c r="F80" s="57"/>
    </x:row>
  </x:sheetData>
  <x:mergeCells>
    <x:mergeCell ref="A1:F2"/>
    <x:mergeCell ref="A3:F3"/>
  </x:mergeCells>
  <x:pageMargins left="0.7" right="0.7" top="0.75" bottom="0.75" header="0.3" footer="0.3"/>
</x:worksheet>
</file>
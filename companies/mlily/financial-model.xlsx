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c09e8a33d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48fbce13266426b"/>
    <x:sheet xmlns:r="http://schemas.openxmlformats.org/officeDocument/2006/relationships" name="Historical" sheetId="2" r:id="R499ecdcddb55441b"/>
    <x:sheet xmlns:r="http://schemas.openxmlformats.org/officeDocument/2006/relationships" name="Operations" sheetId="3" r:id="Red9c9e9dbf744921"/>
    <x:sheet xmlns:r="http://schemas.openxmlformats.org/officeDocument/2006/relationships" name="Balance &amp; Cash" sheetId="4" r:id="R814b5c8e05264ee1"/>
    <x:sheet xmlns:r="http://schemas.openxmlformats.org/officeDocument/2006/relationships" name="Assumptions" sheetId="5" r:id="Rb3b908f3152247d3"/>
    <x:sheet xmlns:r="http://schemas.openxmlformats.org/officeDocument/2006/relationships" name="Valuation" sheetId="6" r:id="R1e38f8562ae54f18"/>
    <x:sheet xmlns:r="http://schemas.openxmlformats.org/officeDocument/2006/relationships" name="Checks" sheetId="7" r:id="Ra99f9a2683be4b5a"/>
    <x:sheet xmlns:r="http://schemas.openxmlformats.org/officeDocument/2006/relationships" name="Sources Audit" sheetId="8" r:id="R53ef5e90508b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yyyy-mm-dd"/>
    <x:numFmt numFmtId="201" formatCode="&quot;RMB &quot;0.00"/>
    <x:numFmt numFmtId="202" formatCode="0.0&quot; mn&quot;"/>
    <x:numFmt numFmtId="203" formatCode="0.0%"/>
    <x:numFmt numFmtId="204" formatCode="0.0&quot; mn&quot;;[Red](0.0&quot; mn&quot;);-"/>
    <x:numFmt numFmtId="205" formatCode="0.0%;[Red](0.0%);-"/>
    <x:numFmt numFmtId="206" formatCode="0.00x"/>
    <x:numFmt numFmtId="207" formatCode="0.000&quot; mn&quot;"/>
    <x:numFmt numFmtId="208" formatCode="0%"/>
    <x:numFmt numFmtId="209" formatCode="0&quot; mn&quot;"/>
    <x:numFmt numFmtId="210" formatCode="0x"/>
    <x:numFmt numFmtId="211" formatCode="0.0x"/>
    <x:numFmt numFmtId="212" formatCode="0.0000"/>
    <x:numFmt numFmtId="213" formatCode="0.000"/>
  </x:numFmts>
  <x:fonts count="12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</x:fills>
  <x:borders count="11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20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1" fontId="5" fillId="0" borderId="3" xfId="0" applyNumberFormat="1" applyFont="1" applyFill="1" applyBorder="1"/>
    <x:xf numFmtId="205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205" fontId="0" fillId="5" borderId="0" xfId="0" applyNumberFormat="1" applyFont="1" applyFill="1" applyBorder="1"/>
    <x:xf numFmtId="0" fontId="3" fillId="5" borderId="0" xfId="0" applyNumberFormat="1" applyFont="1" applyFill="1" applyBorder="1"/>
    <x:xf numFmtId="203" fontId="3" fillId="5" borderId="0" xfId="0" applyNumberFormat="1" applyFont="1" applyFill="1" applyBorder="1"/>
    <x:xf numFmtId="205" fontId="3" fillId="5" borderId="0" xfId="0" applyNumberFormat="1" applyFont="1" applyFill="1" applyBorder="1"/>
    <x:xf numFmtId="204" fontId="0" fillId="5" borderId="0" xfId="0" applyNumberFormat="1" applyFont="1" applyFill="1" applyBorder="1"/>
    <x:xf numFmtId="204" fontId="3" fillId="5" borderId="0" xfId="0" applyNumberFormat="1" applyFont="1" applyFill="1" applyBorder="1"/>
    <x:xf numFmtId="204" fontId="0" fillId="3" borderId="0" xfId="0" applyNumberFormat="1" applyFont="1" applyFill="1" applyBorder="1"/>
    <x:xf numFmtId="205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0" xfId="0" applyNumberFormat="1" applyFont="1" applyFill="1" applyBorder="1"/>
    <x:xf numFmtId="205" fontId="4" fillId="5" borderId="0" xfId="0" applyNumberFormat="1" applyFont="1" applyFill="1" applyBorder="1"/>
    <x:xf numFmtId="0" fontId="5" fillId="3" borderId="0" xfId="0" applyNumberFormat="1" applyFont="1" applyFill="1" applyBorder="1"/>
    <x:xf numFmtId="204" fontId="5" fillId="3" borderId="0" xfId="0" applyNumberFormat="1" applyFont="1" applyFill="1" applyBorder="1"/>
    <x:xf numFmtId="205" fontId="5" fillId="3" borderId="0" xfId="0" applyNumberFormat="1" applyFont="1" applyFill="1" applyBorder="1"/>
    <x:xf numFmtId="204" fontId="4" fillId="5" borderId="0" xfId="0" applyNumberFormat="1" applyFont="1" applyFill="1" applyBorder="1"/>
    <x:xf numFmtId="0" fontId="9" fillId="3" borderId="0" xfId="0" applyNumberFormat="1" applyFont="1" applyFill="1" applyBorder="1"/>
    <x:xf numFmtId="202" fontId="5" fillId="0" borderId="2" xfId="0" applyNumberFormat="1" applyFont="1" applyFill="1" applyBorder="1"/>
    <x:xf numFmtId="205" fontId="5" fillId="0" borderId="2" xfId="0" applyNumberFormat="1" applyFont="1" applyFill="1" applyBorder="1"/>
    <x:xf numFmtId="0" fontId="4" fillId="5" borderId="3" xfId="0" applyNumberFormat="1" applyFont="1" applyFill="1" applyBorder="1"/>
    <x:xf numFmtId="203" fontId="4" fillId="5" borderId="3" xfId="0" applyNumberFormat="1" applyFont="1" applyFill="1" applyBorder="1"/>
    <x:xf numFmtId="205" fontId="4" fillId="5" borderId="3" xfId="0" applyNumberFormat="1" applyFont="1" applyFill="1" applyBorder="1"/>
    <x:xf numFmtId="205" fontId="5" fillId="0" borderId="3" xfId="0" applyNumberFormat="1" applyFont="1" applyFill="1" applyBorder="1"/>
    <x:xf numFmtId="0" fontId="5" fillId="3" borderId="3" xfId="0" applyNumberFormat="1" applyFont="1" applyFill="1" applyBorder="1"/>
    <x:xf numFmtId="204" fontId="5" fillId="3" borderId="3" xfId="0" applyNumberFormat="1" applyFont="1" applyFill="1" applyBorder="1"/>
    <x:xf numFmtId="205" fontId="5" fillId="3" borderId="3" xfId="0" applyNumberFormat="1" applyFont="1" applyFill="1" applyBorder="1"/>
    <x:xf numFmtId="204" fontId="4" fillId="5" borderId="3" xfId="0" applyNumberFormat="1" applyFont="1" applyFill="1" applyBorder="1"/>
    <x:xf numFmtId="0" fontId="9" fillId="3" borderId="4" xfId="0" applyNumberFormat="1" applyFont="1" applyFill="1" applyBorder="1"/>
    <x:xf numFmtId="202" fontId="0" fillId="5" borderId="0" xfId="0" applyNumberFormat="1" applyFont="1" applyFill="1" applyBorder="1"/>
    <x:xf numFmtId="202" fontId="3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4" xfId="0" applyNumberFormat="1" applyFont="1" applyFill="1" applyBorder="1"/>
    <x:xf numFmtId="202" fontId="4" fillId="5" borderId="4" xfId="0" applyNumberFormat="1" applyFont="1" applyFill="1" applyBorder="1"/>
    <x:xf numFmtId="205" fontId="4" fillId="5" borderId="4" xfId="0" applyNumberFormat="1" applyFont="1" applyFill="1" applyBorder="1"/>
    <x:xf numFmtId="202" fontId="0" fillId="3" borderId="0" xfId="0" applyNumberFormat="1" applyFont="1" applyFill="1" applyBorder="1"/>
    <x:xf numFmtId="202" fontId="5" fillId="3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205" fontId="5" fillId="5" borderId="0" xfId="0" applyNumberFormat="1" applyFont="1" applyFill="1" applyBorder="1"/>
    <x:xf numFmtId="202" fontId="5" fillId="3" borderId="3" xfId="0" applyNumberFormat="1" applyFont="1" applyFill="1" applyBorder="1"/>
    <x:xf numFmtId="0" fontId="5" fillId="5" borderId="3" xfId="0" applyNumberFormat="1" applyFont="1" applyFill="1" applyBorder="1"/>
    <x:xf numFmtId="202" fontId="5" fillId="5" borderId="3" xfId="0" applyNumberFormat="1" applyFont="1" applyFill="1" applyBorder="1"/>
    <x:xf numFmtId="205" fontId="5" fillId="5" borderId="3" xfId="0" applyNumberFormat="1" applyFont="1" applyFill="1" applyBorder="1"/>
    <x:xf numFmtId="202" fontId="5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/>
    <x:xf numFmtId="202" fontId="5" fillId="5" borderId="4" xfId="0" applyNumberFormat="1" applyFont="1" applyFill="1" applyBorder="1"/>
    <x:xf numFmtId="205" fontId="5" fillId="5" borderId="4" xfId="0" applyNumberFormat="1" applyFont="1" applyFill="1" applyBorder="1"/>
    <x:xf numFmtId="206" fontId="0" fillId="0" borderId="0" xfId="0" applyNumberFormat="1" applyFont="1" applyFill="1" applyBorder="1"/>
    <x:xf numFmtId="0" fontId="3" fillId="3" borderId="0" xfId="0" applyNumberFormat="1" applyFont="1" applyFill="1" applyBorder="1"/>
    <x:xf numFmtId="202" fontId="3" fillId="3" borderId="0" xfId="0" applyNumberFormat="1" applyFont="1" applyFill="1" applyBorder="1"/>
    <x:xf numFmtId="206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6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4" fillId="3" borderId="3" xfId="0" applyNumberFormat="1" applyFont="1" applyFill="1" applyBorder="1"/>
    <x:xf numFmtId="202" fontId="4" fillId="3" borderId="3" xfId="0" applyNumberFormat="1" applyFont="1" applyFill="1" applyBorder="1"/>
    <x:xf numFmtId="206" fontId="5" fillId="5" borderId="3" xfId="0" applyNumberFormat="1" applyFont="1" applyFill="1" applyBorder="1"/>
    <x:xf numFmtId="201" fontId="5" fillId="5" borderId="4" xfId="0" applyNumberFormat="1" applyFont="1" applyFill="1" applyBorder="1"/>
    <x:xf numFmtId="0" fontId="5" fillId="3" borderId="2" xfId="0" applyNumberFormat="1" applyFont="1" applyFill="1" applyBorder="1"/>
    <x:xf numFmtId="202" fontId="5" fillId="3" borderId="2" xfId="0" applyNumberFormat="1" applyFont="1" applyFill="1" applyBorder="1"/>
    <x:xf numFmtId="0" fontId="5" fillId="3" borderId="4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1" fontId="10" fillId="0" borderId="0" xfId="0" applyNumberFormat="1" applyFont="1" applyFill="1" applyBorder="1"/>
    <x:xf numFmtId="207" fontId="10" fillId="0" borderId="0" xfId="0" applyNumberFormat="1" applyFont="1" applyFill="1" applyBorder="1"/>
    <x:xf numFmtId="208" fontId="10" fillId="0" borderId="0" xfId="0" applyNumberFormat="1" applyFont="1" applyFill="1" applyBorder="1"/>
    <x:xf numFmtId="207" fontId="5" fillId="0" borderId="0" xfId="0" applyNumberFormat="1" applyFont="1" applyFill="1" applyBorder="1"/>
    <x:xf numFmtId="208" fontId="5" fillId="0" borderId="0" xfId="0" applyNumberFormat="1" applyFont="1" applyFill="1" applyBorder="1"/>
    <x:xf numFmtId="207" fontId="5" fillId="0" borderId="3" xfId="0" applyNumberFormat="1" applyFont="1" applyFill="1" applyBorder="1"/>
    <x:xf numFmtId="208" fontId="5" fillId="0" borderId="3" xfId="0" applyNumberFormat="1" applyFont="1" applyFill="1" applyBorder="1"/>
    <x:xf numFmtId="208" fontId="5" fillId="0" borderId="4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09" fontId="10" fillId="0" borderId="0" xfId="0" applyNumberFormat="1" applyFont="1" applyFill="1" applyBorder="1"/>
    <x:xf numFmtId="210" fontId="10" fillId="0" borderId="0" xfId="0" applyNumberFormat="1" applyFont="1" applyFill="1" applyBorder="1"/>
    <x:xf numFmtId="206" fontId="10" fillId="0" borderId="0" xfId="0" applyNumberFormat="1" applyFont="1" applyFill="1" applyBorder="1"/>
    <x:xf numFmtId="0" fontId="0" fillId="6" borderId="0" xfId="0" applyNumberFormat="1" applyFont="1" applyFill="1" applyBorder="1"/>
    <x:xf numFmtId="209" fontId="10" fillId="6" borderId="0" xfId="0" applyNumberFormat="1" applyFont="1" applyFill="1" applyBorder="1"/>
    <x:xf numFmtId="210" fontId="10" fillId="6" borderId="0" xfId="0" applyNumberFormat="1" applyFont="1" applyFill="1" applyBorder="1"/>
    <x:xf numFmtId="206" fontId="1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9" fontId="5" fillId="0" borderId="0" xfId="0" applyNumberFormat="1" applyFont="1" applyFill="1" applyBorder="1"/>
    <x:xf numFmtId="210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6" borderId="0" xfId="0" applyNumberFormat="1" applyFont="1" applyFill="1" applyBorder="1"/>
    <x:xf numFmtId="209" fontId="5" fillId="6" borderId="0" xfId="0" applyNumberFormat="1" applyFont="1" applyFill="1" applyBorder="1"/>
    <x:xf numFmtId="210" fontId="5" fillId="6" borderId="0" xfId="0" applyNumberFormat="1" applyFont="1" applyFill="1" applyBorder="1"/>
    <x:xf numFmtId="206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9" fontId="5" fillId="0" borderId="2" xfId="0" applyNumberFormat="1" applyFont="1" applyFill="1" applyBorder="1"/>
    <x:xf numFmtId="210" fontId="5" fillId="0" borderId="2" xfId="0" applyNumberFormat="1" applyFont="1" applyFill="1" applyBorder="1"/>
    <x:xf numFmtId="206" fontId="5" fillId="0" borderId="2" xfId="0" applyNumberFormat="1" applyFont="1" applyFill="1" applyBorder="1"/>
    <x:xf numFmtId="0" fontId="5" fillId="6" borderId="3" xfId="0" applyNumberFormat="1" applyFont="1" applyFill="1" applyBorder="1"/>
    <x:xf numFmtId="209" fontId="5" fillId="6" borderId="3" xfId="0" applyNumberFormat="1" applyFont="1" applyFill="1" applyBorder="1"/>
    <x:xf numFmtId="210" fontId="5" fillId="6" borderId="3" xfId="0" applyNumberFormat="1" applyFont="1" applyFill="1" applyBorder="1"/>
    <x:xf numFmtId="206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209" fontId="5" fillId="0" borderId="4" xfId="0" applyNumberFormat="1" applyFont="1" applyFill="1" applyBorder="1"/>
    <x:xf numFmtId="210" fontId="5" fillId="0" borderId="4" xfId="0" applyNumberFormat="1" applyFont="1" applyFill="1" applyBorder="1"/>
    <x:xf numFmtId="206" fontId="5" fillId="0" borderId="4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/>
    <x:xf numFmtId="211" fontId="5" fillId="0" borderId="0" xfId="0" applyNumberFormat="1" applyFont="1" applyFill="1" applyBorder="1"/>
    <x:xf numFmtId="211" fontId="5" fillId="0" borderId="4" xfId="0" applyNumberFormat="1" applyFont="1" applyFill="1" applyBorder="1"/>
    <x:xf numFmtId="209" fontId="0" fillId="6" borderId="0" xfId="0" applyNumberFormat="1" applyFont="1" applyFill="1" applyBorder="1"/>
    <x:xf numFmtId="210" fontId="0" fillId="6" borderId="0" xfId="0" applyNumberFormat="1" applyFont="1" applyFill="1" applyBorder="1"/>
    <x:xf numFmtId="201" fontId="0" fillId="6" borderId="0" xfId="0" applyNumberFormat="1" applyFont="1" applyFill="1" applyBorder="1"/>
    <x:xf numFmtId="206" fontId="0" fillId="6" borderId="0" xfId="0" applyNumberFormat="1" applyFont="1" applyFill="1" applyBorder="1"/>
    <x:xf numFmtId="205" fontId="0" fillId="6" borderId="0" xfId="0" applyNumberFormat="1" applyFont="1" applyFill="1" applyBorder="1"/>
    <x:xf numFmtId="201" fontId="3" fillId="0" borderId="0" xfId="0" applyNumberFormat="1" applyFont="1" applyFill="1" applyBorder="1"/>
    <x:xf numFmtId="201" fontId="3" fillId="6" borderId="0" xfId="0" applyNumberFormat="1" applyFont="1" applyFill="1" applyBorder="1"/>
    <x:xf numFmtId="201" fontId="4" fillId="0" borderId="0" xfId="0" applyNumberFormat="1" applyFont="1" applyFill="1" applyBorder="1"/>
    <x:xf numFmtId="201" fontId="5" fillId="6" borderId="0" xfId="0" applyNumberFormat="1" applyFont="1" applyFill="1" applyBorder="1"/>
    <x:xf numFmtId="201" fontId="4" fillId="6" borderId="0" xfId="0" applyNumberFormat="1" applyFont="1" applyFill="1" applyBorder="1"/>
    <x:xf numFmtId="205" fontId="5" fillId="6" borderId="0" xfId="0" applyNumberFormat="1" applyFont="1" applyFill="1" applyBorder="1"/>
    <x:xf numFmtId="201" fontId="4" fillId="0" borderId="2" xfId="0" applyNumberFormat="1" applyFont="1" applyFill="1" applyBorder="1"/>
    <x:xf numFmtId="201" fontId="5" fillId="6" borderId="3" xfId="0" applyNumberFormat="1" applyFont="1" applyFill="1" applyBorder="1"/>
    <x:xf numFmtId="201" fontId="4" fillId="6" borderId="3" xfId="0" applyNumberFormat="1" applyFont="1" applyFill="1" applyBorder="1"/>
    <x:xf numFmtId="205" fontId="5" fillId="6" borderId="3" xfId="0" applyNumberFormat="1" applyFont="1" applyFill="1" applyBorder="1"/>
    <x:xf numFmtId="201" fontId="5" fillId="0" borderId="4" xfId="0" applyNumberFormat="1" applyFont="1" applyFill="1" applyBorder="1"/>
    <x:xf numFmtId="201" fontId="4" fillId="0" borderId="4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6" fontId="5" fillId="0" borderId="2" xfId="0" applyNumberFormat="1" applyFont="1" applyFill="1" applyBorder="1" applyAlignment="1">
      <x:alignment wrapText="1"/>
    </x:xf>
    <x:xf numFmtId="202" fontId="5" fillId="0" borderId="3" xfId="0" applyNumberFormat="1" applyFont="1" applyFill="1" applyBorder="1" applyAlignment="1">
      <x:alignment wrapText="1"/>
    </x:xf>
    <x:xf numFmtId="203" fontId="5" fillId="0" borderId="3" xfId="0" applyNumberFormat="1" applyFont="1" applyFill="1" applyBorder="1" applyAlignment="1">
      <x:alignment wrapText="1"/>
    </x:xf>
    <x:xf numFmtId="206" fontId="5" fillId="0" borderId="4" xfId="0" applyNumberFormat="1" applyFont="1" applyFill="1" applyBorder="1" applyAlignment="1">
      <x:alignment wrapText="1"/>
    </x:xf>
    <x:xf numFmtId="210" fontId="4" fillId="4" borderId="9" xfId="0" applyNumberFormat="1" applyFont="1" applyFill="1" applyBorder="1"/>
    <x:xf numFmtId="210" fontId="4" fillId="4" borderId="10" xfId="0" applyNumberFormat="1" applyFont="1" applyFill="1" applyBorder="1"/>
    <x:xf numFmtId="209" fontId="5" fillId="0" borderId="3" xfId="0" applyNumberFormat="1" applyFont="1" applyFill="1" applyBorder="1"/>
    <x:xf numFmtId="212" fontId="0" fillId="0" borderId="0" xfId="0" applyNumberFormat="1" applyFont="1" applyFill="1" applyBorder="1"/>
    <x:xf numFmtId="212" fontId="5" fillId="0" borderId="0" xfId="0" applyNumberFormat="1" applyFont="1" applyFill="1" applyBorder="1"/>
    <x:xf numFmtId="212" fontId="5" fillId="0" borderId="2" xfId="0" applyNumberFormat="1" applyFont="1" applyFill="1" applyBorder="1"/>
    <x:xf numFmtId="212" fontId="5" fillId="0" borderId="3" xfId="0" applyNumberFormat="1" applyFont="1" applyFill="1" applyBorder="1"/>
    <x:xf numFmtId="212" fontId="5" fillId="0" borderId="4" xfId="0" applyNumberFormat="1" applyFont="1" applyFill="1" applyBorder="1"/>
    <x:xf numFmtId="213" fontId="0" fillId="0" borderId="0" xfId="0" applyNumberFormat="1" applyFont="1" applyFill="1" applyBorder="1"/>
    <x:xf numFmtId="0" fontId="11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13" fontId="5" fillId="0" borderId="0" xfId="0" applyNumberFormat="1" applyFont="1" applyFill="1" applyBorder="1" applyAlignment="1">
      <x:alignment wrapText="1"/>
    </x:xf>
    <x:xf numFmtId="213" fontId="5" fillId="0" borderId="2" xfId="0" applyNumberFormat="1" applyFont="1" applyFill="1" applyBorder="1" applyAlignment="1">
      <x:alignment wrapText="1"/>
    </x:xf>
    <x:xf numFmtId="213" fontId="5" fillId="0" borderId="3" xfId="0" applyNumberFormat="1" applyFont="1" applyFill="1" applyBorder="1" applyAlignment="1">
      <x:alignment wrapText="1"/>
    </x:xf>
    <x:xf numFmtId="213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dea5dcdfb425e" /><Relationship Type="http://schemas.openxmlformats.org/officeDocument/2006/relationships/theme" Target="/xl/theme/theme1.xml" Id="R235542d97e434951" /><Relationship Type="http://schemas.openxmlformats.org/officeDocument/2006/relationships/sharedStrings" Target="/xl/sharedStrings.xml" Id="Rf7b78c70a7fd4a97" /><Relationship Type="http://schemas.openxmlformats.org/officeDocument/2006/relationships/worksheet" Target="/xl/worksheets/sheet1.xml" Id="R448fbce13266426b" /><Relationship Type="http://schemas.openxmlformats.org/officeDocument/2006/relationships/worksheet" Target="/xl/worksheets/sheet2.xml" Id="R499ecdcddb55441b" /><Relationship Type="http://schemas.openxmlformats.org/officeDocument/2006/relationships/worksheet" Target="/xl/worksheets/sheet3.xml" Id="Red9c9e9dbf744921" /><Relationship Type="http://schemas.openxmlformats.org/officeDocument/2006/relationships/worksheet" Target="/xl/worksheets/sheet4.xml" Id="R814b5c8e05264ee1" /><Relationship Type="http://schemas.openxmlformats.org/officeDocument/2006/relationships/worksheet" Target="/xl/worksheets/sheet5.xml" Id="Rb3b908f3152247d3" /><Relationship Type="http://schemas.openxmlformats.org/officeDocument/2006/relationships/worksheet" Target="/xl/worksheets/sheet6.xml" Id="R1e38f8562ae54f18" /><Relationship Type="http://schemas.openxmlformats.org/officeDocument/2006/relationships/worksheet" Target="/xl/worksheets/sheet7.xml" Id="Ra99f9a2683be4b5a" /><Relationship Type="http://schemas.openxmlformats.org/officeDocument/2006/relationships/worksheet" Target="/xl/worksheets/sheet8.xml" Id="R53ef5e90508b47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6e3ceb5d564bd3" /><Relationship Type="http://schemas.openxmlformats.org/officeDocument/2006/relationships/chart" Target="/xl/drawings/charts/chart2.xml" Id="Rfec435dc959c40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情景价值与参考价格（元/股）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'Valuation'!$A$11:$A$13</c:f>
              <c:strCache>
                <c:ptCount val="0"/>
              </c:strCache>
            </c:strRef>
          </c:cat>
          <c:val>
            <c:numRef>
              <c:f>'Valuation'!$H$11:$H$13</c:f>
              <c:numCache>
                <c:formatCode>"RMB "0.0</c:formatCode>
                <c:ptCount val="0"/>
              </c:numCache>
            </c:numRef>
          </c:val>
        </c:ser>
        <c:ser>
          <c:idx val="1"/>
          <c:order val="1"/>
          <c:tx>
            <c:v>参考价格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'Valuation'!$A$11:$A$13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2026H1渠道：收入增长与毛利率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收入同比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'Operations'!$A$17:$A$20</c:f>
              <c:strCache>
                <c:ptCount val="0"/>
              </c:strCache>
            </c:strRef>
          </c:cat>
          <c:val>
            <c:numRef>
              <c:f>'Operations'!$F$17:$F$20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毛利率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'Operations'!$A$17:$A$20</c:f>
              <c:strCache>
                <c:ptCount val="0"/>
              </c:strCache>
            </c:strRef>
          </c:cat>
          <c:val>
            <c:numRef>
              <c:f>'Operations'!$D$17:$D$20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-0.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6e3ceb5d564bd3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c435dc959c40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51b801bf72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梦百合（603313.SH）基本面与情景估值模型</x:v>
      </x:c>
      <x:c r="B1" s="3" t="str">
        <x:v>梦百合（603313.SH）基本面与情景估值模型</x:v>
      </x:c>
      <x:c r="C1" s="3" t="str">
        <x:v>梦百合（603313.SH）基本面与情景估值模型</x:v>
      </x:c>
      <x:c r="D1" s="3" t="str">
        <x:v>梦百合（603313.SH）基本面与情景估值模型</x:v>
      </x:c>
      <x:c r="E1" s="3" t="str">
        <x:v>梦百合（603313.SH）基本面与情景估值模型</x:v>
      </x:c>
      <x:c r="F1" s="3" t="str">
        <x:v>梦百合（603313.SH）基本面与情景估值模型</x:v>
      </x:c>
      <x:c r="G1" s="3" t="str">
        <x:v>梦百合（603313.SH）基本面与情景估值模型</x:v>
      </x:c>
      <x:c r="H1" s="3" t="str">
        <x:v>梦百合（603313.SH）基本面与情景估值模型</x:v>
      </x:c>
    </x:row>
    <x:row r="2">
      <x:c r="J2" t="str">
        <x:v>参考价格</x:v>
      </x:c>
    </x:row>
    <x:row r="3">
      <x:c r="A3" s="10" t="str">
        <x:v>公司</x:v>
      </x:c>
      <x:c r="B3" s="11" t="str">
        <x:v>梦百合家居科技股份有限公司</x:v>
      </x:c>
      <x:c r="J3" t="n">
        <x:f>'Valuation'!B4</x:f>
        <x:v>6.43</x:v>
      </x:c>
    </x:row>
    <x:row r="4">
      <x:c r="A4" s="12" t="str">
        <x:v>价格基准</x:v>
      </x:c>
      <x:c r="B4" s="13" t="n">
        <x:v>46269</x:v>
      </x:c>
      <x:c r="J4" t="n">
        <x:f>'Valuation'!B4</x:f>
        <x:v>6.43</x:v>
      </x:c>
    </x:row>
    <x:row r="5">
      <x:c r="A5" s="12" t="str">
        <x:v>资料截止</x:v>
      </x:c>
      <x:c r="B5" s="14" t="str">
        <x:v>2026-09-07</x:v>
      </x:c>
      <x:c r="J5" t="n">
        <x:f>'Valuation'!B4</x:f>
        <x:v>6.43</x:v>
      </x:c>
    </x:row>
    <x:row r="6">
      <x:c r="A6" s="12" t="str">
        <x:v>报告货币</x:v>
      </x:c>
      <x:c r="B6" s="14" t="str">
        <x:v>人民币百万元；每股价值为人民币元</x:v>
      </x:c>
    </x:row>
    <x:row r="7">
      <x:c r="A7" s="12" t="str">
        <x:v>估值框架</x:v>
      </x:c>
      <x:c r="B7" s="14" t="str">
        <x:v>60%正常化P/E + 40% P/B</x:v>
      </x:c>
    </x:row>
    <x:row r="8">
      <x:c r="A8" s="12" t="str">
        <x:v>审计提示</x:v>
      </x:c>
      <x:c r="B8" s="14" t="str">
        <x:v>2025年度财务报告为保留意见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研究结论</x:v>
      </x:c>
      <x:c r="B10" s="14" t="str">
        <x:v>中性偏谨慎</x:v>
      </x:c>
    </x:row>
    <x:row r="11">
      <x:c r="A11" s="12" t="str">
        <x:v>最重要变量</x:v>
      </x:c>
      <x:c r="B11" s="14" t="str">
        <x:v>关联方应收、审计意见、境外线上利润率、火灾净损失</x:v>
      </x:c>
    </x:row>
    <x:row r="12">
      <x:c r="A12" s="15" t="str">
        <x:v>用途</x:v>
      </x:c>
      <x:c r="B12" s="16" t="str">
        <x:v>研究与情景分析；不构成个性化投资建议</x:v>
      </x:c>
    </x:row>
    <x:row r="14">
      <x:c r="A14" s="19" t="str">
        <x:v>关键输出</x:v>
      </x:c>
      <x:c r="B14" s="20" t="str">
        <x:v>数值</x:v>
      </x:c>
      <x:c r="C14" s="21" t="str">
        <x:v>说明</x:v>
      </x:c>
    </x:row>
    <x:row r="15">
      <x:c r="A15" s="11" t="str">
        <x:v>参考股价</x:v>
      </x:c>
      <x:c r="B15" s="37" t="n">
        <x:f>'Valuation'!B4</x:f>
        <x:v>6.43</x:v>
      </x:c>
      <x:c r="C15" s="11" t="str">
        <x:v>2026-09-04收盘</x:v>
      </x:c>
    </x:row>
    <x:row r="16">
      <x:c r="A16" s="14" t="str">
        <x:v>市值</x:v>
      </x:c>
      <x:c r="B16" s="38" t="n">
        <x:f>'Valuation'!B6</x:f>
        <x:v>3668.87367055</x:v>
      </x:c>
      <x:c r="C16" s="14" t="str">
        <x:v>参考价×期末股本</x:v>
      </x:c>
    </x:row>
    <x:row r="17">
      <x:c r="A17" s="14" t="str">
        <x:v>2026H1收入同比</x:v>
      </x:c>
      <x:c r="B17" s="39" t="n">
        <x:f>'Historical'!G4</x:f>
        <x:v>0.07869997488259228</x:v>
      </x:c>
      <x:c r="C17" s="14" t="str">
        <x:v>主营增长集中在海外</x:v>
      </x:c>
    </x:row>
    <x:row r="18">
      <x:c r="A18" s="14" t="str">
        <x:v>2026H1归母净利润</x:v>
      </x:c>
      <x:c r="B18" s="40" t="n">
        <x:f>'Historical'!F11</x:f>
        <x:v>5.298</x:v>
      </x:c>
      <x:c r="C18" s="14" t="str">
        <x:v>几乎归零</x:v>
      </x:c>
    </x:row>
    <x:row r="19">
      <x:c r="A19" s="14" t="str">
        <x:v>2026H1简化FCF</x:v>
      </x:c>
      <x:c r="B19" s="40" t="n">
        <x:f>'Historical'!F18</x:f>
        <x:v>362.22999999999996</x:v>
      </x:c>
      <x:c r="C19" s="14" t="str">
        <x:v>CFO-资本开支</x:v>
      </x:c>
    </x:row>
    <x:row r="20">
      <x:c r="A20" s="14" t="str">
        <x:v>2026H1境外线上收入同比</x:v>
      </x:c>
      <x:c r="B20" s="39" t="n">
        <x:f>'Operations'!F19</x:f>
        <x:v>0.3868</x:v>
      </x:c>
      <x:c r="C20" s="14" t="str">
        <x:v>增长最快渠道</x:v>
      </x:c>
    </x:row>
    <x:row r="21">
      <x:c r="A21" s="14" t="str">
        <x:v>2026H1境外线上毛利率</x:v>
      </x:c>
      <x:c r="B21" s="39" t="n">
        <x:f>'Operations'!D19</x:f>
        <x:v>0.3623</x:v>
      </x:c>
      <x:c r="C21" s="14" t="str">
        <x:v>同比下降9.72ppt</x:v>
      </x:c>
    </x:row>
    <x:row r="22">
      <x:c r="A22" s="14" t="str">
        <x:v>关联方应收原值</x:v>
      </x:c>
      <x:c r="B22" s="38" t="n">
        <x:f>'Balance &amp; Cash'!C8</x:f>
        <x:v>623.193</x:v>
      </x:c>
      <x:c r="C22" s="14" t="str">
        <x:v>MC+Dormeo，期末</x:v>
      </x:c>
    </x:row>
    <x:row r="23">
      <x:c r="A23" s="14" t="str">
        <x:v>关联方逾期款</x:v>
      </x:c>
      <x:c r="B23" s="38" t="n">
        <x:f>'Balance &amp; Cash'!C9</x:f>
        <x:v>312.347</x:v>
      </x:c>
      <x:c r="C23" s="14" t="str">
        <x:v>实控人承诺代偿</x:v>
      </x:c>
    </x:row>
    <x:row r="24">
      <x:c r="A24" s="14" t="str">
        <x:v>Bear价值</x:v>
      </x:c>
      <x:c r="B24" s="41" t="n">
        <x:f>'Valuation'!H11</x:f>
        <x:v>1.9840756767481607</x:v>
      </x:c>
      <x:c r="C24" s="14" t="str">
        <x:v>经营与治理同时恶化</x:v>
      </x:c>
    </x:row>
    <x:row r="25">
      <x:c r="A25" s="14" t="str">
        <x:v>Base价值</x:v>
      </x:c>
      <x:c r="B25" s="41" t="n">
        <x:f>'Valuation'!H12</x:f>
        <x:v>5.391219603654227</x:v>
      </x:c>
      <x:c r="C25" s="14" t="str">
        <x:v>回款、审计和利润率部分修复</x:v>
      </x:c>
    </x:row>
    <x:row r="26">
      <x:c r="A26" s="14" t="str">
        <x:v>Bull价值</x:v>
      </x:c>
      <x:c r="B26" s="41" t="n">
        <x:f>'Valuation'!H13</x:f>
        <x:v>9.832400546675725</x:v>
      </x:c>
      <x:c r="C26" s="14" t="str">
        <x:v>全球产能与品牌兑现</x:v>
      </x:c>
    </x:row>
    <x:row r="27">
      <x:c r="A27" s="16" t="str">
        <x:v>Base相对参考价</x:v>
      </x:c>
      <x:c r="B27" s="42" t="n">
        <x:f>'Valuation'!I12</x:f>
        <x:v>-0.1615521611735261</x:v>
      </x:c>
      <x:c r="C27" s="16" t="str">
        <x:v>情景结果，不是收益保证</x:v>
      </x:c>
    </x:row>
    <x:row r="29">
      <x:c r="A29" s="19" t="str">
        <x:v>研究结论</x:v>
      </x:c>
      <x:c r="B29" s="20" t="str">
        <x:v>研究结论</x:v>
      </x:c>
      <x:c r="C29" s="20" t="str">
        <x:v>研究结论</x:v>
      </x:c>
      <x:c r="D29" s="20" t="str">
        <x:v>研究结论</x:v>
      </x:c>
      <x:c r="E29" s="20" t="str">
        <x:v>研究结论</x:v>
      </x:c>
      <x:c r="F29" s="20" t="str">
        <x:v>研究结论</x:v>
      </x:c>
      <x:c r="G29" s="20" t="str">
        <x:v>研究结论</x:v>
      </x:c>
      <x:c r="H29" s="21" t="str">
        <x:v>研究结论</x:v>
      </x:c>
    </x:row>
    <x:row r="30">
      <x:c r="A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0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  <x:row r="31">
      <x:c r="A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1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  <x:row r="32">
      <x:c r="A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2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  <x:row r="33">
      <x:c r="A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3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  <x:row r="34">
      <x:c r="A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4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  <x:row r="35">
      <x:c r="A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5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  <x:row r="36">
      <x:c r="A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B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C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D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E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F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G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  <x:c r="H36" s="45" t="str">
        <x:v>梦百合拥有真实的全球制造、美国本地产能和跨境渠道资产，但2026H1收入增长7.9%仅转化为530万元归母利润。境外线上收入增长38.7%，毛利率却下降9.72个百分点；汇兑由收益转为损失造成约1.22亿元同比反向波动。更重要的是，2025年财报因关联方大额逾期应收被出具保留意见，实控人承诺于2026年末前代偿剩余约3.12亿元。Base价值5.39元，低于6.43元参考价16.2%。在现金实际到账、审计意见修复和线上利润率改善前，结论为中性偏谨慎。</x:v>
      </x:c>
    </x:row>
  </x:sheetData>
  <x:mergeCells>
    <x:mergeCell ref="A1:H1"/>
    <x:mergeCell ref="A29:H29"/>
    <x:mergeCell ref="A30:H36"/>
  </x:mergeCells>
  <x:pageMargins left="0.7" right="0.7" top="0.75" bottom="0.75" header="0.3" footer="0.3"/>
  <x:drawing xmlns:r="http://schemas.openxmlformats.org/officeDocument/2006/relationships" r:id="R1d51b801bf724d0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  <x:c r="G1" s="3" t="str">
        <x:v>历史财务与盈利质量</x:v>
      </x:c>
    </x:row>
    <x:row r="3">
      <x:c r="A3" s="48" t="str">
        <x:v>指标（RMB mn，除注明外）</x:v>
      </x:c>
      <x:c r="B3" s="49" t="str">
        <x:v>2023A</x:v>
      </x:c>
      <x:c r="C3" s="49" t="str">
        <x:v>2024A</x:v>
      </x:c>
      <x:c r="D3" s="49" t="str">
        <x:v>2025A</x:v>
      </x:c>
      <x:c r="E3" s="49" t="str">
        <x:v>2025H1</x:v>
      </x:c>
      <x:c r="F3" s="49" t="str">
        <x:v>2026H1</x:v>
      </x:c>
      <x:c r="G3" s="50" t="str">
        <x:v>同比/变化</x:v>
      </x:c>
    </x:row>
    <x:row r="4">
      <x:c r="A4" s="11" t="str">
        <x:v>营业收入</x:v>
      </x:c>
      <x:c r="B4" s="70" t="n">
        <x:v>7975.916</x:v>
      </x:c>
      <x:c r="C4" s="70" t="n">
        <x:v>8449.386</x:v>
      </x:c>
      <x:c r="D4" s="70" t="n">
        <x:v>8912.075</x:v>
      </x:c>
      <x:c r="E4" s="70" t="n">
        <x:v>4315.732</x:v>
      </x:c>
      <x:c r="F4" s="70" t="n">
        <x:v>4655.38</x:v>
      </x:c>
      <x:c r="G4" s="71" t="n">
        <x:f>IFERROR(F4/E4-1,"")</x:f>
        <x:v>0.07869997488259228</x:v>
      </x:c>
    </x:row>
    <x:row r="5">
      <x:c r="A5" s="72" t="str">
        <x:v>收入同比</x:v>
      </x:c>
      <x:c r="B5" s="73"/>
      <x:c r="C5" s="73" t="n">
        <x:v>0.0593</x:v>
      </x:c>
      <x:c r="D5" s="73" t="n">
        <x:v>0.0548</x:v>
      </x:c>
      <x:c r="E5" s="73"/>
      <x:c r="F5" s="73" t="n">
        <x:v>0.0787</x:v>
      </x:c>
      <x:c r="G5" s="74" t="n">
        <x:f>F5</x:f>
        <x:v>0.0787</x:v>
      </x:c>
    </x:row>
    <x:row r="6">
      <x:c r="A6" s="14" t="str">
        <x:v>营业成本</x:v>
      </x:c>
      <x:c r="B6" s="40"/>
      <x:c r="C6" s="40" t="n">
        <x:v>5335.596</x:v>
      </x:c>
      <x:c r="D6" s="40" t="n">
        <x:v>5411.68</x:v>
      </x:c>
      <x:c r="E6" s="40" t="n">
        <x:v>2623.356</x:v>
      </x:c>
      <x:c r="F6" s="40" t="n">
        <x:v>2821.136</x:v>
      </x:c>
      <x:c r="G6" s="75" t="n">
        <x:f>IFERROR(F6/E6-1,"")</x:f>
        <x:v>0.07539197882407112</x:v>
      </x:c>
    </x:row>
    <x:row r="7">
      <x:c r="A7" s="14" t="str">
        <x:v>整体毛利</x:v>
      </x:c>
      <x:c r="B7" s="40"/>
      <x:c r="C7" s="40" t="n">
        <x:f>C4-C6</x:f>
        <x:v>3113.790000000001</x:v>
      </x:c>
      <x:c r="D7" s="40" t="n">
        <x:f>D4-D6</x:f>
        <x:v>3500.3950000000004</x:v>
      </x:c>
      <x:c r="E7" s="40" t="n">
        <x:f>E4-E6</x:f>
        <x:v>1692.3759999999997</x:v>
      </x:c>
      <x:c r="F7" s="40" t="n">
        <x:f>F4-F6</x:f>
        <x:v>1834.2440000000001</x:v>
      </x:c>
      <x:c r="G7" s="75" t="n">
        <x:f>IFERROR(F7/E7-1,"")</x:f>
        <x:v>0.08382770731799583</x:v>
      </x:c>
    </x:row>
    <x:row r="8">
      <x:c r="A8" s="72" t="str">
        <x:v>整体毛利率</x:v>
      </x:c>
      <x:c r="B8" s="74"/>
      <x:c r="C8" s="74" t="n">
        <x:f>C7/C4</x:f>
        <x:v>0.3685226358459657</x:v>
      </x:c>
      <x:c r="D8" s="74" t="n">
        <x:f>D7/D4</x:f>
        <x:v>0.39276992170734654</x:v>
      </x:c>
      <x:c r="E8" s="74" t="n">
        <x:f>E7/E4</x:f>
        <x:v>0.39214112461107403</x:v>
      </x:c>
      <x:c r="F8" s="74" t="n">
        <x:f>F7/F4</x:f>
        <x:v>0.3940052154711323</x:v>
      </x:c>
      <x:c r="G8" s="74" t="n">
        <x:f>F8-E8</x:f>
        <x:v>0.0018640908600582873</x:v>
      </x:c>
    </x:row>
    <x:row r="9">
      <x:c r="A9" s="14" t="str">
        <x:v>销售费用</x:v>
      </x:c>
      <x:c r="B9" s="38"/>
      <x:c r="C9" s="38" t="n">
        <x:v>1984.21</x:v>
      </x:c>
      <x:c r="D9" s="38" t="n">
        <x:v>2334.499</x:v>
      </x:c>
      <x:c r="E9" s="38" t="n">
        <x:v>1086.58</x:v>
      </x:c>
      <x:c r="F9" s="38" t="n">
        <x:v>1248.83</x:v>
      </x:c>
      <x:c r="G9" s="75" t="n">
        <x:f>IFERROR(F9/E9-1,"")</x:f>
        <x:v>0.14932172504555585</x:v>
      </x:c>
    </x:row>
    <x:row r="10">
      <x:c r="A10" s="72" t="str">
        <x:v>销售费用率</x:v>
      </x:c>
      <x:c r="B10" s="74"/>
      <x:c r="C10" s="74" t="n">
        <x:f>C9/C4</x:f>
        <x:v>0.2348348152161589</x:v>
      </x:c>
      <x:c r="D10" s="74" t="n">
        <x:f>D9/D4</x:f>
        <x:v>0.26194786287144123</x:v>
      </x:c>
      <x:c r="E10" s="74" t="n">
        <x:f>E9/E4</x:f>
        <x:v>0.25177188945004</x:v>
      </x:c>
      <x:c r="F10" s="74" t="n">
        <x:f>F9/F4</x:f>
        <x:v>0.2682552229893156</x:v>
      </x:c>
      <x:c r="G10" s="74" t="n">
        <x:f>F10-E10</x:f>
        <x:v>0.016483333539275613</x:v>
      </x:c>
    </x:row>
    <x:row r="11">
      <x:c r="A11" s="76" t="str">
        <x:v>归母净利润</x:v>
      </x:c>
      <x:c r="B11" s="77" t="n">
        <x:v>106.601</x:v>
      </x:c>
      <x:c r="C11" s="77" t="n">
        <x:v>-151.42</x:v>
      </x:c>
      <x:c r="D11" s="77" t="n">
        <x:v>-9.822</x:v>
      </x:c>
      <x:c r="E11" s="77" t="n">
        <x:v>114.554</x:v>
      </x:c>
      <x:c r="F11" s="77" t="n">
        <x:v>5.298</x:v>
      </x:c>
      <x:c r="G11" s="78" t="n">
        <x:f>IFERROR(F11/E11-1,"")</x:f>
        <x:v>-0.9537510693646665</x:v>
      </x:c>
    </x:row>
    <x:row r="12">
      <x:c r="A12" s="76" t="str">
        <x:v>扣非净利润</x:v>
      </x:c>
      <x:c r="B12" s="77" t="n">
        <x:v>101.035</x:v>
      </x:c>
      <x:c r="C12" s="77" t="n">
        <x:v>-279.702</x:v>
      </x:c>
      <x:c r="D12" s="77" t="n">
        <x:v>-39.312</x:v>
      </x:c>
      <x:c r="E12" s="77" t="n">
        <x:v>110.028</x:v>
      </x:c>
      <x:c r="F12" s="77" t="n">
        <x:v>1.089</x:v>
      </x:c>
      <x:c r="G12" s="78" t="n">
        <x:f>IFERROR(F12/E12-1,"")</x:f>
        <x:v>-0.9901025193587087</x:v>
      </x:c>
    </x:row>
    <x:row r="13">
      <x:c r="A13" s="76" t="str">
        <x:v>经营利润</x:v>
      </x:c>
      <x:c r="B13" s="77" t="n">
        <x:v>164.466</x:v>
      </x:c>
      <x:c r="C13" s="77" t="n">
        <x:v>-164.251</x:v>
      </x:c>
      <x:c r="D13" s="77" t="n">
        <x:v>49.79</x:v>
      </x:c>
      <x:c r="E13" s="77" t="n">
        <x:v>141.88</x:v>
      </x:c>
      <x:c r="F13" s="77" t="n">
        <x:v>5.924</x:v>
      </x:c>
      <x:c r="G13" s="78" t="n">
        <x:f>IFERROR(F13/E13-1,"")</x:f>
        <x:v>-0.9582464054130251</x:v>
      </x:c>
    </x:row>
    <x:row r="14">
      <x:c r="A14" s="76" t="str">
        <x:v>财务费用</x:v>
      </x:c>
      <x:c r="B14" s="77"/>
      <x:c r="C14" s="77" t="n">
        <x:v>275.784</x:v>
      </x:c>
      <x:c r="D14" s="77" t="n">
        <x:v>234.228</x:v>
      </x:c>
      <x:c r="E14" s="77" t="n">
        <x:v>80.901</x:v>
      </x:c>
      <x:c r="F14" s="77" t="n">
        <x:v>206.854</x:v>
      </x:c>
      <x:c r="G14" s="78" t="n">
        <x:f>IFERROR(F14/E14-1,"")</x:f>
        <x:v>1.5568781597260855</x:v>
      </x:c>
    </x:row>
    <x:row r="15">
      <x:c r="A15" s="76" t="str">
        <x:v>其中：汇兑损益</x:v>
      </x:c>
      <x:c r="B15" s="77"/>
      <x:c r="C15" s="77"/>
      <x:c r="D15" s="77"/>
      <x:c r="E15" s="77" t="n">
        <x:v>-41.252</x:v>
      </x:c>
      <x:c r="F15" s="77" t="n">
        <x:v>80.266</x:v>
      </x:c>
      <x:c r="G15" s="77" t="n">
        <x:f>F15-E15</x:f>
        <x:v>121.518</x:v>
      </x:c>
    </x:row>
    <x:row r="16">
      <x:c r="A16" s="14" t="str">
        <x:v>经营现金流</x:v>
      </x:c>
      <x:c r="B16" s="40" t="n">
        <x:v>916.625</x:v>
      </x:c>
      <x:c r="C16" s="40" t="n">
        <x:v>963.903</x:v>
      </x:c>
      <x:c r="D16" s="40" t="n">
        <x:v>883.073</x:v>
      </x:c>
      <x:c r="E16" s="40" t="n">
        <x:v>247.874</x:v>
      </x:c>
      <x:c r="F16" s="40" t="n">
        <x:v>545.054</x:v>
      </x:c>
      <x:c r="G16" s="75" t="n">
        <x:f>IFERROR(F16/E16-1,"")</x:f>
        <x:v>1.1989155780759577</x:v>
      </x:c>
    </x:row>
    <x:row r="17">
      <x:c r="A17" s="14" t="str">
        <x:v>资本开支</x:v>
      </x:c>
      <x:c r="B17" s="40"/>
      <x:c r="C17" s="40" t="n">
        <x:v>379.334</x:v>
      </x:c>
      <x:c r="D17" s="40" t="n">
        <x:v>386.253</x:v>
      </x:c>
      <x:c r="E17" s="40" t="n">
        <x:v>160.802</x:v>
      </x:c>
      <x:c r="F17" s="40" t="n">
        <x:v>182.824</x:v>
      </x:c>
      <x:c r="G17" s="75" t="n">
        <x:f>IFERROR(F17/E17-1,"")</x:f>
        <x:v>0.13695103294735156</x:v>
      </x:c>
    </x:row>
    <x:row r="18">
      <x:c r="A18" s="72" t="str">
        <x:v>简化自由现金流</x:v>
      </x:c>
      <x:c r="B18" s="79"/>
      <x:c r="C18" s="79" t="n">
        <x:f>C16-C17</x:f>
        <x:v>584.569</x:v>
      </x:c>
      <x:c r="D18" s="79" t="n">
        <x:f>D16-D17</x:f>
        <x:v>496.82</x:v>
      </x:c>
      <x:c r="E18" s="79" t="n">
        <x:f>E16-E17</x:f>
        <x:v>87.072</x:v>
      </x:c>
      <x:c r="F18" s="79" t="n">
        <x:f>F16-F17</x:f>
        <x:v>362.22999999999996</x:v>
      </x:c>
      <x:c r="G18" s="74" t="n">
        <x:f>IFERROR(F18/E18-1,"")</x:f>
        <x:v>3.160120360161705</x:v>
      </x:c>
    </x:row>
    <x:row r="19">
      <x:c r="A19" s="72" t="str">
        <x:v>CFO/收入</x:v>
      </x:c>
      <x:c r="B19" s="74" t="n">
        <x:f>B16/B4</x:f>
        <x:v>0.11492410401513757</x:v>
      </x:c>
      <x:c r="C19" s="74" t="n">
        <x:f>C16/C4</x:f>
        <x:v>0.1140796502846479</x:v>
      </x:c>
      <x:c r="D19" s="74" t="n">
        <x:f>D16/D4</x:f>
        <x:v>0.09908724960236533</x:v>
      </x:c>
      <x:c r="E19" s="74" t="n">
        <x:f>E16/E4</x:f>
        <x:v>0.05743498437808464</x:v>
      </x:c>
      <x:c r="F19" s="74" t="n">
        <x:f>F16/F4</x:f>
        <x:v>0.11708045315312605</x:v>
      </x:c>
      <x:c r="G19" s="74" t="n">
        <x:f>F19-E19</x:f>
        <x:v>0.05964546877504141</x:v>
      </x:c>
    </x:row>
    <x:row r="20">
      <x:c r="A20" s="72" t="str">
        <x:v>FCF/收入</x:v>
      </x:c>
      <x:c r="B20" s="74"/>
      <x:c r="C20" s="74" t="n">
        <x:f>C18/C4</x:f>
        <x:v>0.06918479046879855</x:v>
      </x:c>
      <x:c r="D20" s="74" t="n">
        <x:f>D18/D4</x:f>
        <x:v>0.05574683785762574</x:v>
      </x:c>
      <x:c r="E20" s="74" t="n">
        <x:f>E18/E4</x:f>
        <x:v>0.020175488190647614</x:v>
      </x:c>
      <x:c r="F20" s="74" t="n">
        <x:f>F18/F4</x:f>
        <x:v>0.07780890066976272</x:v>
      </x:c>
      <x:c r="G20" s="74" t="n">
        <x:f>F20-E20</x:f>
        <x:v>0.057633412479115104</x:v>
      </x:c>
    </x:row>
    <x:row r="21">
      <x:c r="A21" s="14" t="str">
        <x:v>归母净资产</x:v>
      </x:c>
      <x:c r="B21" s="38" t="n">
        <x:v>3884.223</x:v>
      </x:c>
      <x:c r="C21" s="38" t="n">
        <x:v>3628.153</x:v>
      </x:c>
      <x:c r="D21" s="38" t="n">
        <x:v>3499.23</x:v>
      </x:c>
      <x:c r="E21" s="38"/>
      <x:c r="F21" s="38" t="n">
        <x:v>3400.398</x:v>
      </x:c>
      <x:c r="G21" s="75" t="str">
        <x:f>IFERROR(F21/E21-1,"")</x:f>
      </x:c>
    </x:row>
    <x:row r="22">
      <x:c r="A22" s="80" t="str">
        <x:v>审计口径</x:v>
      </x:c>
      <x:c r="B22" s="80" t="str">
        <x:v>经审计</x:v>
      </x:c>
      <x:c r="C22" s="80" t="str">
        <x:v>经审计</x:v>
      </x:c>
      <x:c r="D22" s="80" t="str">
        <x:v>保留意见</x:v>
      </x:c>
      <x:c r="E22" s="80" t="str">
        <x:v>未经审计</x:v>
      </x:c>
      <x:c r="F22" s="80" t="str">
        <x:v>未经审计</x:v>
      </x:c>
      <x:c r="G22" s="80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38" hidden="0" customWidth="1"/>
  </x:cols>
  <x:sheetData>
    <x:row r="1" ht="30" customHeight="1">
      <x:c r="A1" s="3" t="str">
        <x:v>产品、渠道、地区与门店结构</x:v>
      </x:c>
      <x:c r="B1" s="3" t="str">
        <x:v>产品、渠道、地区与门店结构</x:v>
      </x:c>
      <x:c r="C1" s="3" t="str">
        <x:v>产品、渠道、地区与门店结构</x:v>
      </x:c>
      <x:c r="D1" s="3" t="str">
        <x:v>产品、渠道、地区与门店结构</x:v>
      </x:c>
      <x:c r="E1" s="3" t="str">
        <x:v>产品、渠道、地区与门店结构</x:v>
      </x:c>
      <x:c r="F1" s="3" t="str">
        <x:v>产品、渠道、地区与门店结构</x:v>
      </x:c>
      <x:c r="G1" s="3" t="str">
        <x:v>产品、渠道、地区与门店结构</x:v>
      </x:c>
      <x:c r="H1" s="3" t="str">
        <x:v>产品、渠道、地区与门店结构</x:v>
      </x:c>
    </x:row>
    <x:row r="3">
      <x:c r="A3" s="19" t="str">
        <x:v>2026H1产品（RMB mn）</x:v>
      </x:c>
      <x:c r="B3" s="20" t="str">
        <x:v>收入</x:v>
      </x:c>
      <x:c r="C3" s="20" t="str">
        <x:v>成本</x:v>
      </x:c>
      <x:c r="D3" s="20" t="str">
        <x:v>毛利率</x:v>
      </x:c>
      <x:c r="E3" s="20" t="str">
        <x:v>收入同比</x:v>
      </x:c>
      <x:c r="F3" s="21" t="str">
        <x:v>毛利率同比</x:v>
      </x:c>
      <x:c r="G3" s="19" t="str">
        <x:v>门店/经营指标</x:v>
      </x:c>
      <x:c r="H3" s="21" t="str">
        <x:v>2025-12-31 / 2026H1</x:v>
      </x:c>
    </x:row>
    <x:row r="4">
      <x:c r="A4" s="11" t="str">
        <x:v>床垫</x:v>
      </x:c>
      <x:c r="B4" s="70" t="n">
        <x:v>2433.265</x:v>
      </x:c>
      <x:c r="C4" s="70" t="n">
        <x:v>1485.788</x:v>
      </x:c>
      <x:c r="D4" s="71" t="n">
        <x:v>0.3894</x:v>
      </x:c>
      <x:c r="E4" s="71" t="n">
        <x:v>0.083</x:v>
      </x:c>
      <x:c r="F4" s="71" t="n">
        <x:v>-0.0189</x:v>
      </x:c>
      <x:c r="G4" s="11" t="str">
        <x:v>MLILY直营店</x:v>
      </x:c>
      <x:c r="H4" s="11" t="str">
        <x:v>232 → 280</x:v>
      </x:c>
    </x:row>
    <x:row r="5">
      <x:c r="A5" s="14" t="str">
        <x:v>枕头</x:v>
      </x:c>
      <x:c r="B5" s="38" t="n">
        <x:v>297.598</x:v>
      </x:c>
      <x:c r="C5" s="38" t="n">
        <x:v>186.478</x:v>
      </x:c>
      <x:c r="D5" s="75" t="n">
        <x:v>0.3734</x:v>
      </x:c>
      <x:c r="E5" s="75" t="n">
        <x:v>-0.008</x:v>
      </x:c>
      <x:c r="F5" s="75"/>
      <x:c r="G5" s="14" t="str">
        <x:v>MLILY经销店</x:v>
      </x:c>
      <x:c r="H5" s="14" t="str">
        <x:v>889 → 842</x:v>
      </x:c>
    </x:row>
    <x:row r="6">
      <x:c r="A6" s="14" t="str">
        <x:v>沙发</x:v>
      </x:c>
      <x:c r="B6" s="38" t="n">
        <x:v>566.608</x:v>
      </x:c>
      <x:c r="C6" s="38" t="n">
        <x:v>356.836</x:v>
      </x:c>
      <x:c r="D6" s="75" t="n">
        <x:v>0.3702</x:v>
      </x:c>
      <x:c r="E6" s="75" t="n">
        <x:v>0.0008</x:v>
      </x:c>
      <x:c r="F6" s="75"/>
      <x:c r="G6" s="14" t="str">
        <x:v>MLILY门店合计</x:v>
      </x:c>
      <x:c r="H6" s="14" t="str">
        <x:v>1121 → 1122</x:v>
      </x:c>
    </x:row>
    <x:row r="7">
      <x:c r="A7" s="14" t="str">
        <x:v>电动床</x:v>
      </x:c>
      <x:c r="B7" s="38" t="n">
        <x:v>449.51</x:v>
      </x:c>
      <x:c r="C7" s="38" t="n">
        <x:v>269.891</x:v>
      </x:c>
      <x:c r="D7" s="75" t="n">
        <x:v>0.3996</x:v>
      </x:c>
      <x:c r="E7" s="75" t="n">
        <x:v>0.3933</x:v>
      </x:c>
      <x:c r="F7" s="75"/>
      <x:c r="G7" s="14" t="str">
        <x:v>全球门店合计</x:v>
      </x:c>
      <x:c r="H7" s="14" t="str">
        <x:v>1340 → 1343</x:v>
      </x:c>
    </x:row>
    <x:row r="8">
      <x:c r="A8" s="14" t="str">
        <x:v>床品</x:v>
      </x:c>
      <x:c r="B8" s="38" t="n">
        <x:v>299.436</x:v>
      </x:c>
      <x:c r="C8" s="38" t="n">
        <x:v>142.417</x:v>
      </x:c>
      <x:c r="D8" s="75" t="n">
        <x:v>0.5244</x:v>
      </x:c>
      <x:c r="E8" s="75" t="n">
        <x:v>-0.0071</x:v>
      </x:c>
      <x:c r="F8" s="75"/>
      <x:c r="G8" s="14" t="str">
        <x:v>半年新开/关闭</x:v>
      </x:c>
      <x:c r="H8" s="14" t="str">
        <x:v>158 / 155</x:v>
      </x:c>
    </x:row>
    <x:row r="9">
      <x:c r="A9" s="14" t="str">
        <x:v>其他</x:v>
      </x:c>
      <x:c r="B9" s="38" t="n">
        <x:v>494.993</x:v>
      </x:c>
      <x:c r="C9" s="38" t="n">
        <x:v>306.441</x:v>
      </x:c>
      <x:c r="D9" s="75" t="n">
        <x:v>0.3809</x:v>
      </x:c>
      <x:c r="E9" s="75" t="n">
        <x:v>0.1393</x:v>
      </x:c>
      <x:c r="F9" s="75"/>
      <x:c r="G9" s="14" t="str">
        <x:v>美国两厂收入</x:v>
      </x:c>
      <x:c r="H9" s="14" t="str">
        <x:v>867.0 mn</x:v>
      </x:c>
    </x:row>
    <x:row r="10">
      <x:c r="A10" s="84" t="str">
        <x:v>合计</x:v>
      </x:c>
      <x:c r="B10" s="85" t="n">
        <x:v>4541.41</x:v>
      </x:c>
      <x:c r="C10" s="85" t="n">
        <x:v>2747.851</x:v>
      </x:c>
      <x:c r="D10" s="86" t="n">
        <x:v>0.3949</x:v>
      </x:c>
      <x:c r="E10" s="86" t="n">
        <x:v>0.0887</x:v>
      </x:c>
      <x:c r="F10" s="86"/>
      <x:c r="G10" s="14" t="str">
        <x:v>美国两厂净利润</x:v>
      </x:c>
      <x:c r="H10" s="14" t="str">
        <x:v>101.4 mn</x:v>
      </x:c>
    </x:row>
    <x:row r="11">
      <x:c r="G11" s="14" t="str">
        <x:v>Mlily USA H1净利润</x:v>
      </x:c>
      <x:c r="H11" s="14" t="str">
        <x:v>约-40.1 mn</x:v>
      </x:c>
    </x:row>
    <x:row r="12">
      <x:c r="G12" s="14" t="str">
        <x:v>MOR H1收入</x:v>
      </x:c>
      <x:c r="H12" s="14" t="str">
        <x:v>812.0 mn</x:v>
      </x:c>
    </x:row>
    <x:row r="13">
      <x:c r="G13" s="14" t="str">
        <x:v>MOR H1净利润</x:v>
      </x:c>
      <x:c r="H13" s="14" t="str">
        <x:v>1.1 mn</x:v>
      </x:c>
    </x:row>
    <x:row r="14">
      <x:c r="G14" s="14" t="str">
        <x:v>海外资产占比</x:v>
      </x:c>
      <x:c r="H14" s="14" t="str">
        <x:v>78.81%</x:v>
      </x:c>
    </x:row>
    <x:row r="15">
      <x:c r="G15" s="16" t="str">
        <x:v>南卡火灾</x:v>
      </x:c>
      <x:c r="H15" s="16" t="str">
        <x:v>2026-08-16；净损失待定</x:v>
      </x:c>
    </x:row>
    <x:row r="16">
      <x:c r="A16" s="19" t="str">
        <x:v>2026H1渠道（RMB mn）</x:v>
      </x:c>
      <x:c r="B16" s="20" t="str">
        <x:v>收入</x:v>
      </x:c>
      <x:c r="C16" s="20" t="str">
        <x:v>成本</x:v>
      </x:c>
      <x:c r="D16" s="20" t="str">
        <x:v>毛利率</x:v>
      </x:c>
      <x:c r="E16" s="20" t="str">
        <x:v>收入占比</x:v>
      </x:c>
      <x:c r="F16" s="21" t="str">
        <x:v>收入同比</x:v>
      </x:c>
    </x:row>
    <x:row r="17">
      <x:c r="A17" s="11" t="str">
        <x:v>直营门店</x:v>
      </x:c>
      <x:c r="B17" s="70" t="n">
        <x:v>1092.914</x:v>
      </x:c>
      <x:c r="C17" s="70" t="n">
        <x:v>508.67</x:v>
      </x:c>
      <x:c r="D17" s="71" t="n">
        <x:v>0.5346</x:v>
      </x:c>
      <x:c r="E17" s="71" t="n">
        <x:f>B17/$B$10</x:f>
        <x:v>0.2406552150103162</x:v>
      </x:c>
      <x:c r="F17" s="71" t="n">
        <x:v>0.0109</x:v>
      </x:c>
    </x:row>
    <x:row r="18">
      <x:c r="A18" s="76" t="str">
        <x:v>经销门店</x:v>
      </x:c>
      <x:c r="B18" s="92" t="n">
        <x:v>119.342</x:v>
      </x:c>
      <x:c r="C18" s="92" t="n">
        <x:v>81.076</x:v>
      </x:c>
      <x:c r="D18" s="78" t="n">
        <x:v>0.3206</x:v>
      </x:c>
      <x:c r="E18" s="78" t="n">
        <x:f>B18/$B$10</x:f>
        <x:v>0.026278622718494918</x:v>
      </x:c>
      <x:c r="F18" s="78" t="n">
        <x:v>-0.359</x:v>
      </x:c>
      <x:c r="G18" s="19" t="str">
        <x:v>关键解读</x:v>
      </x:c>
      <x:c r="H18" s="21" t="str">
        <x:v>研究判断</x:v>
      </x:c>
    </x:row>
    <x:row r="19">
      <x:c r="A19" s="93" t="str">
        <x:v>境外线上</x:v>
      </x:c>
      <x:c r="B19" s="94" t="n">
        <x:v>1373.972</x:v>
      </x:c>
      <x:c r="C19" s="94" t="n">
        <x:v>876.199</x:v>
      </x:c>
      <x:c r="D19" s="95" t="n">
        <x:v>0.3623</x:v>
      </x:c>
      <x:c r="E19" s="95" t="n">
        <x:f>B19/$B$10</x:f>
        <x:v>0.30254304279948296</x:v>
      </x:c>
      <x:c r="F19" s="95" t="n">
        <x:v>0.3868</x:v>
      </x:c>
      <x:c r="G19" s="99" t="str">
        <x:v>境外线上</x:v>
      </x:c>
      <x:c r="H19" s="99" t="str">
        <x:v>高增长但毛利率下降9.72ppt</x:v>
      </x:c>
    </x:row>
    <x:row r="20">
      <x:c r="A20" s="93" t="str">
        <x:v>国内线上</x:v>
      </x:c>
      <x:c r="B20" s="94" t="n">
        <x:v>254.871</x:v>
      </x:c>
      <x:c r="C20" s="94" t="n">
        <x:v>78.721</x:v>
      </x:c>
      <x:c r="D20" s="95" t="n">
        <x:v>0.6912</x:v>
      </x:c>
      <x:c r="E20" s="95" t="n">
        <x:f>B20/$B$10</x:f>
        <x:v>0.056121556961384246</x:v>
      </x:c>
      <x:c r="F20" s="95" t="n">
        <x:v>0.421</x:v>
      </x:c>
      <x:c r="G20" s="100" t="str">
        <x:v>国内线上</x:v>
      </x:c>
      <x:c r="H20" s="100" t="str">
        <x:v>高增长、高毛利，规模仍小</x:v>
      </x:c>
    </x:row>
    <x:row r="21">
      <x:c r="A21" s="14" t="str">
        <x:v>大宗/ODM</x:v>
      </x:c>
      <x:c r="B21" s="38" t="n">
        <x:v>1700.312</x:v>
      </x:c>
      <x:c r="C21" s="38" t="n">
        <x:v>1203.719</x:v>
      </x:c>
      <x:c r="D21" s="75" t="n">
        <x:v>0.2923</x:v>
      </x:c>
      <x:c r="E21" s="75" t="n">
        <x:f>B21/$B$10</x:f>
        <x:v>0.374401782706252</x:v>
      </x:c>
      <x:c r="F21" s="75" t="n">
        <x:v>-0.0195</x:v>
      </x:c>
      <x:c r="G21" s="100" t="str">
        <x:v>直营扩张</x:v>
      </x:c>
      <x:c r="H21" s="100" t="str">
        <x:v>毛利高但租金/人工重</x:v>
      </x:c>
    </x:row>
    <x:row r="22">
      <x:c r="A22" s="14" t="str">
        <x:v>门店合计</x:v>
      </x:c>
      <x:c r="B22" s="38" t="n">
        <x:v>1212.256</x:v>
      </x:c>
      <x:c r="C22" s="38" t="n">
        <x:v>589.746</x:v>
      </x:c>
      <x:c r="D22" s="75" t="n">
        <x:v>0.5135</x:v>
      </x:c>
      <x:c r="E22" s="75" t="n">
        <x:f>B22/$B$10</x:f>
        <x:v>0.26693383772881113</x:v>
      </x:c>
      <x:c r="F22" s="75" t="n">
        <x:v>-0.0434</x:v>
      </x:c>
      <x:c r="G22" s="100" t="str">
        <x:v>经销收缩</x:v>
      </x:c>
      <x:c r="H22" s="100" t="str">
        <x:v>渠道清理影响短期收入</x:v>
      </x:c>
    </x:row>
    <x:row r="23">
      <x:c r="A23" s="16" t="str">
        <x:v>线上合计</x:v>
      </x:c>
      <x:c r="B23" s="96" t="n">
        <x:v>1628.842</x:v>
      </x:c>
      <x:c r="C23" s="96" t="n">
        <x:v>954.92</x:v>
      </x:c>
      <x:c r="D23" s="42" t="n">
        <x:v>0.4137</x:v>
      </x:c>
      <x:c r="E23" s="42" t="n">
        <x:f>B23/$B$10</x:f>
        <x:v>0.3586643795649369</x:v>
      </x:c>
      <x:c r="F23" s="42" t="n">
        <x:v>0.392</x:v>
      </x:c>
      <x:c r="G23" s="100" t="str">
        <x:v>美国本地制造</x:v>
      </x:c>
      <x:c r="H23" s="100" t="str">
        <x:v>反倾销背景下具备价值</x:v>
      </x:c>
    </x:row>
    <x:row r="24">
      <x:c r="G24" s="100" t="str">
        <x:v>欧洲</x:v>
      </x:c>
      <x:c r="H24" s="100" t="str">
        <x:v>收入与毛利率同时承压</x:v>
      </x:c>
    </x:row>
    <x:row r="25">
      <x:c r="G25" s="101" t="str">
        <x:v>火灾</x:v>
      </x:c>
      <x:c r="H25" s="101" t="str">
        <x:v>期后事件，尚未进入H1报表</x:v>
      </x:c>
    </x:row>
    <x:row r="26">
      <x:c r="A26" s="19" t="str">
        <x:v>2026H1地区（RMB mn）</x:v>
      </x:c>
      <x:c r="B26" s="20" t="str">
        <x:v>收入</x:v>
      </x:c>
      <x:c r="C26" s="20" t="str">
        <x:v>毛利率</x:v>
      </x:c>
      <x:c r="D26" s="20" t="str">
        <x:v>收入同比</x:v>
      </x:c>
      <x:c r="E26" s="21" t="str">
        <x:v>收入占比</x:v>
      </x:c>
    </x:row>
    <x:row r="27">
      <x:c r="A27" s="11" t="str">
        <x:v>中国</x:v>
      </x:c>
      <x:c r="B27" s="70" t="n">
        <x:v>744.261</x:v>
      </x:c>
      <x:c r="C27" s="71" t="n">
        <x:v>0.478</x:v>
      </x:c>
      <x:c r="D27" s="71" t="n">
        <x:v>-0.0122</x:v>
      </x:c>
      <x:c r="E27" s="71" t="n">
        <x:f>B27/SUM($B$27:$B$30)</x:f>
        <x:v>0.16388320722348185</x:v>
      </x:c>
    </x:row>
    <x:row r="28">
      <x:c r="A28" s="93" t="str">
        <x:v>北美</x:v>
      </x:c>
      <x:c r="B28" s="94" t="n">
        <x:v>2639.836</x:v>
      </x:c>
      <x:c r="C28" s="95" t="n">
        <x:v>0.3952</x:v>
      </x:c>
      <x:c r="D28" s="95" t="n">
        <x:v>0.2088</x:v>
      </x:c>
      <x:c r="E28" s="95" t="n">
        <x:f>B28/SUM($B$27:$B$30)</x:f>
        <x:v>0.5812810159661831</x:v>
      </x:c>
    </x:row>
    <x:row r="29">
      <x:c r="A29" s="14" t="str">
        <x:v>欧洲</x:v>
      </x:c>
      <x:c r="B29" s="38" t="n">
        <x:v>888.184</x:v>
      </x:c>
      <x:c r="C29" s="75" t="n">
        <x:v>0.3442</x:v>
      </x:c>
      <x:c r="D29" s="75" t="n">
        <x:v>-0.0722</x:v>
      </x:c>
      <x:c r="E29" s="75" t="n">
        <x:f>B29/SUM($B$27:$B$30)</x:f>
        <x:v>0.1955744591273505</x:v>
      </x:c>
    </x:row>
    <x:row r="30">
      <x:c r="A30" s="16" t="str">
        <x:v>其他境外</x:v>
      </x:c>
      <x:c r="B30" s="96" t="n">
        <x:v>269.13</x:v>
      </x:c>
      <x:c r="C30" s="42" t="n">
        <x:v>0.3305</x:v>
      </x:c>
      <x:c r="D30" s="42" t="n">
        <x:v>-0.0283</x:v>
      </x:c>
      <x:c r="E30" s="42" t="n">
        <x:f>B30/SUM($B$27:$B$30)</x:f>
        <x:v>0.05926131768298443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6" hidden="0" customWidth="1"/>
    <x:col min="5" max="5" width="3" hidden="0" customWidth="1"/>
    <x:col min="6" max="6" width="32" hidden="0" customWidth="1"/>
    <x:col min="7" max="7" width="28" hidden="0" customWidth="1"/>
  </x:cols>
  <x:sheetData>
    <x:row r="1" ht="30" customHeight="1">
      <x:c r="A1" s="3" t="str">
        <x:v>资产负债、现金流与关联方应收</x:v>
      </x:c>
      <x:c r="B1" s="3" t="str">
        <x:v>资产负债、现金流与关联方应收</x:v>
      </x:c>
      <x:c r="C1" s="3" t="str">
        <x:v>资产负债、现金流与关联方应收</x:v>
      </x:c>
      <x:c r="D1" s="3" t="str">
        <x:v>资产负债、现金流与关联方应收</x:v>
      </x:c>
      <x:c r="E1" s="3" t="str">
        <x:v>资产负债、现金流与关联方应收</x:v>
      </x:c>
      <x:c r="F1" s="3" t="str">
        <x:v>资产负债、现金流与关联方应收</x:v>
      </x:c>
      <x:c r="G1" s="3" t="str">
        <x:v>资产负债、现金流与关联方应收</x:v>
      </x:c>
    </x:row>
    <x:row r="3">
      <x:c r="A3" s="19" t="str">
        <x:v>指标（RMB mn）</x:v>
      </x:c>
      <x:c r="B3" s="20" t="str">
        <x:v>2025-12-31</x:v>
      </x:c>
      <x:c r="C3" s="20" t="str">
        <x:v>2026-06-30</x:v>
      </x:c>
      <x:c r="D3" s="21" t="str">
        <x:v>变化</x:v>
      </x:c>
      <x:c r="F3" s="19" t="str">
        <x:v>关联方应收与治理</x:v>
      </x:c>
      <x:c r="G3" s="21" t="str">
        <x:v>金额/状态</x:v>
      </x:c>
    </x:row>
    <x:row r="4">
      <x:c r="A4" s="11" t="str">
        <x:v>货币资金</x:v>
      </x:c>
      <x:c r="B4" s="70" t="n">
        <x:v>1088.855</x:v>
      </x:c>
      <x:c r="C4" s="70" t="n">
        <x:v>973.022</x:v>
      </x:c>
      <x:c r="D4" s="71" t="n">
        <x:f>IFERROR(C4/B4-1,"")</x:f>
        <x:v>-0.10638055572137706</x:v>
      </x:c>
      <x:c r="F4" s="118" t="str">
        <x:v>2025年末MC应收</x:v>
      </x:c>
      <x:c r="G4" s="119" t="n">
        <x:v>296</x:v>
      </x:c>
    </x:row>
    <x:row r="5">
      <x:c r="A5" s="14" t="str">
        <x:v>现金及现金等价物</x:v>
      </x:c>
      <x:c r="B5" s="38" t="n">
        <x:v>405.365</x:v>
      </x:c>
      <x:c r="C5" s="38" t="n">
        <x:v>261.155</x:v>
      </x:c>
      <x:c r="D5" s="75" t="n">
        <x:f>IFERROR(C5/B5-1,"")</x:f>
        <x:v>-0.35575345676119063</x:v>
      </x:c>
      <x:c r="F5" s="76" t="str">
        <x:v>2025年末Dormeo应收</x:v>
      </x:c>
      <x:c r="G5" s="92" t="n">
        <x:v>247</x:v>
      </x:c>
    </x:row>
    <x:row r="6">
      <x:c r="A6" s="14" t="str">
        <x:v>应收账款</x:v>
      </x:c>
      <x:c r="B6" s="38" t="n">
        <x:v>1457.825</x:v>
      </x:c>
      <x:c r="C6" s="38" t="n">
        <x:v>1525.15</x:v>
      </x:c>
      <x:c r="D6" s="75" t="n">
        <x:f>IFERROR(C6/B6-1,"")</x:f>
        <x:v>0.04618181194587834</x:v>
      </x:c>
      <x:c r="F6" s="76" t="str">
        <x:v>2025年末逾期合计</x:v>
      </x:c>
      <x:c r="G6" s="92" t="n">
        <x:v>432.353</x:v>
      </x:c>
    </x:row>
    <x:row r="7">
      <x:c r="A7" s="14" t="str">
        <x:v>存货</x:v>
      </x:c>
      <x:c r="B7" s="38" t="n">
        <x:v>1781.225</x:v>
      </x:c>
      <x:c r="C7" s="38" t="n">
        <x:v>1902.175</x:v>
      </x:c>
      <x:c r="D7" s="75" t="n">
        <x:f>IFERROR(C7/B7-1,"")</x:f>
        <x:v>0.0679027074064198</x:v>
      </x:c>
      <x:c r="F7" s="76" t="str">
        <x:v>2025年末坏账准备</x:v>
      </x:c>
      <x:c r="G7" s="92" t="n">
        <x:v>61.236</x:v>
      </x:c>
    </x:row>
    <x:row r="8">
      <x:c r="A8" s="76" t="str">
        <x:v>MC+Dormeo应收原值</x:v>
      </x:c>
      <x:c r="B8" s="92" t="n">
        <x:v>542.125</x:v>
      </x:c>
      <x:c r="C8" s="92" t="n">
        <x:v>623.193</x:v>
      </x:c>
      <x:c r="D8" s="78" t="n">
        <x:f>IFERROR(C8/B8-1,"")</x:f>
        <x:v>0.14953746829605707</x:v>
      </x:c>
      <x:c r="F8" s="76" t="str">
        <x:v>2026-04实控人代偿</x:v>
      </x:c>
      <x:c r="G8" s="92" t="n">
        <x:v>120</x:v>
      </x:c>
    </x:row>
    <x:row r="9">
      <x:c r="A9" s="76" t="str">
        <x:v>其中：逾期</x:v>
      </x:c>
      <x:c r="B9" s="92" t="n">
        <x:v>432.353</x:v>
      </x:c>
      <x:c r="C9" s="92" t="n">
        <x:v>312.347</x:v>
      </x:c>
      <x:c r="D9" s="78" t="n">
        <x:f>IFERROR(C9/B9-1,"")</x:f>
        <x:v>-0.27756486019525717</x:v>
      </x:c>
      <x:c r="F9" s="76" t="str">
        <x:v>2026H1两公司回款</x:v>
      </x:c>
      <x:c r="G9" s="92" t="n">
        <x:v>111.713</x:v>
      </x:c>
    </x:row>
    <x:row r="10">
      <x:c r="A10" s="76" t="str">
        <x:v>固定资产</x:v>
      </x:c>
      <x:c r="B10" s="92"/>
      <x:c r="C10" s="92" t="n">
        <x:v>2068.751</x:v>
      </x:c>
      <x:c r="D10" s="78" t="str">
        <x:f>IFERROR(C10/B10-1,"")</x:f>
      </x:c>
      <x:c r="F10" s="76" t="str">
        <x:v>2026H1合计回款含代偿</x:v>
      </x:c>
      <x:c r="G10" s="92" t="n">
        <x:v>231.713</x:v>
      </x:c>
    </x:row>
    <x:row r="11">
      <x:c r="A11" s="14" t="str">
        <x:v>使用权资产</x:v>
      </x:c>
      <x:c r="B11" s="38"/>
      <x:c r="C11" s="38" t="n">
        <x:v>1228.089</x:v>
      </x:c>
      <x:c r="D11" s="75" t="str">
        <x:f>IFERROR(C11/B11-1,"")</x:f>
      </x:c>
      <x:c r="F11" s="76" t="str">
        <x:v>2026H1期末逾期</x:v>
      </x:c>
      <x:c r="G11" s="92" t="n">
        <x:v>312.347</x:v>
      </x:c>
    </x:row>
    <x:row r="12">
      <x:c r="A12" s="14" t="str">
        <x:v>商誉</x:v>
      </x:c>
      <x:c r="B12" s="38"/>
      <x:c r="C12" s="38" t="n">
        <x:v>209.88</x:v>
      </x:c>
      <x:c r="D12" s="75" t="str">
        <x:f>IFERROR(C12/B12-1,"")</x:f>
      </x:c>
      <x:c r="F12" s="76" t="str">
        <x:v>承诺清偿日期</x:v>
      </x:c>
      <x:c r="G12" s="76" t="str">
        <x:v>2026-12-31</x:v>
      </x:c>
    </x:row>
    <x:row r="13">
      <x:c r="A13" s="14" t="str">
        <x:v>总资产</x:v>
      </x:c>
      <x:c r="B13" s="38" t="n">
        <x:v>9627.423</x:v>
      </x:c>
      <x:c r="C13" s="38" t="n">
        <x:v>9470.838</x:v>
      </x:c>
      <x:c r="D13" s="75" t="n">
        <x:f>IFERROR(C13/B13-1,"")</x:f>
        <x:v>-0.016264477004905742</x:v>
      </x:c>
      <x:c r="F13" s="76" t="str">
        <x:v>实控人及一致行动人持股</x:v>
      </x:c>
      <x:c r="G13" s="76" t="str">
        <x:v>34.51%</x:v>
      </x:c>
    </x:row>
    <x:row r="14">
      <x:c r="A14" s="93" t="str">
        <x:v>归母净资产</x:v>
      </x:c>
      <x:c r="B14" s="94" t="n">
        <x:v>3499.23</x:v>
      </x:c>
      <x:c r="C14" s="94" t="n">
        <x:v>3400.398</x:v>
      </x:c>
      <x:c r="D14" s="95" t="n">
        <x:f>IFERROR(C14/B14-1,"")</x:f>
        <x:v>-0.02824392794986319</x:v>
      </x:c>
      <x:c r="F14" s="120" t="str">
        <x:v>其中质押比例</x:v>
      </x:c>
      <x:c r="G14" s="120" t="str">
        <x:v>51.02%</x:v>
      </x:c>
    </x:row>
    <x:row r="15">
      <x:c r="A15" s="102" t="str">
        <x:v>总权益</x:v>
      </x:c>
      <x:c r="B15" s="103" t="n">
        <x:v>3540.463</x:v>
      </x:c>
      <x:c r="C15" s="103" t="n">
        <x:v>3431.813</x:v>
      </x:c>
      <x:c r="D15" s="104" t="n">
        <x:f>IFERROR(C15/B15-1,"")</x:f>
        <x:v>-0.030688076672457876</x:v>
      </x:c>
    </x:row>
    <x:row r="17">
      <x:c r="F17" s="19" t="str">
        <x:v>现金流质量（RMB mn）</x:v>
      </x:c>
      <x:c r="G17" s="21" t="str">
        <x:v>2025A / 2026H1</x:v>
      </x:c>
    </x:row>
    <x:row r="18">
      <x:c r="A18" s="19" t="str">
        <x:v>2026H1债务与流动性（RMB mn）</x:v>
      </x:c>
      <x:c r="B18" s="20" t="str">
        <x:v>数值</x:v>
      </x:c>
      <x:c r="C18" s="20" t="str">
        <x:v>公式/比较</x:v>
      </x:c>
      <x:c r="D18" s="21" t="str">
        <x:v>说明</x:v>
      </x:c>
      <x:c r="F18" s="11" t="str">
        <x:v>经营现金流</x:v>
      </x:c>
      <x:c r="G18" s="11" t="str">
        <x:v>883.1 / 545.1</x:v>
      </x:c>
    </x:row>
    <x:row r="19">
      <x:c r="A19" s="11" t="str">
        <x:v>短期借款</x:v>
      </x:c>
      <x:c r="B19" s="70" t="n">
        <x:v>1827.564</x:v>
      </x:c>
      <x:c r="C19" s="70"/>
      <x:c r="D19" s="11" t="str">
        <x:v>短期再融资压力</x:v>
      </x:c>
      <x:c r="F19" s="14" t="str">
        <x:v>资本开支</x:v>
      </x:c>
      <x:c r="G19" s="14" t="str">
        <x:v>386.3 / 182.8</x:v>
      </x:c>
    </x:row>
    <x:row r="20">
      <x:c r="A20" s="14" t="str">
        <x:v>一年内到期非流动负债</x:v>
      </x:c>
      <x:c r="B20" s="38" t="n">
        <x:v>381.9</x:v>
      </x:c>
      <x:c r="C20" s="38"/>
      <x:c r="D20" s="14" t="str">
        <x:v>含租赁/借款到期</x:v>
      </x:c>
      <x:c r="F20" s="14" t="str">
        <x:v>简化FCF</x:v>
      </x:c>
      <x:c r="G20" s="14" t="str">
        <x:v>496.8 / 362.2</x:v>
      </x:c>
    </x:row>
    <x:row r="21">
      <x:c r="A21" s="14" t="str">
        <x:v>长期借款</x:v>
      </x:c>
      <x:c r="B21" s="38" t="n">
        <x:v>238.104</x:v>
      </x:c>
      <x:c r="C21" s="38"/>
      <x:c r="D21" s="14" t="str">
        <x:v>长期银行债务</x:v>
      </x:c>
      <x:c r="F21" s="14" t="str">
        <x:v>期末现金等价物</x:v>
      </x:c>
      <x:c r="G21" s="14" t="str">
        <x:v>711.5 / 261.2</x:v>
      </x:c>
    </x:row>
    <x:row r="22">
      <x:c r="A22" s="14" t="str">
        <x:v>非流动租赁负债</x:v>
      </x:c>
      <x:c r="B22" s="38" t="n">
        <x:v>1207.978</x:v>
      </x:c>
      <x:c r="C22" s="38"/>
      <x:c r="D22" s="14" t="str">
        <x:v>租赁负担重</x:v>
      </x:c>
      <x:c r="F22" s="14" t="str">
        <x:v>期末货币资金</x:v>
      </x:c>
      <x:c r="G22" s="14" t="str">
        <x:v>1088.9 / 973.0</x:v>
      </x:c>
    </x:row>
    <x:row r="23">
      <x:c r="A23" s="14" t="str">
        <x:v>长期应付款</x:v>
      </x:c>
      <x:c r="B23" s="38" t="n">
        <x:v>12.725</x:v>
      </x:c>
      <x:c r="C23" s="38"/>
      <x:c r="D23" s="14" t="str">
        <x:v>其他长期融资</x:v>
      </x:c>
      <x:c r="F23" s="16" t="str">
        <x:v>提示</x:v>
      </x:c>
      <x:c r="G23" s="16" t="str">
        <x:v>FCF未扣租赁本金和利息</x:v>
      </x:c>
    </x:row>
    <x:row r="24">
      <x:c r="A24" s="114" t="str">
        <x:v>广义债务及租赁负债</x:v>
      </x:c>
      <x:c r="B24" s="115" t="n">
        <x:f>SUM(B19:B23)</x:f>
        <x:v>3668.2709999999997</x:v>
      </x:c>
      <x:c r="C24" s="115" t="n">
        <x:f>B19+B20+B21+B22+B23</x:f>
        <x:v>3668.2709999999997</x:v>
      </x:c>
      <x:c r="D24" s="114" t="str">
        <x:v>含借款与租赁</x:v>
      </x:c>
    </x:row>
    <x:row r="25">
      <x:c r="A25" s="114" t="str">
        <x:v>调整净债务</x:v>
      </x:c>
      <x:c r="B25" s="115" t="n">
        <x:f>B24-C4</x:f>
        <x:v>2695.249</x:v>
      </x:c>
      <x:c r="C25" s="115" t="n">
        <x:f>B24-C4</x:f>
        <x:v>2695.249</x:v>
      </x:c>
      <x:c r="D25" s="114" t="str">
        <x:v>减全部货币资金；偏宽松</x:v>
      </x:c>
    </x:row>
    <x:row r="26">
      <x:c r="A26" s="14" t="str">
        <x:v>流动资产</x:v>
      </x:c>
      <x:c r="B26" s="38" t="n">
        <x:v>4731.075</x:v>
      </x:c>
      <x:c r="C26" s="38"/>
      <x:c r="D26" s="14" t="str">
        <x:v>期末</x:v>
      </x:c>
    </x:row>
    <x:row r="27">
      <x:c r="A27" s="14" t="str">
        <x:v>流动负债</x:v>
      </x:c>
      <x:c r="B27" s="38" t="n">
        <x:v>4571.853</x:v>
      </x:c>
      <x:c r="C27" s="38"/>
      <x:c r="D27" s="14" t="str">
        <x:v>期末</x:v>
      </x:c>
    </x:row>
    <x:row r="28">
      <x:c r="A28" s="93" t="str">
        <x:v>流动比率</x:v>
      </x:c>
      <x:c r="B28" s="116" t="n">
        <x:f>B26/B27</x:f>
        <x:v>1.0348265790697995</x:v>
      </x:c>
      <x:c r="C28" s="116" t="n">
        <x:f>B26/B27</x:f>
        <x:v>1.0348265790697995</x:v>
      </x:c>
      <x:c r="D28" s="93" t="str">
        <x:v>仅略高于1</x:v>
      </x:c>
    </x:row>
    <x:row r="29">
      <x:c r="A29" s="102" t="str">
        <x:v>归母净资产/股</x:v>
      </x:c>
      <x:c r="B29" s="117" t="n">
        <x:f>C14/'Valuation'!B5</x:f>
        <x:v>5.959474515436855</x:v>
      </x:c>
      <x:c r="C29" s="117" t="n">
        <x:f>C14/'Valuation'!B5</x:f>
        <x:v>5.959474515436855</x:v>
      </x:c>
      <x:c r="D29" s="102" t="str">
        <x:v>用于P/B估值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估值假设与情景定义</x:v>
      </x:c>
      <x:c r="B1" s="3" t="str">
        <x:v>估值假设与情景定义</x:v>
      </x:c>
      <x:c r="C1" s="3" t="str">
        <x:v>估值假设与情景定义</x:v>
      </x:c>
      <x:c r="D1" s="3" t="str">
        <x:v>估值假设与情景定义</x:v>
      </x:c>
      <x:c r="E1" s="3" t="str">
        <x:v>估值假设与情景定义</x:v>
      </x:c>
      <x:c r="F1" s="3" t="str">
        <x:v>估值假设与情景定义</x:v>
      </x:c>
    </x:row>
    <x:row r="3">
      <x:c r="A3" s="19" t="str">
        <x:v>市场与资本输入</x:v>
      </x:c>
      <x:c r="B3" s="20" t="str">
        <x:v>数值</x:v>
      </x:c>
      <x:c r="C3" s="20" t="str">
        <x:v>单位</x:v>
      </x:c>
      <x:c r="D3" s="21" t="str">
        <x:v>说明</x:v>
      </x:c>
    </x:row>
    <x:row r="4">
      <x:c r="A4" s="11" t="str">
        <x:v>参考股价</x:v>
      </x:c>
      <x:c r="B4" s="37" t="n">
        <x:v>6.43</x:v>
      </x:c>
      <x:c r="C4" s="11" t="str">
        <x:v>RMB/股</x:v>
      </x:c>
      <x:c r="D4" s="11" t="str">
        <x:v>2026-09-04收盘</x:v>
      </x:c>
    </x:row>
    <x:row r="5">
      <x:c r="A5" s="14" t="str">
        <x:v>期末股本</x:v>
      </x:c>
      <x:c r="B5" s="128" t="n">
        <x:v>570.586885</x:v>
      </x:c>
      <x:c r="C5" s="14" t="str">
        <x:v>mn shares</x:v>
      </x:c>
      <x:c r="D5" s="14" t="str">
        <x:v>2026H1</x:v>
      </x:c>
    </x:row>
    <x:row r="6">
      <x:c r="A6" s="14" t="str">
        <x:v>期末归母净资产</x:v>
      </x:c>
      <x:c r="B6" s="128" t="n">
        <x:v>3400.398</x:v>
      </x:c>
      <x:c r="C6" s="14" t="str">
        <x:v>RMB mn</x:v>
      </x:c>
      <x:c r="D6" s="14" t="str">
        <x:v>2026H1</x:v>
      </x:c>
    </x:row>
    <x:row r="7">
      <x:c r="A7" s="14" t="str">
        <x:v>最新BVPS</x:v>
      </x:c>
      <x:c r="B7" s="41" t="n">
        <x:f>B6/B5</x:f>
        <x:v>5.959474515436855</x:v>
      </x:c>
      <x:c r="C7" s="14" t="str">
        <x:v>RMB/股</x:v>
      </x:c>
      <x:c r="D7" s="14" t="str">
        <x:v>净资产/股本</x:v>
      </x:c>
    </x:row>
    <x:row r="8">
      <x:c r="A8" s="14" t="str">
        <x:v>P/E权重</x:v>
      </x:c>
      <x:c r="B8" s="129" t="n">
        <x:v>0.6</x:v>
      </x:c>
      <x:c r="C8" s="14" t="str">
        <x:v>权重</x:v>
      </x:c>
      <x:c r="D8" s="14" t="str">
        <x:v>正常化盈利</x:v>
      </x:c>
    </x:row>
    <x:row r="9">
      <x:c r="A9" s="16" t="str">
        <x:v>P/B权重</x:v>
      </x:c>
      <x:c r="B9" s="130" t="n">
        <x:v>0.4</x:v>
      </x:c>
      <x:c r="C9" s="16" t="str">
        <x:v>权重</x:v>
      </x:c>
      <x:c r="D9" s="16" t="str">
        <x:v>净资产约束</x:v>
      </x:c>
    </x:row>
    <x:row r="12">
      <x:c r="A12" s="19" t="str">
        <x:v>情景</x:v>
      </x:c>
      <x:c r="B12" s="20" t="str">
        <x:v>正常化归母净利润</x:v>
      </x:c>
      <x:c r="C12" s="20" t="str">
        <x:v>P/E</x:v>
      </x:c>
      <x:c r="D12" s="20" t="str">
        <x:v>P/B</x:v>
      </x:c>
      <x:c r="E12" s="20" t="str">
        <x:v>情景定义</x:v>
      </x:c>
      <x:c r="F12" s="21" t="str">
        <x:v>关键触发</x:v>
      </x:c>
    </x:row>
    <x:row r="13">
      <x:c r="A13" s="11" t="str">
        <x:v>Bear</x:v>
      </x:c>
      <x:c r="B13" s="149" t="n">
        <x:v>80</x:v>
      </x:c>
      <x:c r="C13" s="150" t="n">
        <x:v>8</x:v>
      </x:c>
      <x:c r="D13" s="151" t="n">
        <x:v>0.55</x:v>
      </x:c>
      <x:c r="E13" s="99" t="str">
        <x:v>应收继续减值、火灾损失、线上毛利弱</x:v>
      </x:c>
      <x:c r="F13" s="99" t="str">
        <x:v>代偿延期/保留意见持续</x:v>
      </x:c>
    </x:row>
    <x:row r="14">
      <x:c r="A14" s="152" t="str">
        <x:v>Base</x:v>
      </x:c>
      <x:c r="B14" s="153" t="n">
        <x:v>220</x:v>
      </x:c>
      <x:c r="C14" s="154" t="n">
        <x:v>13</x:v>
      </x:c>
      <x:c r="D14" s="155" t="n">
        <x:v>1</x:v>
      </x:c>
      <x:c r="E14" s="156" t="str">
        <x:v>回款与审计修复，汇率中性，线上部分改善</x:v>
      </x:c>
      <x:c r="F14" s="156" t="str">
        <x:v>逾期款到账、费用率企稳</x:v>
      </x:c>
    </x:row>
    <x:row r="15">
      <x:c r="A15" s="16" t="str">
        <x:v>Bull</x:v>
      </x:c>
      <x:c r="B15" s="157" t="n">
        <x:v>350</x:v>
      </x:c>
      <x:c r="C15" s="158" t="n">
        <x:v>17</x:v>
      </x:c>
      <x:c r="D15" s="159" t="n">
        <x:v>1.5</x:v>
      </x:c>
      <x:c r="E15" s="101" t="str">
        <x:v>美国工厂、跨境电商与直营店效同时兑现</x:v>
      </x:c>
      <x:c r="F15" s="101" t="str">
        <x:v>线上GM&gt;40%、审计标准意见</x:v>
      </x:c>
    </x:row>
    <x:row r="18">
      <x:c r="A18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B18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C18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D18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E18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F18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</x:row>
    <x:row r="19">
      <x:c r="A19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B19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C19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D19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E19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F19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</x:row>
    <x:row r="20">
      <x:c r="A20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B20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C20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D20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E20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F20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</x:row>
    <x:row r="21">
      <x:c r="A21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B21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C21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D21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E21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  <x:c r="F21" s="161" t="str">
        <x:v>正常化利润是跨周期研究假设，不是2026年预测、公司指引或一致预期。Base 2.20亿元仍要求公司显著高于2025A和2026H1的报表利润，但低于全球产能和渠道成熟后可能达到的Bull水平；倍数同时包含家居周期、治理、海外运营与资产负债表折价。</x:v>
      </x:c>
    </x:row>
  </x:sheetData>
  <x:mergeCells>
    <x:mergeCell ref="A1:F1"/>
    <x:mergeCell ref="A18:F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7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混合估值、市场隐含与敏感性</x:v>
      </x:c>
      <x:c r="B1" s="3" t="str">
        <x:v>混合估值、市场隐含与敏感性</x:v>
      </x:c>
      <x:c r="C1" s="3" t="str">
        <x:v>混合估值、市场隐含与敏感性</x:v>
      </x:c>
      <x:c r="D1" s="3" t="str">
        <x:v>混合估值、市场隐含与敏感性</x:v>
      </x:c>
      <x:c r="E1" s="3" t="str">
        <x:v>混合估值、市场隐含与敏感性</x:v>
      </x:c>
      <x:c r="F1" s="3" t="str">
        <x:v>混合估值、市场隐含与敏感性</x:v>
      </x:c>
      <x:c r="G1" s="3" t="str">
        <x:v>混合估值、市场隐含与敏感性</x:v>
      </x:c>
      <x:c r="H1" s="3" t="str">
        <x:v>混合估值、市场隐含与敏感性</x:v>
      </x:c>
      <x:c r="I1" s="3" t="str">
        <x:v>混合估值、市场隐含与敏感性</x:v>
      </x:c>
    </x:row>
    <x:row r="3">
      <x:c r="A3" s="19" t="str">
        <x:v>核心输入</x:v>
      </x:c>
      <x:c r="B3" s="20" t="str">
        <x:v>数值</x:v>
      </x:c>
      <x:c r="C3" s="21" t="str">
        <x:v>说明</x:v>
      </x:c>
    </x:row>
    <x:row r="4">
      <x:c r="A4" s="11" t="str">
        <x:v>参考股价</x:v>
      </x:c>
      <x:c r="B4" s="37" t="n">
        <x:f>'Assumptions'!B4</x:f>
        <x:v>6.43</x:v>
      </x:c>
      <x:c r="C4" s="11" t="str">
        <x:v>2026-09-04</x:v>
      </x:c>
    </x:row>
    <x:row r="5">
      <x:c r="A5" s="14" t="str">
        <x:v>期末股本</x:v>
      </x:c>
      <x:c r="B5" s="38" t="n">
        <x:f>'Assumptions'!B5</x:f>
        <x:v>570.586885</x:v>
      </x:c>
      <x:c r="C5" s="14" t="str">
        <x:v>mn shares</x:v>
      </x:c>
    </x:row>
    <x:row r="6">
      <x:c r="A6" s="14" t="str">
        <x:v>参考市值</x:v>
      </x:c>
      <x:c r="B6" s="38" t="n">
        <x:f>B4*B5</x:f>
        <x:v>3668.87367055</x:v>
      </x:c>
      <x:c r="C6" s="14" t="str">
        <x:v>RMB mn</x:v>
      </x:c>
    </x:row>
    <x:row r="7">
      <x:c r="A7" s="14" t="str">
        <x:v>BVPS</x:v>
      </x:c>
      <x:c r="B7" s="41" t="n">
        <x:f>'Assumptions'!B7</x:f>
        <x:v>5.959474515436855</x:v>
      </x:c>
      <x:c r="C7" s="14" t="str">
        <x:v>RMB/股</x:v>
      </x:c>
    </x:row>
    <x:row r="8">
      <x:c r="A8" s="16" t="str">
        <x:v>2026H1简单年化P/E</x:v>
      </x:c>
      <x:c r="B8" s="164" t="n">
        <x:f>B6/('Historical'!F11*2)</x:f>
        <x:v>346.25081828520194</x:v>
      </x:c>
      <x:c r="C8" s="16" t="str">
        <x:v>仅示失真，不作主估值</x:v>
      </x:c>
    </x:row>
    <x:row r="10">
      <x:c r="A10" s="19" t="str">
        <x:v>情景</x:v>
      </x:c>
      <x:c r="B10" s="20" t="str">
        <x:v>正常化净利润</x:v>
      </x:c>
      <x:c r="C10" s="20" t="str">
        <x:v>P/E</x:v>
      </x:c>
      <x:c r="D10" s="20" t="str">
        <x:v>P/E价值/股</x:v>
      </x:c>
      <x:c r="E10" s="20" t="str">
        <x:v>P/B</x:v>
      </x:c>
      <x:c r="F10" s="20" t="str">
        <x:v>P/B价值/股</x:v>
      </x:c>
      <x:c r="G10" s="20" t="str">
        <x:v>混合权重</x:v>
      </x:c>
      <x:c r="H10" s="20" t="str">
        <x:v>混合价值/股</x:v>
      </x:c>
      <x:c r="I10" s="21" t="str">
        <x:v>相对参考价</x:v>
      </x:c>
    </x:row>
    <x:row r="11">
      <x:c r="A11" s="11" t="str">
        <x:f>'Assumptions'!A13</x:f>
        <x:v>Bear</x:v>
      </x:c>
      <x:c r="B11" s="149" t="n">
        <x:f>'Assumptions'!B13</x:f>
        <x:v>80</x:v>
      </x:c>
      <x:c r="C11" s="150" t="n">
        <x:f>'Assumptions'!C13</x:f>
        <x:v>8</x:v>
      </x:c>
      <x:c r="D11" s="37" t="n">
        <x:f>B11*C11/$B$5</x:f>
        <x:v>1.1216521389200873</x:v>
      </x:c>
      <x:c r="E11" s="151" t="n">
        <x:f>'Assumptions'!D13</x:f>
        <x:v>0.55</x:v>
      </x:c>
      <x:c r="F11" s="37" t="n">
        <x:f>$B$7*E11</x:f>
        <x:v>3.2777109834902705</x:v>
      </x:c>
      <x:c r="G11" s="11" t="str">
        <x:f>'Assumptions'!B8&amp;" / "&amp;'Assumptions'!B9</x:f>
        <x:v>0.6 / 0.4</x:v>
      </x:c>
      <x:c r="H11" s="176" t="n">
        <x:f>D11*'Assumptions'!$B$8+F11*'Assumptions'!$B$9</x:f>
        <x:v>1.9840756767481607</x:v>
      </x:c>
      <x:c r="I11" s="71" t="n">
        <x:f>H11/$B$4-1</x:f>
        <x:v>-0.691434575933412</x:v>
      </x:c>
    </x:row>
    <x:row r="12">
      <x:c r="A12" s="152" t="str">
        <x:f>'Assumptions'!A14</x:f>
        <x:v>Base</x:v>
      </x:c>
      <x:c r="B12" s="153" t="n">
        <x:f>'Assumptions'!B14</x:f>
        <x:v>220</x:v>
      </x:c>
      <x:c r="C12" s="154" t="n">
        <x:f>'Assumptions'!C14</x:f>
        <x:v>13</x:v>
      </x:c>
      <x:c r="D12" s="177" t="n">
        <x:f>B12*C12/$B$5</x:f>
        <x:v>5.012382995799141</x:v>
      </x:c>
      <x:c r="E12" s="155" t="n">
        <x:f>'Assumptions'!D14</x:f>
        <x:v>1</x:v>
      </x:c>
      <x:c r="F12" s="177" t="n">
        <x:f>$B$7*E12</x:f>
        <x:v>5.959474515436855</x:v>
      </x:c>
      <x:c r="G12" s="152" t="str">
        <x:f>'Assumptions'!B8&amp;" / "&amp;'Assumptions'!B9</x:f>
        <x:v>0.6 / 0.4</x:v>
      </x:c>
      <x:c r="H12" s="178" t="n">
        <x:f>D12*'Assumptions'!$B$8+F12*'Assumptions'!$B$9</x:f>
        <x:v>5.391219603654227</x:v>
      </x:c>
      <x:c r="I12" s="179" t="n">
        <x:f>H12/$B$4-1</x:f>
        <x:v>-0.1615521611735261</x:v>
      </x:c>
    </x:row>
    <x:row r="13">
      <x:c r="A13" s="16" t="str">
        <x:f>'Assumptions'!A15</x:f>
        <x:v>Bull</x:v>
      </x:c>
      <x:c r="B13" s="157" t="n">
        <x:f>'Assumptions'!B15</x:f>
        <x:v>350</x:v>
      </x:c>
      <x:c r="C13" s="158" t="n">
        <x:f>'Assumptions'!C15</x:f>
        <x:v>17</x:v>
      </x:c>
      <x:c r="D13" s="180" t="n">
        <x:f>B13*C13/$B$5</x:f>
        <x:v>10.427859729022687</x:v>
      </x:c>
      <x:c r="E13" s="159" t="n">
        <x:f>'Assumptions'!D15</x:f>
        <x:v>1.5</x:v>
      </x:c>
      <x:c r="F13" s="180" t="n">
        <x:f>$B$7*E13</x:f>
        <x:v>8.939211773155282</x:v>
      </x:c>
      <x:c r="G13" s="16" t="str">
        <x:f>'Assumptions'!B8&amp;" / "&amp;'Assumptions'!B9</x:f>
        <x:v>0.6 / 0.4</x:v>
      </x:c>
      <x:c r="H13" s="181" t="n">
        <x:f>D13*'Assumptions'!$B$8+F13*'Assumptions'!$B$9</x:f>
        <x:v>9.832400546675725</x:v>
      </x:c>
      <x:c r="I13" s="42" t="n">
        <x:f>H13/$B$4-1</x:f>
        <x:v>0.5291447195452139</x:v>
      </x:c>
    </x:row>
    <x:row r="16">
      <x:c r="A16" s="19" t="str">
        <x:v>当前价格隐含</x:v>
      </x:c>
      <x:c r="B16" s="20" t="str">
        <x:v>数值</x:v>
      </x:c>
      <x:c r="C16" s="20" t="str">
        <x:v>单位</x:v>
      </x:c>
      <x:c r="D16" s="20" t="str">
        <x:v>计算</x:v>
      </x:c>
      <x:c r="E16" s="20" t="str">
        <x:v>解读</x:v>
      </x:c>
      <x:c r="F16" s="21" t="str">
        <x:v>限制</x:v>
      </x:c>
    </x:row>
    <x:row r="17">
      <x:c r="A17" s="99" t="str">
        <x:v>当前P/B</x:v>
      </x:c>
      <x:c r="B17" s="188" t="n">
        <x:f>B4/B7</x:f>
        <x:v>1.078954190230085</x:v>
      </x:c>
      <x:c r="C17" s="99" t="str">
        <x:v>x</x:v>
      </x:c>
      <x:c r="D17" s="99" t="str">
        <x:v>价格/BVPS</x:v>
      </x:c>
      <x:c r="E17" s="99" t="str">
        <x:v>略高于账面</x:v>
      </x:c>
      <x:c r="F17" s="99" t="str">
        <x:v>净资产仍需质量折价</x:v>
      </x:c>
    </x:row>
    <x:row r="18">
      <x:c r="A18" s="100" t="str">
        <x:v>若仅按13x P/E所需利润</x:v>
      </x:c>
      <x:c r="B18" s="189" t="n">
        <x:f>B6/13</x:f>
        <x:v>282.22105158076926</x:v>
      </x:c>
      <x:c r="C18" s="100" t="str">
        <x:v>RMB mn</x:v>
      </x:c>
      <x:c r="D18" s="100" t="str">
        <x:v>市值/13</x:v>
      </x:c>
      <x:c r="E18" s="100" t="str">
        <x:v>高于Base正常化利润</x:v>
      </x:c>
      <x:c r="F18" s="100" t="str">
        <x:v>忽略P/B混合权重</x:v>
      </x:c>
    </x:row>
    <x:row r="19">
      <x:c r="A19" s="100" t="str">
        <x:v>2026H1年化利润</x:v>
      </x:c>
      <x:c r="B19" s="189" t="n">
        <x:f>'Historical'!F11*2</x:f>
        <x:v>10.596</x:v>
      </x:c>
      <x:c r="C19" s="100" t="str">
        <x:v>RMB mn</x:v>
      </x:c>
      <x:c r="D19" s="100" t="str">
        <x:v>H1×2</x:v>
      </x:c>
      <x:c r="E19" s="100" t="str">
        <x:v>不具代表性</x:v>
      </x:c>
      <x:c r="F19" s="100" t="str">
        <x:v>汇兑与费用扰动</x:v>
      </x:c>
    </x:row>
    <x:row r="20">
      <x:c r="A20" s="100" t="str">
        <x:v>关联方逾期/净资产</x:v>
      </x:c>
      <x:c r="B20" s="190" t="n">
        <x:f>'Balance &amp; Cash'!C9/'Balance &amp; Cash'!C14</x:f>
        <x:v>0.09185601214916606</x:v>
      </x:c>
      <x:c r="C20" s="100" t="str">
        <x:v>%</x:v>
      </x:c>
      <x:c r="D20" s="100" t="str">
        <x:v>逾期/归母权益</x:v>
      </x:c>
      <x:c r="E20" s="100" t="str">
        <x:v>风险并非边缘项目</x:v>
      </x:c>
      <x:c r="F20" s="100" t="str">
        <x:v>未扣坏账准备</x:v>
      </x:c>
    </x:row>
    <x:row r="21">
      <x:c r="A21" s="101" t="str">
        <x:v>调整净债务/净资产</x:v>
      </x:c>
      <x:c r="B21" s="191" t="n">
        <x:f>'Balance &amp; Cash'!B25/'Balance &amp; Cash'!C14</x:f>
        <x:v>0.7926275100738207</x:v>
      </x:c>
      <x:c r="C21" s="101" t="str">
        <x:v>x</x:v>
      </x:c>
      <x:c r="D21" s="101" t="str">
        <x:v>净债务/归母权益</x:v>
      </x:c>
      <x:c r="E21" s="101" t="str">
        <x:v>资产负债表约束</x:v>
      </x:c>
      <x:c r="F21" s="101" t="str">
        <x:v>使用全部货币资金抵减</x:v>
      </x:c>
    </x:row>
    <x:row r="24">
      <x:c r="A24" s="19" t="str">
        <x:v>Base混合价值敏感性（RMB/股）：行=正常化净利润，列=P/E；P/B固定1.00x</x:v>
      </x:c>
      <x:c r="B24" s="20" t="str">
        <x:v>Base混合价值敏感性（RMB/股）：行=正常化净利润，列=P/E；P/B固定1.00x</x:v>
      </x:c>
      <x:c r="C24" s="20" t="str">
        <x:v>Base混合价值敏感性（RMB/股）：行=正常化净利润，列=P/E；P/B固定1.00x</x:v>
      </x:c>
      <x:c r="D24" s="20" t="str">
        <x:v>Base混合价值敏感性（RMB/股）：行=正常化净利润，列=P/E；P/B固定1.00x</x:v>
      </x:c>
      <x:c r="E24" s="20" t="str">
        <x:v>Base混合价值敏感性（RMB/股）：行=正常化净利润，列=P/E；P/B固定1.00x</x:v>
      </x:c>
      <x:c r="F24" s="20" t="str">
        <x:v>Base混合价值敏感性（RMB/股）：行=正常化净利润，列=P/E；P/B固定1.00x</x:v>
      </x:c>
      <x:c r="G24" s="20" t="str">
        <x:v>Base混合价值敏感性（RMB/股）：行=正常化净利润，列=P/E；P/B固定1.00x</x:v>
      </x:c>
      <x:c r="H24" s="21" t="str">
        <x:v>Base混合价值敏感性（RMB/股）：行=正常化净利润，列=P/E；P/B固定1.00x</x:v>
      </x:c>
    </x:row>
    <x:row r="25">
      <x:c r="A25" s="48" t="str">
        <x:v>净利润 / P/E</x:v>
      </x:c>
      <x:c r="B25" s="192" t="n">
        <x:v>9</x:v>
      </x:c>
      <x:c r="C25" s="192" t="n">
        <x:v>11</x:v>
      </x:c>
      <x:c r="D25" s="192" t="n">
        <x:v>13</x:v>
      </x:c>
      <x:c r="E25" s="192" t="n">
        <x:v>15</x:v>
      </x:c>
      <x:c r="F25" s="193" t="n">
        <x:v>17</x:v>
      </x:c>
    </x:row>
    <x:row r="26">
      <x:c r="A26" s="149" t="n">
        <x:v>140</x:v>
      </x:c>
      <x:c r="B26" s="37" t="n">
        <x:f>($A26*B$25/$B$5)*'Assumptions'!$B$8+($B$7*'Assumptions'!$D$14)*'Assumptions'!$B$9</x:f>
        <x:v>3.708741395274095</x:v>
      </x:c>
      <x:c r="C26" s="37" t="n">
        <x:f>($A26*C$25/$B$5)*'Assumptions'!$B$8+($B$7*'Assumptions'!$D$14)*'Assumptions'!$B$9</x:f>
        <x:v>4.003175081740618</x:v>
      </x:c>
      <x:c r="D26" s="37" t="n">
        <x:f>($A26*D$25/$B$5)*'Assumptions'!$B$8+($B$7*'Assumptions'!$D$14)*'Assumptions'!$B$9</x:f>
        <x:v>4.297608768207141</x:v>
      </x:c>
      <x:c r="E26" s="37" t="n">
        <x:f>($A26*E$25/$B$5)*'Assumptions'!$B$8+($B$7*'Assumptions'!$D$14)*'Assumptions'!$B$9</x:f>
        <x:v>4.592042454673664</x:v>
      </x:c>
      <x:c r="F26" s="37" t="n">
        <x:f>($A26*F$25/$B$5)*'Assumptions'!$B$8+($B$7*'Assumptions'!$D$14)*'Assumptions'!$B$9</x:f>
        <x:v>4.886476141140188</x:v>
      </x:c>
    </x:row>
    <x:row r="27">
      <x:c r="A27" s="194" t="n">
        <x:v>180</x:v>
      </x:c>
      <x:c r="B27" s="41" t="n">
        <x:f>($A27*B$25/$B$5)*'Assumptions'!$B$8+($B$7*'Assumptions'!$D$14)*'Assumptions'!$B$9</x:f>
        <x:v>4.087298992159625</x:v>
      </x:c>
      <x:c r="C27" s="41" t="n">
        <x:f>($A27*C$25/$B$5)*'Assumptions'!$B$8+($B$7*'Assumptions'!$D$14)*'Assumptions'!$B$9</x:f>
        <x:v>4.4658565890451545</x:v>
      </x:c>
      <x:c r="D27" s="41" t="n">
        <x:f>($A27*D$25/$B$5)*'Assumptions'!$B$8+($B$7*'Assumptions'!$D$14)*'Assumptions'!$B$9</x:f>
        <x:v>4.844414185930684</x:v>
      </x:c>
      <x:c r="E27" s="41" t="n">
        <x:f>($A27*E$25/$B$5)*'Assumptions'!$B$8+($B$7*'Assumptions'!$D$14)*'Assumptions'!$B$9</x:f>
        <x:v>5.222971782816213</x:v>
      </x:c>
      <x:c r="F27" s="41" t="n">
        <x:f>($A27*F$25/$B$5)*'Assumptions'!$B$8+($B$7*'Assumptions'!$D$14)*'Assumptions'!$B$9</x:f>
        <x:v>5.601529379701743</x:v>
      </x:c>
    </x:row>
    <x:row r="28">
      <x:c r="A28" s="194" t="n">
        <x:v>220</x:v>
      </x:c>
      <x:c r="B28" s="41" t="n">
        <x:f>($A28*B$25/$B$5)*'Assumptions'!$B$8+($B$7*'Assumptions'!$D$14)*'Assumptions'!$B$9</x:f>
        <x:v>4.4658565890451545</x:v>
      </x:c>
      <x:c r="C28" s="41" t="n">
        <x:f>($A28*C$25/$B$5)*'Assumptions'!$B$8+($B$7*'Assumptions'!$D$14)*'Assumptions'!$B$9</x:f>
        <x:v>4.9285380963496905</x:v>
      </x:c>
      <x:c r="D28" s="41" t="n">
        <x:f>($A28*D$25/$B$5)*'Assumptions'!$B$8+($B$7*'Assumptions'!$D$14)*'Assumptions'!$B$9</x:f>
        <x:v>5.391219603654227</x:v>
      </x:c>
      <x:c r="E28" s="41" t="n">
        <x:f>($A28*E$25/$B$5)*'Assumptions'!$B$8+($B$7*'Assumptions'!$D$14)*'Assumptions'!$B$9</x:f>
        <x:v>5.853901110958763</x:v>
      </x:c>
      <x:c r="F28" s="41" t="n">
        <x:f>($A28*F$25/$B$5)*'Assumptions'!$B$8+($B$7*'Assumptions'!$D$14)*'Assumptions'!$B$9</x:f>
        <x:v>6.316582618263299</x:v>
      </x:c>
    </x:row>
    <x:row r="29">
      <x:c r="A29" s="194" t="n">
        <x:v>260</x:v>
      </x:c>
      <x:c r="B29" s="41" t="n">
        <x:f>($A29*B$25/$B$5)*'Assumptions'!$B$8+($B$7*'Assumptions'!$D$14)*'Assumptions'!$B$9</x:f>
        <x:v>4.844414185930684</x:v>
      </x:c>
      <x:c r="C29" s="41" t="n">
        <x:f>($A29*C$25/$B$5)*'Assumptions'!$B$8+($B$7*'Assumptions'!$D$14)*'Assumptions'!$B$9</x:f>
        <x:v>5.391219603654227</x:v>
      </x:c>
      <x:c r="D29" s="41" t="n">
        <x:f>($A29*D$25/$B$5)*'Assumptions'!$B$8+($B$7*'Assumptions'!$D$14)*'Assumptions'!$B$9</x:f>
        <x:v>5.938025021377769</x:v>
      </x:c>
      <x:c r="E29" s="41" t="n">
        <x:f>($A29*E$25/$B$5)*'Assumptions'!$B$8+($B$7*'Assumptions'!$D$14)*'Assumptions'!$B$9</x:f>
        <x:v>6.484830439101311</x:v>
      </x:c>
      <x:c r="F29" s="41" t="n">
        <x:f>($A29*F$25/$B$5)*'Assumptions'!$B$8+($B$7*'Assumptions'!$D$14)*'Assumptions'!$B$9</x:f>
        <x:v>7.031635856824854</x:v>
      </x:c>
    </x:row>
    <x:row r="30">
      <x:c r="A30" s="157" t="n">
        <x:v>300</x:v>
      </x:c>
      <x:c r="B30" s="180" t="n">
        <x:f>($A30*B$25/$B$5)*'Assumptions'!$B$8+($B$7*'Assumptions'!$D$14)*'Assumptions'!$B$9</x:f>
        <x:v>5.222971782816213</x:v>
      </x:c>
      <x:c r="C30" s="180" t="n">
        <x:f>($A30*C$25/$B$5)*'Assumptions'!$B$8+($B$7*'Assumptions'!$D$14)*'Assumptions'!$B$9</x:f>
        <x:v>5.853901110958763</x:v>
      </x:c>
      <x:c r="D30" s="180" t="n">
        <x:f>($A30*D$25/$B$5)*'Assumptions'!$B$8+($B$7*'Assumptions'!$D$14)*'Assumptions'!$B$9</x:f>
        <x:v>6.484830439101311</x:v>
      </x:c>
      <x:c r="E30" s="180" t="n">
        <x:f>($A30*E$25/$B$5)*'Assumptions'!$B$8+($B$7*'Assumptions'!$D$14)*'Assumptions'!$B$9</x:f>
        <x:v>7.115759767243861</x:v>
      </x:c>
      <x:c r="F30" s="180" t="n">
        <x:f>($A30*F$25/$B$5)*'Assumptions'!$B$8+($B$7*'Assumptions'!$D$14)*'Assumptions'!$B$9</x:f>
        <x:v>7.74668909538641</x:v>
      </x:c>
    </x:row>
  </x:sheetData>
  <x:mergeCells>
    <x:mergeCell ref="A1:I1"/>
    <x:mergeCell ref="A24:H24"/>
  </x:mergeCells>
  <x:conditionalFormatting sqref="B26:F3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IF(COUNTIF(F5:F17,"FAIL")=0,"OK","FAIL")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2026H1收入同比</x:v>
      </x:c>
      <x:c r="B5" s="197" t="n">
        <x:f>'Historical'!G4</x:f>
        <x:v>0.07869997488259228</x:v>
      </x:c>
      <x:c r="C5" s="197" t="n">
        <x:f>'Historical'!F4/'Historical'!E4-1</x:f>
        <x:v>0.07869997488259228</x:v>
      </x:c>
      <x:c r="D5" s="197" t="n">
        <x:f>B5-C5</x:f>
        <x:v>0</x:v>
      </x:c>
      <x:c r="E5" s="197" t="n">
        <x:f>0.0001</x:f>
        <x:v>0.0001</x:v>
      </x:c>
      <x:c r="F5" s="11" t="str">
        <x:f>IF(ABS(D5)&lt;=E5,"OK","FAIL")</x:f>
        <x:v>OK</x:v>
      </x:c>
      <x:c r="G5" s="11" t="str">
        <x:v>H1同比</x:v>
      </x:c>
    </x:row>
    <x:row r="6">
      <x:c r="A6" s="14" t="str">
        <x:v>2026H1整体毛利率</x:v>
      </x:c>
      <x:c r="B6" s="198" t="n">
        <x:f>'Historical'!F8</x:f>
        <x:v>0.3940052154711323</x:v>
      </x:c>
      <x:c r="C6" s="198" t="n">
        <x:f>('Historical'!F4-'Historical'!F6)/'Historical'!F4</x:f>
        <x:v>0.3940052154711323</x:v>
      </x:c>
      <x:c r="D6" s="198" t="n">
        <x:f>B6-C6</x:f>
        <x:v>0</x:v>
      </x:c>
      <x:c r="E6" s="198" t="n">
        <x:f>0.0001</x:f>
        <x:v>0.0001</x:v>
      </x:c>
      <x:c r="F6" s="14" t="str">
        <x:f>IF(ABS(D6)&lt;=E6,"OK","FAIL")</x:f>
        <x:v>OK</x:v>
      </x:c>
      <x:c r="G6" s="14" t="str">
        <x:v>毛利/收入</x:v>
      </x:c>
    </x:row>
    <x:row r="7">
      <x:c r="A7" s="14" t="str">
        <x:v>2026H1简化FCF</x:v>
      </x:c>
      <x:c r="B7" s="198" t="n">
        <x:f>'Historical'!F18</x:f>
        <x:v>362.22999999999996</x:v>
      </x:c>
      <x:c r="C7" s="198" t="n">
        <x:f>'Historical'!F16-'Historical'!F17</x:f>
        <x:v>362.22999999999996</x:v>
      </x:c>
      <x:c r="D7" s="198" t="n">
        <x:f>B7-C7</x:f>
        <x:v>0</x:v>
      </x:c>
      <x:c r="E7" s="198" t="n">
        <x:f>0.0001</x:f>
        <x:v>0.0001</x:v>
      </x:c>
      <x:c r="F7" s="14" t="str">
        <x:f>IF(ABS(D7)&lt;=E7,"OK","FAIL")</x:f>
        <x:v>OK</x:v>
      </x:c>
      <x:c r="G7" s="14" t="str">
        <x:v>CFO-资本开支</x:v>
      </x:c>
    </x:row>
    <x:row r="8">
      <x:c r="A8" s="14" t="str">
        <x:v>渠道收入合计</x:v>
      </x:c>
      <x:c r="B8" s="198" t="n">
        <x:f>'Operations'!B10</x:f>
        <x:v>4541.41</x:v>
      </x:c>
      <x:c r="C8" s="198" t="n">
        <x:f>SUM('Operations'!B17,'Operations'!B18,'Operations'!B21,'Operations'!B23)</x:f>
        <x:v>4541.41</x:v>
      </x:c>
      <x:c r="D8" s="198" t="n">
        <x:f>B8-C8</x:f>
        <x:v>0</x:v>
      </x:c>
      <x:c r="E8" s="198" t="n">
        <x:f>0.1</x:f>
        <x:v>0.1</x:v>
      </x:c>
      <x:c r="F8" s="14" t="str">
        <x:f>IF(ABS(D8)&lt;=E8,"OK","FAIL")</x:f>
        <x:v>OK</x:v>
      </x:c>
      <x:c r="G8" s="14" t="str">
        <x:v>直营+经销+大宗+线上</x:v>
      </x:c>
    </x:row>
    <x:row r="9">
      <x:c r="A9" s="14" t="str">
        <x:v>地区收入合计</x:v>
      </x:c>
      <x:c r="B9" s="198" t="n">
        <x:f>'Operations'!B10</x:f>
        <x:v>4541.41</x:v>
      </x:c>
      <x:c r="C9" s="198" t="n">
        <x:f>SUM('Operations'!B27:B30)</x:f>
        <x:v>4541.411</x:v>
      </x:c>
      <x:c r="D9" s="198" t="n">
        <x:f>B9-C9</x:f>
        <x:v>-0.0010000000002037268</x:v>
      </x:c>
      <x:c r="E9" s="198" t="n">
        <x:f>0.1</x:f>
        <x:v>0.1</x:v>
      </x:c>
      <x:c r="F9" s="14" t="str">
        <x:f>IF(ABS(D9)&lt;=E9,"OK","FAIL")</x:f>
        <x:v>OK</x:v>
      </x:c>
      <x:c r="G9" s="14" t="str">
        <x:v>国内+北美+欧洲+其他</x:v>
      </x:c>
    </x:row>
    <x:row r="10">
      <x:c r="A10" s="14" t="str">
        <x:v>广义债务桥</x:v>
      </x:c>
      <x:c r="B10" s="198" t="n">
        <x:f>'Balance &amp; Cash'!B24</x:f>
        <x:v>3668.2709999999997</x:v>
      </x:c>
      <x:c r="C10" s="198" t="n">
        <x:f>SUM('Balance &amp; Cash'!B19:B23)</x:f>
        <x:v>3668.2709999999997</x:v>
      </x:c>
      <x:c r="D10" s="198" t="n">
        <x:f>B10-C10</x:f>
        <x:v>0</x:v>
      </x:c>
      <x:c r="E10" s="198" t="n">
        <x:f>0.0001</x:f>
        <x:v>0.0001</x:v>
      </x:c>
      <x:c r="F10" s="14" t="str">
        <x:f>IF(ABS(D10)&lt;=E10,"OK","FAIL")</x:f>
        <x:v>OK</x:v>
      </x:c>
      <x:c r="G10" s="14" t="str">
        <x:v>借款+租赁+长期应付</x:v>
      </x:c>
    </x:row>
    <x:row r="11">
      <x:c r="A11" s="14" t="str">
        <x:v>调整净债务桥</x:v>
      </x:c>
      <x:c r="B11" s="198" t="n">
        <x:f>'Balance &amp; Cash'!B25</x:f>
        <x:v>2695.249</x:v>
      </x:c>
      <x:c r="C11" s="198" t="n">
        <x:f>'Balance &amp; Cash'!B24-'Balance &amp; Cash'!C4</x:f>
        <x:v>2695.249</x:v>
      </x:c>
      <x:c r="D11" s="198" t="n">
        <x:f>B11-C11</x:f>
        <x:v>0</x:v>
      </x:c>
      <x:c r="E11" s="198" t="n">
        <x:f>0.0001</x:f>
        <x:v>0.0001</x:v>
      </x:c>
      <x:c r="F11" s="14" t="str">
        <x:f>IF(ABS(D11)&lt;=E11,"OK","FAIL")</x:f>
        <x:v>OK</x:v>
      </x:c>
      <x:c r="G11" s="14" t="str">
        <x:v>广义债务-货币资金</x:v>
      </x:c>
    </x:row>
    <x:row r="12">
      <x:c r="A12" s="14" t="str">
        <x:v>流动比率</x:v>
      </x:c>
      <x:c r="B12" s="198" t="n">
        <x:f>'Balance &amp; Cash'!B28</x:f>
        <x:v>1.0348265790697995</x:v>
      </x:c>
      <x:c r="C12" s="198" t="n">
        <x:f>'Balance &amp; Cash'!B26/'Balance &amp; Cash'!B27</x:f>
        <x:v>1.0348265790697995</x:v>
      </x:c>
      <x:c r="D12" s="198" t="n">
        <x:f>B12-C12</x:f>
        <x:v>0</x:v>
      </x:c>
      <x:c r="E12" s="198" t="n">
        <x:f>0.0001</x:f>
        <x:v>0.0001</x:v>
      </x:c>
      <x:c r="F12" s="14" t="str">
        <x:f>IF(ABS(D12)&lt;=E12,"OK","FAIL")</x:f>
        <x:v>OK</x:v>
      </x:c>
      <x:c r="G12" s="14" t="str">
        <x:v>流动资产/流动负债</x:v>
      </x:c>
    </x:row>
    <x:row r="13">
      <x:c r="A13" s="14" t="str">
        <x:v>BVPS桥</x:v>
      </x:c>
      <x:c r="B13" s="198" t="n">
        <x:f>'Assumptions'!B7</x:f>
        <x:v>5.959474515436855</x:v>
      </x:c>
      <x:c r="C13" s="198" t="n">
        <x:f>'Assumptions'!B6/'Assumptions'!B5</x:f>
        <x:v>5.959474515436855</x:v>
      </x:c>
      <x:c r="D13" s="198" t="n">
        <x:f>B13-C13</x:f>
        <x:v>0</x:v>
      </x:c>
      <x:c r="E13" s="198" t="n">
        <x:f>0.0001</x:f>
        <x:v>0.0001</x:v>
      </x:c>
      <x:c r="F13" s="14" t="str">
        <x:f>IF(ABS(D13)&lt;=E13,"OK","FAIL")</x:f>
        <x:v>OK</x:v>
      </x:c>
      <x:c r="G13" s="14" t="str">
        <x:v>归母权益/股本</x:v>
      </x:c>
    </x:row>
    <x:row r="14">
      <x:c r="A14" s="14" t="str">
        <x:v>市值桥</x:v>
      </x:c>
      <x:c r="B14" s="198" t="n">
        <x:f>'Valuation'!B6</x:f>
        <x:v>3668.87367055</x:v>
      </x:c>
      <x:c r="C14" s="198" t="n">
        <x:f>'Valuation'!B4*'Valuation'!B5</x:f>
        <x:v>3668.87367055</x:v>
      </x:c>
      <x:c r="D14" s="198" t="n">
        <x:f>B14-C14</x:f>
        <x:v>0</x:v>
      </x:c>
      <x:c r="E14" s="198" t="n">
        <x:f>0.0001</x:f>
        <x:v>0.0001</x:v>
      </x:c>
      <x:c r="F14" s="14" t="str">
        <x:f>IF(ABS(D14)&lt;=E14,"OK","FAIL")</x:f>
        <x:v>OK</x:v>
      </x:c>
      <x:c r="G14" s="14" t="str">
        <x:v>股价×股本</x:v>
      </x:c>
    </x:row>
    <x:row r="15">
      <x:c r="A15" s="14" t="str">
        <x:v>Base混合估值</x:v>
      </x:c>
      <x:c r="B15" s="198" t="n">
        <x:f>'Valuation'!H12</x:f>
        <x:v>5.391219603654227</x:v>
      </x:c>
      <x:c r="C15" s="198" t="n">
        <x:f>'Valuation'!D12*'Assumptions'!B8+'Valuation'!F12*'Assumptions'!B9</x:f>
        <x:v>5.391219603654227</x:v>
      </x:c>
      <x:c r="D15" s="198" t="n">
        <x:f>B15-C15</x:f>
        <x:v>0</x:v>
      </x:c>
      <x:c r="E15" s="198" t="n">
        <x:f>0.0001</x:f>
        <x:v>0.0001</x:v>
      </x:c>
      <x:c r="F15" s="14" t="str">
        <x:f>IF(ABS(D15)&lt;=E15,"OK","FAIL")</x:f>
        <x:v>OK</x:v>
      </x:c>
      <x:c r="G15" s="14" t="str">
        <x:v>60% P/E+40% P/B</x:v>
      </x:c>
    </x:row>
    <x:row r="16">
      <x:c r="A16" s="14" t="str">
        <x:v>Base相对价格</x:v>
      </x:c>
      <x:c r="B16" s="198" t="n">
        <x:f>'Valuation'!I12</x:f>
        <x:v>-0.1615521611735261</x:v>
      </x:c>
      <x:c r="C16" s="198" t="n">
        <x:f>'Valuation'!H12/'Valuation'!B4-1</x:f>
        <x:v>-0.1615521611735261</x:v>
      </x:c>
      <x:c r="D16" s="198" t="n">
        <x:f>B16-C16</x:f>
        <x:v>0</x:v>
      </x:c>
      <x:c r="E16" s="198" t="n">
        <x:f>0.0001</x:f>
        <x:v>0.0001</x:v>
      </x:c>
      <x:c r="F16" s="14" t="str">
        <x:f>IF(ABS(D16)&lt;=E16,"OK","FAIL")</x:f>
        <x:v>OK</x:v>
      </x:c>
      <x:c r="G16" s="14" t="str">
        <x:v>目标价/股价-1</x:v>
      </x:c>
    </x:row>
    <x:row r="17">
      <x:c r="A17" s="16" t="str">
        <x:v>情景价值递增</x:v>
      </x:c>
      <x:c r="B17" s="199" t="n">
        <x:f>'Valuation'!H13-'Valuation'!H11</x:f>
        <x:v>7.8483248699275645</x:v>
      </x:c>
      <x:c r="C17" s="199" t="n">
        <x:f>0</x:f>
        <x:v>0</x:v>
      </x:c>
      <x:c r="D17" s="199" t="n">
        <x:f>B17-C17</x:f>
        <x:v>7.8483248699275645</x:v>
      </x:c>
      <x:c r="E17" s="199" t="n">
        <x:f>0</x:f>
        <x:v>0</x:v>
      </x:c>
      <x:c r="F17" s="16" t="str">
        <x:f>IF(B17&gt;C17,"OK","FAIL")</x:f>
        <x:v>OK</x:v>
      </x:c>
      <x:c r="G17" s="16" t="str">
        <x:v>Bull必须高于Bear</x:v>
      </x:c>
    </x:row>
  </x:sheetData>
  <x:mergeCells>
    <x:mergeCell ref="A1:G1"/>
    <x:mergeCell ref="A2:E2"/>
  </x:mergeCells>
  <x:conditionalFormatting sqref="F2:F17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17" hidden="0" customWidth="1"/>
    <x:col min="4" max="4" width="16" hidden="0" customWidth="1"/>
    <x:col min="5" max="5" width="18" hidden="0" customWidth="1"/>
    <x:col min="6" max="6" width="30" hidden="0" customWidth="1"/>
    <x:col min="7" max="7" width="76" hidden="0" customWidth="1"/>
    <x:col min="8" max="8" width="36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99" t="str">
        <x:v>2026H1财务与关联方应收</x:v>
      </x:c>
      <x:c r="C4" s="205"/>
      <x:c r="D4" s="99"/>
      <x:c r="E4" s="99" t="str">
        <x:v>2026H1</x:v>
      </x:c>
      <x:c r="F4" s="99" t="str">
        <x:v>梦百合2026年半年度报告</x:v>
      </x:c>
      <x:c r="G4" s="99" t="str">
        <x:v>https://money.finance.sina.com.cn/corp/view/vCB_AllBulletinDetail.php?id=12566715&amp;stockid=603313</x:v>
      </x:c>
      <x:c r="H4" s="99" t="str">
        <x:v>一级披露镜像；未经审计</x:v>
      </x:c>
    </x:row>
    <x:row r="5" ht="45" customHeight="1">
      <x:c r="A5" s="14" t="str">
        <x:v>S2</x:v>
      </x:c>
      <x:c r="B5" s="100" t="str">
        <x:v>2026H1产品/渠道/地区</x:v>
      </x:c>
      <x:c r="C5" s="206"/>
      <x:c r="D5" s="100"/>
      <x:c r="E5" s="100" t="str">
        <x:v>2026H1</x:v>
      </x:c>
      <x:c r="F5" s="100" t="str">
        <x:v>半年度主要经营数据</x:v>
      </x:c>
      <x:c r="G5" s="100" t="str">
        <x:v>https://money.finance.sina.com.cn/corp/view/vCB_AllBulletinDetail.php?id=12566706&amp;stockid=603313</x:v>
      </x:c>
      <x:c r="H5" s="100" t="str">
        <x:v>一级披露镜像</x:v>
      </x:c>
    </x:row>
    <x:row r="6" ht="45" customHeight="1">
      <x:c r="A6" s="14" t="str">
        <x:v>S3</x:v>
      </x:c>
      <x:c r="B6" s="100" t="str">
        <x:v>2023—2025财务与经营</x:v>
      </x:c>
      <x:c r="C6" s="206"/>
      <x:c r="D6" s="100"/>
      <x:c r="E6" s="100" t="str">
        <x:v>FY2025</x:v>
      </x:c>
      <x:c r="F6" s="100" t="str">
        <x:v>梦百合2025年年度报告</x:v>
      </x:c>
      <x:c r="G6" s="100" t="str">
        <x:v>https://pdf.dfcfw.com/pdf/H2_AN202604281821701258_1.pdf</x:v>
      </x:c>
      <x:c r="H6" s="100" t="str">
        <x:v>天健保留意见</x:v>
      </x:c>
    </x:row>
    <x:row r="7" ht="45" customHeight="1">
      <x:c r="A7" s="14" t="str">
        <x:v>S4</x:v>
      </x:c>
      <x:c r="B7" s="100" t="str">
        <x:v>审计保留意见</x:v>
      </x:c>
      <x:c r="C7" s="206"/>
      <x:c r="D7" s="100"/>
      <x:c r="E7" s="100" t="str">
        <x:v>FY2025</x:v>
      </x:c>
      <x:c r="F7" s="100" t="str">
        <x:v>审计保留意见专项说明</x:v>
      </x:c>
      <x:c r="G7" s="100" t="str">
        <x:v>https://dataclouds.cninfo.com.cn/shgonggao/hsomarket/2026/20260428/a58d8c204d984229b0d550871b0faa4b.PDF</x:v>
      </x:c>
      <x:c r="H7" s="100" t="str">
        <x:v>审计机构文件</x:v>
      </x:c>
    </x:row>
    <x:row r="8" ht="45" customHeight="1">
      <x:c r="A8" s="14" t="str">
        <x:v>S5</x:v>
      </x:c>
      <x:c r="B8" s="100" t="str">
        <x:v>关联方应收、业绩预告更正</x:v>
      </x:c>
      <x:c r="C8" s="206"/>
      <x:c r="D8" s="100"/>
      <x:c r="E8" s="100" t="str">
        <x:v>FY2025/期后</x:v>
      </x:c>
      <x:c r="F8" s="100" t="str">
        <x:v>年报监管问询回复</x:v>
      </x:c>
      <x:c r="G8" s="100" t="str">
        <x:v>https://money.finance.sina.com.cn/corp/view/vCB_AllBulletinDetail.php?id=12450833&amp;stockid=603313</x:v>
      </x:c>
      <x:c r="H8" s="100" t="str">
        <x:v>一级披露镜像</x:v>
      </x:c>
    </x:row>
    <x:row r="9" ht="45" customHeight="1">
      <x:c r="A9" s="14" t="str">
        <x:v>S6</x:v>
      </x:c>
      <x:c r="B9" s="100" t="str">
        <x:v>年报口径更正</x:v>
      </x:c>
      <x:c r="C9" s="206"/>
      <x:c r="D9" s="100"/>
      <x:c r="E9" s="100" t="str">
        <x:v>FY2025</x:v>
      </x:c>
      <x:c r="F9" s="100" t="str">
        <x:v>年报更正公告</x:v>
      </x:c>
      <x:c r="G9" s="100" t="str">
        <x:v>https://money.finance.sina.com.cn/corp/view/vCB_AllBulletinDetail.php?id=12450838&amp;stockid=603313</x:v>
      </x:c>
      <x:c r="H9" s="100" t="str">
        <x:v>一级披露镜像</x:v>
      </x:c>
    </x:row>
    <x:row r="10" ht="45" customHeight="1">
      <x:c r="A10" s="14" t="str">
        <x:v>S7</x:v>
      </x:c>
      <x:c r="B10" s="100" t="str">
        <x:v>南卡罗来纳工厂火灾</x:v>
      </x:c>
      <x:c r="C10" s="206"/>
      <x:c r="D10" s="100"/>
      <x:c r="E10" s="100" t="str">
        <x:v>2026-08-16</x:v>
      </x:c>
      <x:c r="F10" s="100" t="str">
        <x:v>火灾事故公告</x:v>
      </x:c>
      <x:c r="G10" s="100" t="str">
        <x:v>https://epaper.cs.com.cn/zgzqb/html/2026-08/18/nw.D110000zgzqb_20260818_9-A32.htm</x:v>
      </x:c>
      <x:c r="H10" s="100" t="str">
        <x:v>交易所公告报纸镜像</x:v>
      </x:c>
    </x:row>
    <x:row r="11" ht="45" customHeight="1">
      <x:c r="A11" s="14" t="str">
        <x:v>S8</x:v>
      </x:c>
      <x:c r="B11" s="100" t="str">
        <x:v>2024年历史财务</x:v>
      </x:c>
      <x:c r="C11" s="206"/>
      <x:c r="D11" s="100"/>
      <x:c r="E11" s="100" t="str">
        <x:v>FY2024</x:v>
      </x:c>
      <x:c r="F11" s="100" t="str">
        <x:v>梦百合2024年年度报告</x:v>
      </x:c>
      <x:c r="G11" s="100" t="str">
        <x:v>https://static.cninfo.com.cn/finalpage/2025-04-26/1223313208.PDF</x:v>
      </x:c>
      <x:c r="H11" s="100" t="str">
        <x:v>一级；巨潮资讯</x:v>
      </x:c>
    </x:row>
    <x:row r="12" ht="45" customHeight="1">
      <x:c r="A12" s="14" t="str">
        <x:v>M1</x:v>
      </x:c>
      <x:c r="B12" s="100" t="str">
        <x:v>参考股价</x:v>
      </x:c>
      <x:c r="C12" s="206" t="n">
        <x:v>6.43</x:v>
      </x:c>
      <x:c r="D12" s="100" t="str">
        <x:v>RMB/股</x:v>
      </x:c>
      <x:c r="E12" s="100" t="str">
        <x:v>2026-09-04</x:v>
      </x:c>
      <x:c r="F12" s="100" t="str">
        <x:v>Investing历史行情</x:v>
      </x:c>
      <x:c r="G12" s="100" t="str">
        <x:v>https://cn.investing.com/equities/healthcare-co-ltd-historical-data</x:v>
      </x:c>
      <x:c r="H12" s="100" t="str">
        <x:v>二级市场数据</x:v>
      </x:c>
    </x:row>
    <x:row r="13" ht="45" customHeight="1">
      <x:c r="A13" s="14" t="str">
        <x:v>A1</x:v>
      </x:c>
      <x:c r="B13" s="100" t="str">
        <x:v>Bear正常化归母利润</x:v>
      </x:c>
      <x:c r="C13" s="206" t="n">
        <x:v>80</x:v>
      </x:c>
      <x:c r="D13" s="100" t="str">
        <x:v>RMB mn</x:v>
      </x:c>
      <x:c r="E13" s="100" t="str">
        <x:v>估值</x:v>
      </x:c>
      <x:c r="F13" s="100" t="str">
        <x:v>分析假设</x:v>
      </x:c>
      <x:c r="G13" s="100" t="str"/>
      <x:c r="H13" s="100" t="str">
        <x:v>应收/火灾/渠道压力</x:v>
      </x:c>
    </x:row>
    <x:row r="14" ht="45" customHeight="1">
      <x:c r="A14" s="14" t="str">
        <x:v>A2</x:v>
      </x:c>
      <x:c r="B14" s="100" t="str">
        <x:v>Base正常化归母利润</x:v>
      </x:c>
      <x:c r="C14" s="206" t="n">
        <x:v>220</x:v>
      </x:c>
      <x:c r="D14" s="100" t="str">
        <x:v>RMB mn</x:v>
      </x:c>
      <x:c r="E14" s="100" t="str">
        <x:v>估值</x:v>
      </x:c>
      <x:c r="F14" s="100" t="str">
        <x:v>分析假设</x:v>
      </x:c>
      <x:c r="G14" s="100" t="str"/>
      <x:c r="H14" s="100" t="str">
        <x:v>治理和利润率部分修复</x:v>
      </x:c>
    </x:row>
    <x:row r="15" ht="45" customHeight="1">
      <x:c r="A15" s="14" t="str">
        <x:v>A3</x:v>
      </x:c>
      <x:c r="B15" s="100" t="str">
        <x:v>Bull正常化归母利润</x:v>
      </x:c>
      <x:c r="C15" s="206" t="n">
        <x:v>350</x:v>
      </x:c>
      <x:c r="D15" s="100" t="str">
        <x:v>RMB mn</x:v>
      </x:c>
      <x:c r="E15" s="100" t="str">
        <x:v>估值</x:v>
      </x:c>
      <x:c r="F15" s="100" t="str">
        <x:v>分析假设</x:v>
      </x:c>
      <x:c r="G15" s="100" t="str"/>
      <x:c r="H15" s="100" t="str">
        <x:v>全球产能与品牌兑现</x:v>
      </x:c>
    </x:row>
    <x:row r="16" ht="45" customHeight="1">
      <x:c r="A16" s="14" t="str">
        <x:v>A4</x:v>
      </x:c>
      <x:c r="B16" s="100" t="str">
        <x:v>Bear P/E / P/B</x:v>
      </x:c>
      <x:c r="C16" s="206" t="str">
        <x:v>8 / 0.55</x:v>
      </x:c>
      <x:c r="D16" s="100" t="str">
        <x:v>x</x:v>
      </x:c>
      <x:c r="E16" s="100" t="str">
        <x:v>估值</x:v>
      </x:c>
      <x:c r="F16" s="100" t="str">
        <x:v>分析假设</x:v>
      </x:c>
      <x:c r="G16" s="100" t="str"/>
      <x:c r="H16" s="100" t="str">
        <x:v>经营与治理双折价</x:v>
      </x:c>
    </x:row>
    <x:row r="17" ht="45" customHeight="1">
      <x:c r="A17" s="14" t="str">
        <x:v>A5</x:v>
      </x:c>
      <x:c r="B17" s="100" t="str">
        <x:v>Base P/E / P/B</x:v>
      </x:c>
      <x:c r="C17" s="206" t="str">
        <x:v>13 / 1.00</x:v>
      </x:c>
      <x:c r="D17" s="100" t="str">
        <x:v>x</x:v>
      </x:c>
      <x:c r="E17" s="100" t="str">
        <x:v>估值</x:v>
      </x:c>
      <x:c r="F17" s="100" t="str">
        <x:v>分析假设</x:v>
      </x:c>
      <x:c r="G17" s="100" t="str"/>
      <x:c r="H17" s="100" t="str">
        <x:v>中周期与可验证修复</x:v>
      </x:c>
    </x:row>
    <x:row r="18" ht="45" customHeight="1">
      <x:c r="A18" s="14" t="str">
        <x:v>A6</x:v>
      </x:c>
      <x:c r="B18" s="100" t="str">
        <x:v>Bull P/E / P/B</x:v>
      </x:c>
      <x:c r="C18" s="206" t="str">
        <x:v>17 / 1.50</x:v>
      </x:c>
      <x:c r="D18" s="100" t="str">
        <x:v>x</x:v>
      </x:c>
      <x:c r="E18" s="100" t="str">
        <x:v>估值</x:v>
      </x:c>
      <x:c r="F18" s="100" t="str">
        <x:v>分析假设</x:v>
      </x:c>
      <x:c r="G18" s="100" t="str"/>
      <x:c r="H18" s="100" t="str">
        <x:v>高回报兑现</x:v>
      </x:c>
    </x:row>
    <x:row r="19" ht="45" customHeight="1">
      <x:c r="A19" s="14" t="str">
        <x:v>A7</x:v>
      </x:c>
      <x:c r="B19" s="100" t="str">
        <x:v>P/E / P/B权重</x:v>
      </x:c>
      <x:c r="C19" s="206" t="str">
        <x:v>60% / 40%</x:v>
      </x:c>
      <x:c r="D19" s="100" t="str">
        <x:v>权重</x:v>
      </x:c>
      <x:c r="E19" s="100" t="str">
        <x:v>估值</x:v>
      </x:c>
      <x:c r="F19" s="100" t="str">
        <x:v>分析假设</x:v>
      </x:c>
      <x:c r="G19" s="100" t="str"/>
      <x:c r="H19" s="100" t="str">
        <x:v>平衡盈利与净资产</x:v>
      </x:c>
    </x:row>
    <x:row r="20" ht="45" customHeight="1">
      <x:c r="A20" s="16" t="str">
        <x:v>R1</x:v>
      </x:c>
      <x:c r="B20" s="101" t="str">
        <x:v>简化FCF</x:v>
      </x:c>
      <x:c r="C20" s="207"/>
      <x:c r="D20" s="101"/>
      <x:c r="E20" s="101" t="str">
        <x:v>研究口径</x:v>
      </x:c>
      <x:c r="F20" s="101" t="str">
        <x:v>CFO-资本开支</x:v>
      </x:c>
      <x:c r="G20" s="101" t="str"/>
      <x:c r="H20" s="101" t="str">
        <x:v>未扣租赁本金与利息</x:v>
      </x:c>
    </x:row>
  </x:sheetData>
  <x:mergeCells>
    <x:mergeCell ref="A1:H1"/>
  </x:mergeCells>
  <x:pageMargins left="0.7" right="0.7" top="0.75" bottom="0.75" header="0.3" footer="0.3"/>
</x:worksheet>
</file>
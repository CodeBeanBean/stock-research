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8bab8eb56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51a5a67ba784ca3"/>
    <x:sheet xmlns:r="http://schemas.openxmlformats.org/officeDocument/2006/relationships" name="Historical" sheetId="2" r:id="R072aae61764f44f3"/>
    <x:sheet xmlns:r="http://schemas.openxmlformats.org/officeDocument/2006/relationships" name="Products &amp; Geography" sheetId="3" r:id="Rd5adfd4d3eb5435f"/>
    <x:sheet xmlns:r="http://schemas.openxmlformats.org/officeDocument/2006/relationships" name="Balance &amp; Cash" sheetId="4" r:id="R2ae7880583434455"/>
    <x:sheet xmlns:r="http://schemas.openxmlformats.org/officeDocument/2006/relationships" name="Assumptions" sheetId="5" r:id="R208058fb325b49e1"/>
    <x:sheet xmlns:r="http://schemas.openxmlformats.org/officeDocument/2006/relationships" name="Forecast" sheetId="6" r:id="R36a01b1ffc7c42f3"/>
    <x:sheet xmlns:r="http://schemas.openxmlformats.org/officeDocument/2006/relationships" name="Valuation" sheetId="7" r:id="Rceede7d177ce420f"/>
    <x:sheet xmlns:r="http://schemas.openxmlformats.org/officeDocument/2006/relationships" name="Checks" sheetId="8" r:id="R6f23dc1a4bc74d9c"/>
    <x:sheet xmlns:r="http://schemas.openxmlformats.org/officeDocument/2006/relationships" name="Sources Audit" sheetId="9" r:id="R172bb21f6c2e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HK$0.00"/>
    <x:numFmt numFmtId="201" formatCode="#,##0.0"/>
    <x:numFmt numFmtId="202" formatCode="0.0%"/>
    <x:numFmt numFmtId="203" formatCode="0.0x"/>
    <x:numFmt numFmtId="204" formatCode="0.00"/>
    <x:numFmt numFmtId="205" formatCode="#,##0.0;(#,##0.0)"/>
    <x:numFmt numFmtId="206" formatCode="#,##0"/>
    <x:numFmt numFmtId="207" formatCode="0.00x"/>
    <x:numFmt numFmtId="208" formatCode="#,##0.000"/>
    <x:numFmt numFmtId="209" formatCode="0.0000"/>
    <x:numFmt numFmtId="210" formatCode="0.000"/>
  </x:numFmts>
  <x:fonts count="10">
    <x:font>
      <x:sz val="11"/>
      <x:name val="Carlito"/>
    </x:font>
    <x:font>
      <x:sz val="10"/>
      <x:color rgb="FF202020"/>
      <x:name val="Arial"/>
    </x:font>
    <x:font>
      <x:b/>
      <x:sz val="15"/>
      <x:color rgb="FF17365D"/>
      <x:name val="Arial"/>
    </x:font>
    <x:font>
      <x:sz val="10"/>
      <x:color rgb="FF008000"/>
      <x:name val="Arial"/>
    </x:font>
    <x:font>
      <x:b/>
      <x:sz val="10"/>
      <x:color rgb="FF17365D"/>
      <x:name val="Arial"/>
    </x:font>
    <x:font>
      <x:b/>
      <x:sz val="10"/>
      <x:color rgb="FF203040"/>
      <x:name val="Arial"/>
    </x:font>
    <x:font>
      <x:b/>
      <x:sz val="10"/>
      <x:color rgb="FFFFFFFF"/>
      <x:name val="Arial"/>
    </x:font>
    <x:font>
      <x:b/>
      <x:sz val="10"/>
      <x:color rgb="FF0000FF"/>
      <x:name val="Arial"/>
    </x:font>
    <x:font>
      <x:sz val="10"/>
      <x:color rgb="FF0000FF"/>
      <x:name val="Arial"/>
    </x:font>
    <x:font>
      <x:i/>
      <x:sz val="10"/>
      <x:color rgb="FF40404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2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left style="thin">
        <x:color rgb="FFC6D5E1"/>
      </x:left>
      <x:top style="thin">
        <x:color rgb="FFC6D5E1"/>
      </x:top>
      <x:bottom style="thin">
        <x:color rgb="FF9FBAD0"/>
      </x:bottom>
    </x:border>
    <x:border>
      <x:top style="thin">
        <x:color rgb="FFC6D5E1"/>
      </x:top>
      <x:bottom style="thin">
        <x:color rgb="FF9FBAD0"/>
      </x:bottom>
    </x:border>
    <x:border>
      <x:right style="thin">
        <x:color rgb="FFC6D5E1"/>
      </x:right>
      <x:top style="thin">
        <x:color rgb="FFC6D5E1"/>
      </x:top>
      <x:bottom style="thin">
        <x:color rgb="FF9FBAD0"/>
      </x:bottom>
    </x:border>
    <x:border>
      <x:left style="thin">
        <x:color rgb="FFC6D5E1"/>
      </x:left>
    </x:border>
    <x:border>
      <x:right style="thin">
        <x:color rgb="FFC6D5E1"/>
      </x:right>
    </x:border>
    <x:border>
      <x:left style="thin">
        <x:color rgb="FFC6D5E1"/>
      </x:left>
      <x:bottom style="thin">
        <x:color rgb="FFC6D5E1"/>
      </x:bottom>
    </x:border>
    <x:border>
      <x:bottom style="thin">
        <x:color rgb="FFC6D5E1"/>
      </x:bottom>
    </x:border>
    <x:border>
      <x:right style="thin">
        <x:color rgb="FFC6D5E1"/>
      </x:right>
      <x:bottom style="thin">
        <x:color rgb="FFC6D5E1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5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7" fillId="5" borderId="3" xfId="0" applyNumberFormat="1" applyFont="1" applyFill="1" applyBorder="1" applyAlignment="1">
      <x:alignment horizontal="center" vertical="center" wrapText="1"/>
    </x:xf>
    <x:xf numFmtId="208" fontId="8" fillId="5" borderId="0" xfId="0" applyNumberFormat="1" applyFont="1" applyFill="1" applyBorder="1" applyAlignment="1">
      <x:alignment vertical="center"/>
    </x:xf>
    <x:xf numFmtId="209" fontId="8" fillId="5" borderId="0" xfId="0" applyNumberFormat="1" applyFont="1" applyFill="1" applyBorder="1" applyAlignment="1">
      <x:alignment vertical="center"/>
    </x:xf>
    <x:xf numFmtId="206" fontId="8" fillId="5" borderId="0" xfId="0" applyNumberFormat="1" applyFont="1" applyFill="1" applyBorder="1" applyAlignment="1">
      <x:alignment vertical="center"/>
    </x:xf>
    <x:xf numFmtId="202" fontId="8" fillId="5" borderId="0" xfId="0" applyNumberFormat="1" applyFont="1" applyFill="1" applyBorder="1" applyAlignment="1">
      <x:alignment vertical="center"/>
    </x:xf>
    <x:xf numFmtId="203" fontId="8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200" fontId="7" fillId="5" borderId="5" xfId="0" applyNumberFormat="1" applyFont="1" applyFill="1" applyBorder="1" applyAlignment="1">
      <x:alignment horizontal="center" vertical="center" wrapText="1"/>
    </x:xf>
    <x:xf numFmtId="202" fontId="8" fillId="5" borderId="1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204" fontId="3" fillId="0" borderId="10" xfId="0" applyNumberFormat="1" applyFont="1" applyFill="1" applyBorder="1" applyAlignment="1">
      <x:alignment vertical="center"/>
    </x:xf>
    <x:xf numFmtId="209" fontId="3" fillId="0" borderId="0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210" fontId="1" fillId="0" borderId="1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a63bc6de34b30" /><Relationship Type="http://schemas.openxmlformats.org/officeDocument/2006/relationships/theme" Target="/xl/theme/theme1.xml" Id="R04aed87482fe4cf7" /><Relationship Type="http://schemas.openxmlformats.org/officeDocument/2006/relationships/sharedStrings" Target="/xl/sharedStrings.xml" Id="Rbb605eaff29241c2" /><Relationship Type="http://schemas.openxmlformats.org/officeDocument/2006/relationships/worksheet" Target="/xl/worksheets/sheet1.xml" Id="R151a5a67ba784ca3" /><Relationship Type="http://schemas.openxmlformats.org/officeDocument/2006/relationships/worksheet" Target="/xl/worksheets/sheet2.xml" Id="R072aae61764f44f3" /><Relationship Type="http://schemas.openxmlformats.org/officeDocument/2006/relationships/worksheet" Target="/xl/worksheets/sheet3.xml" Id="Rd5adfd4d3eb5435f" /><Relationship Type="http://schemas.openxmlformats.org/officeDocument/2006/relationships/worksheet" Target="/xl/worksheets/sheet4.xml" Id="R2ae7880583434455" /><Relationship Type="http://schemas.openxmlformats.org/officeDocument/2006/relationships/worksheet" Target="/xl/worksheets/sheet5.xml" Id="R208058fb325b49e1" /><Relationship Type="http://schemas.openxmlformats.org/officeDocument/2006/relationships/worksheet" Target="/xl/worksheets/sheet6.xml" Id="R36a01b1ffc7c42f3" /><Relationship Type="http://schemas.openxmlformats.org/officeDocument/2006/relationships/worksheet" Target="/xl/worksheets/sheet7.xml" Id="Rceede7d177ce420f" /><Relationship Type="http://schemas.openxmlformats.org/officeDocument/2006/relationships/worksheet" Target="/xl/worksheets/sheet8.xml" Id="R6f23dc1a4bc74d9c" /><Relationship Type="http://schemas.openxmlformats.org/officeDocument/2006/relationships/worksheet" Target="/xl/worksheets/sheet9.xml" Id="R172bb21f6c2e4e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dd726bdb4c48db" /><Relationship Type="http://schemas.openxmlformats.org/officeDocument/2006/relationships/chart" Target="/xl/drawings/charts/chart2.xml" Id="R41fa92922a8848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情景价值与当前价格（港元）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每股价值</c:v>
          </c:tx>
          <c:cat>
            <c:strRef>
              <c:f>'Cover'!$D$5:$D$8</c:f>
              <c:strCache>
                <c:ptCount val="0"/>
              </c:strCache>
            </c:strRef>
          </c:cat>
          <c:val>
            <c:numRef>
              <c:f>'Cover'!$E$5:$E$8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HK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毛利率变化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毛利率</c:v>
          </c:tx>
          <c:marker>
            <c:symbol val="none"/>
          </c:marker>
          <c:cat>
            <c:strRef>
              <c:f>'Cover'!$D$19:$D$23</c:f>
              <c:strCache>
                <c:ptCount val="0"/>
              </c:strCache>
            </c:strRef>
          </c:cat>
          <c:val>
            <c:numRef>
              <c:f>'Cover'!$E$19:$E$23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dd726bdb4c48db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fa92922a8848a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f32935ab4be47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思格新能（06656.HK）财务与估值模型</x:v>
      </x:c>
      <x:c r="B2" s="3" t="str">
        <x:v>思格新能（06656.HK）财务与估值模型</x:v>
      </x:c>
      <x:c r="C2" s="3" t="str">
        <x:v>思格新能（06656.HK）财务与估值模型</x:v>
      </x:c>
      <x:c r="D2" s="3" t="str">
        <x:v>思格新能（06656.HK）财务与估值模型</x:v>
      </x:c>
      <x:c r="E2" s="3" t="str">
        <x:v>思格新能（06656.HK）财务与估值模型</x:v>
      </x:c>
      <x:c r="F2" s="3" t="str">
        <x:v>思格新能（06656.HK）财务与估值模型</x:v>
      </x:c>
      <x:c r="G2" s="3" t="str">
        <x:v>思格新能（06656.HK）财务与估值模型</x:v>
      </x:c>
      <x:c r="H2" s="3" t="str">
        <x:v>思格新能（06656.HK）财务与估值模型</x:v>
      </x:c>
      <x:c r="I2" s="2"/>
      <x:c r="J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6" t="str">
        <x:v>资料截止</x:v>
      </x:c>
      <x:c r="B4" s="7" t="str">
        <x:v>2026-09-14</x:v>
      </x:c>
      <x:c r="C4" s="2"/>
      <x:c r="D4" s="15" t="str">
        <x:v>情景</x:v>
      </x:c>
      <x:c r="E4" s="16" t="str">
        <x:v>每股价值</x:v>
      </x:c>
      <x:c r="F4" s="2"/>
      <x:c r="G4" s="2"/>
      <x:c r="H4" s="2"/>
      <x:c r="I4" s="2"/>
      <x:c r="J4" s="2"/>
    </x:row>
    <x:row r="5" ht="22" customHeight="1">
      <x:c r="A5" s="6" t="str">
        <x:v>价格基准</x:v>
      </x:c>
      <x:c r="B5" s="7" t="str">
        <x:v>2026-09-11收盘</x:v>
      </x:c>
      <x:c r="C5" s="2"/>
      <x:c r="D5" s="2" t="str">
        <x:v>现价</x:v>
      </x:c>
      <x:c r="E5" s="20" t="n">
        <x:f>Assumptions!B4</x:f>
        <x:v>310.2</x:v>
      </x:c>
      <x:c r="F5" s="2"/>
      <x:c r="G5" s="2"/>
      <x:c r="H5" s="2"/>
      <x:c r="I5" s="2"/>
      <x:c r="J5" s="2"/>
    </x:row>
    <x:row r="6" ht="22" customHeight="1">
      <x:c r="A6" s="6" t="str">
        <x:v>当前价格（港元）</x:v>
      </x:c>
      <x:c r="B6" s="8" t="n">
        <x:f>Assumptions!B4</x:f>
        <x:v>310.2</x:v>
      </x:c>
      <x:c r="C6" s="2"/>
      <x:c r="D6" s="2" t="str">
        <x:v>Bear</x:v>
      </x:c>
      <x:c r="E6" s="20" t="n">
        <x:f>Valuation!F19</x:f>
        <x:v>169.16892792284364</x:v>
      </x:c>
      <x:c r="F6" s="2"/>
      <x:c r="G6" s="2"/>
      <x:c r="H6" s="2"/>
      <x:c r="I6" s="2"/>
      <x:c r="J6" s="2"/>
    </x:row>
    <x:row r="7" ht="22" customHeight="1">
      <x:c r="A7" s="6" t="str">
        <x:v>当前判断</x:v>
      </x:c>
      <x:c r="B7" s="7" t="str">
        <x:v>中性偏积极</x:v>
      </x:c>
      <x:c r="C7" s="2"/>
      <x:c r="D7" s="2" t="str">
        <x:v>Base</x:v>
      </x:c>
      <x:c r="E7" s="20" t="n">
        <x:f>Valuation!F20</x:f>
        <x:v>431.3807662032513</x:v>
      </x:c>
      <x:c r="F7" s="2"/>
      <x:c r="G7" s="2"/>
      <x:c r="H7" s="2"/>
      <x:c r="I7" s="2"/>
      <x:c r="J7" s="2"/>
    </x:row>
    <x:row r="8" ht="22" customHeight="1">
      <x:c r="A8" s="6" t="str">
        <x:v>业务质量</x:v>
      </x:c>
      <x:c r="B8" s="7" t="str">
        <x:v>中高</x:v>
      </x:c>
      <x:c r="C8" s="2"/>
      <x:c r="D8" s="2" t="str">
        <x:v>Bull</x:v>
      </x:c>
      <x:c r="E8" s="20" t="n">
        <x:f>Valuation!F21</x:f>
        <x:v>832.2171426426557</x:v>
      </x:c>
      <x:c r="F8" s="2"/>
      <x:c r="G8" s="2"/>
      <x:c r="H8" s="2"/>
      <x:c r="I8" s="2"/>
      <x:c r="J8" s="2"/>
    </x:row>
    <x:row r="9" ht="22" customHeight="1">
      <x:c r="A9" s="6" t="str">
        <x:v>盈利可见度</x:v>
      </x:c>
      <x:c r="B9" s="7" t="str">
        <x:v>中低</x:v>
      </x:c>
      <x:c r="C9" s="2"/>
      <x:c r="D9" s="2"/>
      <x:c r="E9" s="2"/>
      <x:c r="F9" s="2"/>
      <x:c r="G9" s="2"/>
      <x:c r="H9" s="2"/>
      <x:c r="I9" s="2"/>
      <x:c r="J9" s="2"/>
    </x:row>
    <x:row r="10" ht="22" customHeight="1">
      <x:c r="A10" s="6" t="str">
        <x:v>估值置信度</x:v>
      </x:c>
      <x:c r="B10" s="7" t="str">
        <x:v>低</x:v>
      </x:c>
      <x:c r="C10" s="2"/>
      <x:c r="D10" s="2"/>
      <x:c r="E10" s="2"/>
      <x:c r="F10" s="2"/>
      <x:c r="G10" s="2"/>
      <x:c r="H10" s="2"/>
      <x:c r="I10" s="2"/>
      <x:c r="J10" s="2"/>
    </x:row>
    <x:row r="11" ht="22" customHeight="1">
      <x:c r="A11" s="6" t="str">
        <x:v>主要方法</x:v>
      </x:c>
      <x:c r="B11" s="7" t="str">
        <x:v>2027E调整净利润P/E</x:v>
      </x:c>
      <x:c r="C11" s="2"/>
      <x:c r="D11" s="2"/>
      <x:c r="E11" s="2"/>
      <x:c r="F11" s="2"/>
      <x:c r="G11" s="2"/>
      <x:c r="H11" s="2"/>
      <x:c r="I11" s="2"/>
      <x:c r="J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2" customHeight="1">
      <x:c r="A13" s="15" t="str">
        <x:v>关键指标</x:v>
      </x:c>
      <x:c r="B13" s="16" t="str">
        <x:v>数值</x:v>
      </x:c>
      <x:c r="C13" s="2"/>
      <x:c r="D13" s="2"/>
      <x:c r="E13" s="2"/>
      <x:c r="F13" s="2"/>
      <x:c r="G13" s="2"/>
      <x:c r="H13" s="2"/>
      <x:c r="I13" s="2"/>
      <x:c r="J13" s="2"/>
    </x:row>
    <x:row r="14" ht="22" customHeight="1">
      <x:c r="A14" s="2" t="str">
        <x:v>2026H1收入（RMB m）</x:v>
      </x:c>
      <x:c r="B14" s="17" t="n">
        <x:f>Historical!F5</x:f>
        <x:v>9873.625</x:v>
      </x:c>
      <x:c r="C14" s="2"/>
      <x:c r="D14" s="2"/>
      <x:c r="E14" s="2"/>
      <x:c r="F14" s="2"/>
      <x:c r="G14" s="2"/>
      <x:c r="H14" s="2"/>
      <x:c r="I14" s="2"/>
      <x:c r="J14" s="2"/>
    </x:row>
    <x:row r="15" ht="22" customHeight="1">
      <x:c r="A15" s="2" t="str">
        <x:v>2026H1收入同比</x:v>
      </x:c>
      <x:c r="B15" s="18" t="n">
        <x:f>Historical!F6</x:f>
        <x:v>2.6124</x:v>
      </x:c>
      <x:c r="C15" s="2"/>
      <x:c r="D15" s="2"/>
      <x:c r="E15" s="2"/>
      <x:c r="F15" s="2"/>
      <x:c r="G15" s="2"/>
      <x:c r="H15" s="2"/>
      <x:c r="I15" s="2"/>
      <x:c r="J15" s="2"/>
    </x:row>
    <x:row r="16" ht="22" customHeight="1">
      <x:c r="A16" s="2" t="str">
        <x:v>2026H1毛利率</x:v>
      </x:c>
      <x:c r="B16" s="18" t="n">
        <x:f>Historical!F8</x:f>
        <x:v>0.405</x:v>
      </x:c>
      <x:c r="C16" s="2"/>
      <x:c r="D16" s="2"/>
      <x:c r="E16" s="2"/>
      <x:c r="F16" s="2"/>
      <x:c r="G16" s="2"/>
      <x:c r="H16" s="2"/>
      <x:c r="I16" s="2"/>
      <x:c r="J16" s="2"/>
    </x:row>
    <x:row r="17" ht="22" customHeight="1">
      <x:c r="A17" s="2" t="str">
        <x:v>2026H1调整净利率</x:v>
      </x:c>
      <x:c r="B17" s="18" t="n">
        <x:f>Historical!F11</x:f>
        <x:v>0.2517</x:v>
      </x:c>
      <x:c r="C17" s="2"/>
      <x:c r="D17" s="2"/>
      <x:c r="E17" s="2"/>
      <x:c r="F17" s="2"/>
      <x:c r="G17" s="2"/>
      <x:c r="H17" s="2"/>
      <x:c r="I17" s="2"/>
      <x:c r="J17" s="2"/>
    </x:row>
    <x:row r="18" ht="22" customHeight="1">
      <x:c r="A18" s="2" t="str">
        <x:v>经营现金流/净利润</x:v>
      </x:c>
      <x:c r="B18" s="18" t="n">
        <x:f>'Balance &amp; Cash'!D19</x:f>
        <x:v>0.8131324531954771</x:v>
      </x:c>
      <x:c r="C18" s="2"/>
      <x:c r="D18" s="15" t="str">
        <x:v>期间</x:v>
      </x:c>
      <x:c r="E18" s="16" t="str">
        <x:v>毛利率</x:v>
      </x:c>
      <x:c r="F18" s="2"/>
      <x:c r="G18" s="2"/>
      <x:c r="H18" s="2"/>
      <x:c r="I18" s="2"/>
      <x:c r="J18" s="2"/>
    </x:row>
    <x:row r="19" ht="22" customHeight="1">
      <x:c r="A19" s="2" t="str">
        <x:v>H1末净现金（RMB m）</x:v>
      </x:c>
      <x:c r="B19" s="17" t="n">
        <x:f>'Balance &amp; Cash'!D16</x:f>
        <x:v>5446.221999999999</x:v>
      </x:c>
      <x:c r="C19" s="2"/>
      <x:c r="D19" s="2" t="str">
        <x:v>2023A</x:v>
      </x:c>
      <x:c r="E19" s="18" t="n">
        <x:f>Historical!B8</x:f>
        <x:v>0.313</x:v>
      </x:c>
      <x:c r="F19" s="2"/>
      <x:c r="G19" s="2"/>
      <x:c r="H19" s="2"/>
      <x:c r="I19" s="2"/>
      <x:c r="J19" s="2"/>
    </x:row>
    <x:row r="20" ht="22" customHeight="1">
      <x:c r="A20" s="2" t="str">
        <x:v>当前年化调整P/E</x:v>
      </x:c>
      <x:c r="B20" s="19" t="n">
        <x:f>Valuation!B13</x:f>
        <x:v>13.280252097387766</x:v>
      </x:c>
      <x:c r="C20" s="2"/>
      <x:c r="D20" s="2" t="str">
        <x:v>2024A</x:v>
      </x:c>
      <x:c r="E20" s="18" t="n">
        <x:f>Historical!C8</x:f>
        <x:v>0.469</x:v>
      </x:c>
      <x:c r="F20" s="2"/>
      <x:c r="G20" s="2"/>
      <x:c r="H20" s="2"/>
      <x:c r="I20" s="2"/>
      <x:c r="J20" s="2"/>
    </x:row>
    <x:row r="21" ht="22" customHeight="1">
      <x:c r="A21" s="2" t="str">
        <x:v>Base每股价值</x:v>
      </x:c>
      <x:c r="B21" s="20" t="n">
        <x:f>Valuation!F20</x:f>
        <x:v>431.3807662032513</x:v>
      </x:c>
      <x:c r="C21" s="2"/>
      <x:c r="D21" s="2" t="str">
        <x:v>2025A</x:v>
      </x:c>
      <x:c r="E21" s="18" t="n">
        <x:f>Historical!D8</x:f>
        <x:v>0.5005</x:v>
      </x:c>
      <x:c r="F21" s="2"/>
      <x:c r="G21" s="2"/>
      <x:c r="H21" s="2"/>
      <x:c r="I21" s="2"/>
      <x:c r="J21" s="2"/>
    </x:row>
    <x:row r="22" ht="22" customHeight="1">
      <x:c r="A22" s="2" t="str">
        <x:v>Base相对现价</x:v>
      </x:c>
      <x:c r="B22" s="18" t="n">
        <x:f>Valuation!G20</x:f>
        <x:v>0.3906536628086761</x:v>
      </x:c>
      <x:c r="C22" s="2"/>
      <x:c r="D22" s="2" t="str">
        <x:v>2025H1</x:v>
      </x:c>
      <x:c r="E22" s="18" t="n">
        <x:f>Historical!E8</x:f>
        <x:v>0.5193</x:v>
      </x:c>
      <x:c r="F22" s="2"/>
      <x:c r="G22" s="2"/>
      <x:c r="H22" s="2"/>
      <x:c r="I22" s="2"/>
      <x:c r="J22" s="2"/>
    </x:row>
    <x:row r="23" ht="22" customHeight="1">
      <x:c r="A23" s="2"/>
      <x:c r="B23" s="2"/>
      <x:c r="C23" s="2"/>
      <x:c r="D23" s="2" t="str">
        <x:v>2026H1</x:v>
      </x:c>
      <x:c r="E23" s="18" t="n">
        <x:f>Historical!F8</x:f>
        <x:v>0.405</x:v>
      </x:c>
      <x:c r="F23" s="2"/>
      <x:c r="G23" s="2"/>
      <x:c r="H23" s="2"/>
      <x:c r="I23" s="2"/>
      <x:c r="J23" s="2"/>
    </x:row>
    <x:row r="24" ht="22" customHeight="1">
      <x:c r="A24" s="22" t="str">
        <x:v>研究结论</x:v>
      </x:c>
      <x:c r="B24" s="22" t="str">
        <x:v>研究结论</x:v>
      </x:c>
      <x:c r="C24" s="22" t="str">
        <x:v>研究结论</x:v>
      </x:c>
      <x:c r="D24" s="22" t="str">
        <x:v>研究结论</x:v>
      </x:c>
      <x:c r="E24" s="22" t="str">
        <x:v>研究结论</x:v>
      </x:c>
      <x:c r="F24" s="2"/>
      <x:c r="G24" s="2"/>
      <x:c r="H24" s="2"/>
      <x:c r="I24" s="2"/>
      <x:c r="J24" s="2"/>
    </x:row>
    <x:row r="25" ht="23" customHeight="1">
      <x:c r="A25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B25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C25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D25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E25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F25" s="2"/>
      <x:c r="G25" s="2"/>
      <x:c r="H25" s="2"/>
      <x:c r="I25" s="2"/>
      <x:c r="J25" s="2"/>
    </x:row>
    <x:row r="26" ht="23" customHeight="1">
      <x:c r="A26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B26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C26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D26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E26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F26" s="2"/>
      <x:c r="G26" s="2"/>
      <x:c r="H26" s="2"/>
      <x:c r="I26" s="2"/>
      <x:c r="J26" s="2"/>
    </x:row>
    <x:row r="27" ht="23" customHeight="1">
      <x:c r="A27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B27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C27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D27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E27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F27" s="2"/>
      <x:c r="G27" s="2"/>
      <x:c r="H27" s="2"/>
      <x:c r="I27" s="2"/>
      <x:c r="J27" s="2"/>
    </x:row>
    <x:row r="28" ht="23" customHeight="1">
      <x:c r="A28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B28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C28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D28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E28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F28" s="2"/>
      <x:c r="G28" s="2"/>
      <x:c r="H28" s="2"/>
      <x:c r="I28" s="2"/>
      <x:c r="J28" s="2"/>
    </x:row>
    <x:row r="29" ht="23" customHeight="1">
      <x:c r="A29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B29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C29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D29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E29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F29" s="2"/>
      <x:c r="G29" s="2"/>
      <x:c r="H29" s="2"/>
      <x:c r="I29" s="2"/>
      <x:c r="J29" s="2"/>
    </x:row>
    <x:row r="30" ht="23" customHeight="1">
      <x:c r="A30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B30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C30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D30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E30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F30" s="2"/>
      <x:c r="G30" s="2"/>
      <x:c r="H30" s="2"/>
      <x:c r="I30" s="2"/>
      <x:c r="J30" s="2"/>
    </x:row>
    <x:row r="31" ht="23" customHeight="1">
      <x:c r="A31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B31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C31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D31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E31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F31" s="2"/>
      <x:c r="G31" s="2"/>
      <x:c r="H31" s="2"/>
      <x:c r="I31" s="2"/>
      <x:c r="J31" s="2"/>
    </x:row>
    <x:row r="32" ht="23" customHeight="1">
      <x:c r="A32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B32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C32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D32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E32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F32" s="2"/>
      <x:c r="G32" s="2"/>
      <x:c r="H32" s="2"/>
      <x:c r="I32" s="2"/>
      <x:c r="J32" s="2"/>
    </x:row>
    <x:row r="33" ht="23" customHeight="1">
      <x:c r="A33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B33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C33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D33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E33" s="24" t="str">
        <x:v>SigenStor已证明产品与海外商业化能力，2026H1收入同比增长261.2%，但毛利率同比下降11.4个百分点，应收、库存和借款仍快速增加。澳洲约30%家庭电池折扣是真实需求支持，也提高了对政策和经销商备货的依赖。现价按H1调整利润年化约13.3倍P/E；Base价值431港元，需要后续终端安装、回款和毛利率共同验证。</x:v>
      </x:c>
      <x:c r="F33" s="2"/>
      <x:c r="G33" s="2"/>
      <x:c r="H33" s="2"/>
      <x:c r="I33" s="2"/>
      <x:c r="J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2:H2"/>
    <x:mergeCell ref="A24:E24"/>
    <x:mergeCell ref="A25:E33"/>
  </x:mergeCells>
  <x:pageMargins left="0.7" right="0.7" top="0.75" bottom="0.75" header="0.3" footer="0.3"/>
  <x:drawing xmlns:r="http://schemas.openxmlformats.org/officeDocument/2006/relationships" r:id="Ref32935ab4be474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历史损益与现金流（人民币百万元）</x:v>
      </x:c>
      <x:c r="B2" s="3" t="str">
        <x:v>历史损益与现金流（人民币百万元）</x:v>
      </x:c>
      <x:c r="C2" s="3" t="str">
        <x:v>历史损益与现金流（人民币百万元）</x:v>
      </x:c>
      <x:c r="D2" s="3" t="str">
        <x:v>历史损益与现金流（人民币百万元）</x:v>
      </x:c>
      <x:c r="E2" s="3" t="str">
        <x:v>历史损益与现金流（人民币百万元）</x:v>
      </x:c>
      <x:c r="F2" s="3" t="str">
        <x:v>历史损益与现金流（人民币百万元）</x:v>
      </x:c>
      <x:c r="G2" s="3" t="str">
        <x:v>历史损益与现金流（人民币百万元）</x:v>
      </x:c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1" t="str">
        <x:v>指标</x:v>
      </x:c>
      <x:c r="B4" s="32" t="str">
        <x:v>2023A</x:v>
      </x:c>
      <x:c r="C4" s="32" t="str">
        <x:v>2024A</x:v>
      </x:c>
      <x:c r="D4" s="32" t="str">
        <x:v>2025A</x:v>
      </x:c>
      <x:c r="E4" s="32" t="str">
        <x:v>2025H1</x:v>
      </x:c>
      <x:c r="F4" s="32" t="str">
        <x:v>2026H1</x:v>
      </x:c>
      <x:c r="G4" s="33" t="str">
        <x:v>TTM/年化</x:v>
      </x:c>
      <x:c r="H4" s="2"/>
      <x:c r="I4" s="2"/>
      <x:c r="J4" s="2"/>
    </x:row>
    <x:row r="5">
      <x:c r="A5" s="34" t="str">
        <x:v>营业收入</x:v>
      </x:c>
      <x:c r="B5" s="28" t="n">
        <x:v>58.302</x:v>
      </x:c>
      <x:c r="C5" s="28" t="n">
        <x:v>1329.838</x:v>
      </x:c>
      <x:c r="D5" s="28" t="n">
        <x:v>9000.512</x:v>
      </x:c>
      <x:c r="E5" s="28" t="n">
        <x:v>2733.786</x:v>
      </x:c>
      <x:c r="F5" s="28" t="n">
        <x:v>9873.625</x:v>
      </x:c>
      <x:c r="G5" s="35" t="n">
        <x:f>D5-E5+F5</x:f>
        <x:v>16140.351</x:v>
      </x:c>
      <x:c r="H5" s="2"/>
      <x:c r="I5" s="2"/>
      <x:c r="J5" s="2"/>
    </x:row>
    <x:row r="6">
      <x:c r="A6" s="34" t="str">
        <x:v>收入同比</x:v>
      </x:c>
      <x:c r="B6" s="29"/>
      <x:c r="C6" s="29" t="n">
        <x:v>21.8088</x:v>
      </x:c>
      <x:c r="D6" s="29" t="n">
        <x:v>5.7681</x:v>
      </x:c>
      <x:c r="E6" s="29"/>
      <x:c r="F6" s="29" t="n">
        <x:v>2.6124</x:v>
      </x:c>
      <x:c r="G6" s="36" t="n">
        <x:f>G5/D5-1</x:f>
        <x:v>0.7932703161775685</x:v>
      </x:c>
      <x:c r="H6" s="2"/>
      <x:c r="I6" s="2"/>
      <x:c r="J6" s="2"/>
    </x:row>
    <x:row r="7">
      <x:c r="A7" s="34" t="str">
        <x:v>毛利</x:v>
      </x:c>
      <x:c r="B7" s="28" t="n">
        <x:v>18.249</x:v>
      </x:c>
      <x:c r="C7" s="28" t="n">
        <x:v>623.63</x:v>
      </x:c>
      <x:c r="D7" s="28" t="n">
        <x:v>4504.853</x:v>
      </x:c>
      <x:c r="E7" s="28" t="n">
        <x:v>1419.716</x:v>
      </x:c>
      <x:c r="F7" s="28" t="n">
        <x:v>3998.996</x:v>
      </x:c>
      <x:c r="G7" s="35" t="n">
        <x:f>D7-E7+F7</x:f>
        <x:v>7084.133</x:v>
      </x:c>
      <x:c r="H7" s="2"/>
      <x:c r="I7" s="2"/>
      <x:c r="J7" s="2"/>
    </x:row>
    <x:row r="8">
      <x:c r="A8" s="34" t="str">
        <x:v>毛利率</x:v>
      </x:c>
      <x:c r="B8" s="29" t="n">
        <x:v>0.313</x:v>
      </x:c>
      <x:c r="C8" s="29" t="n">
        <x:v>0.469</x:v>
      </x:c>
      <x:c r="D8" s="29" t="n">
        <x:v>0.5005</x:v>
      </x:c>
      <x:c r="E8" s="29" t="n">
        <x:v>0.5193</x:v>
      </x:c>
      <x:c r="F8" s="29" t="n">
        <x:v>0.405</x:v>
      </x:c>
      <x:c r="G8" s="36" t="n">
        <x:f>G7/G5</x:f>
        <x:v>0.43890823687787206</x:v>
      </x:c>
      <x:c r="H8" s="2"/>
      <x:c r="I8" s="2"/>
      <x:c r="J8" s="2"/>
    </x:row>
    <x:row r="9">
      <x:c r="A9" s="34" t="str">
        <x:v>报告净利润</x:v>
      </x:c>
      <x:c r="B9" s="30" t="n">
        <x:v>-373.452</x:v>
      </x:c>
      <x:c r="C9" s="30" t="n">
        <x:v>83.845</x:v>
      </x:c>
      <x:c r="D9" s="30" t="n">
        <x:v>2918.832</x:v>
      </x:c>
      <x:c r="E9" s="30" t="n">
        <x:v>806.519</x:v>
      </x:c>
      <x:c r="F9" s="30" t="n">
        <x:v>2427.65</x:v>
      </x:c>
      <x:c r="G9" s="37" t="n">
        <x:f>D9-E9+F9</x:f>
        <x:v>4539.963</x:v>
      </x:c>
      <x:c r="H9" s="2"/>
      <x:c r="I9" s="2"/>
      <x:c r="J9" s="2"/>
    </x:row>
    <x:row r="10">
      <x:c r="A10" s="34" t="str">
        <x:v>调整净利润</x:v>
      </x:c>
      <x:c r="B10" s="30" t="n">
        <x:v>-249.498</x:v>
      </x:c>
      <x:c r="C10" s="30" t="n">
        <x:v>150.205</x:v>
      </x:c>
      <x:c r="D10" s="30" t="n">
        <x:v>3234.932</x:v>
      </x:c>
      <x:c r="E10" s="30" t="n">
        <x:v>1053.823</x:v>
      </x:c>
      <x:c r="F10" s="30" t="n">
        <x:v>2485.349</x:v>
      </x:c>
      <x:c r="G10" s="37" t="n">
        <x:f>D10-E10+F10</x:f>
        <x:v>4666.458</x:v>
      </x:c>
      <x:c r="H10" s="2"/>
      <x:c r="I10" s="2"/>
      <x:c r="J10" s="2"/>
    </x:row>
    <x:row r="11">
      <x:c r="A11" s="34" t="str">
        <x:v>调整净利率</x:v>
      </x:c>
      <x:c r="B11" s="29" t="n">
        <x:v>-4.2794</x:v>
      </x:c>
      <x:c r="C11" s="29" t="n">
        <x:v>0.1129</x:v>
      </x:c>
      <x:c r="D11" s="29" t="n">
        <x:v>0.3594</x:v>
      </x:c>
      <x:c r="E11" s="29" t="n">
        <x:v>0.3855</x:v>
      </x:c>
      <x:c r="F11" s="29" t="n">
        <x:v>0.2517</x:v>
      </x:c>
      <x:c r="G11" s="36" t="n">
        <x:f>G10/G5</x:f>
        <x:v>0.289117504321932</x:v>
      </x:c>
      <x:c r="H11" s="2"/>
      <x:c r="I11" s="2"/>
      <x:c r="J11" s="2"/>
    </x:row>
    <x:row r="12">
      <x:c r="A12" s="34" t="str">
        <x:v>销售费用</x:v>
      </x:c>
      <x:c r="B12" s="30" t="n">
        <x:v>53.422</x:v>
      </x:c>
      <x:c r="C12" s="30" t="n">
        <x:v>168.743</x:v>
      </x:c>
      <x:c r="D12" s="30" t="n">
        <x:v>442.64</x:v>
      </x:c>
      <x:c r="E12" s="30" t="n">
        <x:v>163.331</x:v>
      </x:c>
      <x:c r="F12" s="30" t="n">
        <x:v>330.448</x:v>
      </x:c>
      <x:c r="G12" s="37" t="n">
        <x:f>D12-E12+F12</x:f>
        <x:v>609.757</x:v>
      </x:c>
      <x:c r="H12" s="2"/>
      <x:c r="I12" s="2"/>
      <x:c r="J12" s="2"/>
    </x:row>
    <x:row r="13">
      <x:c r="A13" s="34" t="str">
        <x:v>管理费用</x:v>
      </x:c>
      <x:c r="B13" s="30" t="n">
        <x:v>149.628</x:v>
      </x:c>
      <x:c r="C13" s="30" t="n">
        <x:v>78.046</x:v>
      </x:c>
      <x:c r="D13" s="30" t="n">
        <x:v>344.81</x:v>
      </x:c>
      <x:c r="E13" s="30" t="n">
        <x:v>244.597</x:v>
      </x:c>
      <x:c r="F13" s="30" t="n">
        <x:v>171.9</x:v>
      </x:c>
      <x:c r="G13" s="37" t="n">
        <x:f>D13-E13+F13</x:f>
        <x:v>272.113</x:v>
      </x:c>
      <x:c r="H13" s="2"/>
      <x:c r="I13" s="2"/>
      <x:c r="J13" s="2"/>
    </x:row>
    <x:row r="14">
      <x:c r="A14" s="34" t="str">
        <x:v>研发费用</x:v>
      </x:c>
      <x:c r="B14" s="30" t="n">
        <x:v>193.005</x:v>
      </x:c>
      <x:c r="C14" s="30" t="n">
        <x:v>280.253</x:v>
      </x:c>
      <x:c r="D14" s="30" t="n">
        <x:v>494.028</x:v>
      </x:c>
      <x:c r="E14" s="30" t="n">
        <x:v>227.99</x:v>
      </x:c>
      <x:c r="F14" s="30" t="n">
        <x:v>371.339</x:v>
      </x:c>
      <x:c r="G14" s="37" t="n">
        <x:f>D14-E14+F14</x:f>
        <x:v>637.377</x:v>
      </x:c>
      <x:c r="H14" s="2"/>
      <x:c r="I14" s="2"/>
      <x:c r="J14" s="2"/>
    </x:row>
    <x:row r="15">
      <x:c r="A15" s="34" t="str">
        <x:v>财务成本</x:v>
      </x:c>
      <x:c r="B15" s="30" t="n">
        <x:v>4.755</x:v>
      </x:c>
      <x:c r="C15" s="30" t="n">
        <x:v>10.82</x:v>
      </x:c>
      <x:c r="D15" s="30" t="n">
        <x:v>23.775</x:v>
      </x:c>
      <x:c r="E15" s="30" t="n">
        <x:v>11.459</x:v>
      </x:c>
      <x:c r="F15" s="30" t="n">
        <x:v>30.375</x:v>
      </x:c>
      <x:c r="G15" s="37" t="n">
        <x:f>D15-E15+F15</x:f>
        <x:v>42.691</x:v>
      </x:c>
      <x:c r="H15" s="2"/>
      <x:c r="I15" s="2"/>
      <x:c r="J15" s="2"/>
    </x:row>
    <x:row r="16">
      <x:c r="A16" s="34" t="str">
        <x:v>金融资产减值</x:v>
      </x:c>
      <x:c r="B16" s="30" t="n">
        <x:v>0.5</x:v>
      </x:c>
      <x:c r="C16" s="30" t="n">
        <x:v>14.351</x:v>
      </x:c>
      <x:c r="D16" s="30" t="n">
        <x:v>81.481</x:v>
      </x:c>
      <x:c r="E16" s="30" t="n">
        <x:v>31.875</x:v>
      </x:c>
      <x:c r="F16" s="30" t="n">
        <x:v>73.649</x:v>
      </x:c>
      <x:c r="G16" s="37" t="n">
        <x:f>D16-E16+F16</x:f>
        <x:v>123.255</x:v>
      </x:c>
      <x:c r="H16" s="2"/>
      <x:c r="I16" s="2"/>
      <x:c r="J16" s="2"/>
    </x:row>
    <x:row r="17">
      <x:c r="A17" s="34" t="str">
        <x:v>经营现金流</x:v>
      </x:c>
      <x:c r="B17" s="30" t="n">
        <x:v>-369.714</x:v>
      </x:c>
      <x:c r="C17" s="30" t="n">
        <x:v>-95.805</x:v>
      </x:c>
      <x:c r="D17" s="30" t="n">
        <x:v>-199.99</x:v>
      </x:c>
      <x:c r="E17" s="30" t="n">
        <x:v>450.762</x:v>
      </x:c>
      <x:c r="F17" s="30" t="n">
        <x:v>1974.001</x:v>
      </x:c>
      <x:c r="G17" s="37" t="n">
        <x:f>D17-E17+F17</x:f>
        <x:v>1323.249</x:v>
      </x:c>
      <x:c r="H17" s="2"/>
      <x:c r="I17" s="2"/>
      <x:c r="J17" s="2"/>
    </x:row>
    <x:row r="18">
      <x:c r="A18" s="38" t="str">
        <x:v>经营现金流/净利润</x:v>
      </x:c>
      <x:c r="B18" s="39" t="n">
        <x:v>0.99</x:v>
      </x:c>
      <x:c r="C18" s="39" t="n">
        <x:v>-1.1427</x:v>
      </x:c>
      <x:c r="D18" s="39" t="n">
        <x:v>-0.0685</x:v>
      </x:c>
      <x:c r="E18" s="39" t="n">
        <x:v>0.5589</x:v>
      </x:c>
      <x:c r="F18" s="39" t="n">
        <x:v>0.8131</x:v>
      </x:c>
      <x:c r="G18" s="40" t="n">
        <x:f>G17/G9</x:f>
        <x:v>0.2914669128360738</x:v>
      </x:c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产品、地区与渠道数据</x:v>
      </x:c>
      <x:c r="B2" s="3" t="str">
        <x:v>产品、地区与渠道数据</x:v>
      </x:c>
      <x:c r="C2" s="3" t="str">
        <x:v>产品、地区与渠道数据</x:v>
      </x:c>
      <x:c r="D2" s="3" t="str">
        <x:v>产品、地区与渠道数据</x:v>
      </x:c>
      <x:c r="E2" s="3" t="str">
        <x:v>产品、地区与渠道数据</x:v>
      </x:c>
      <x:c r="F2" s="3" t="str">
        <x:v>产品、地区与渠道数据</x:v>
      </x:c>
      <x:c r="G2" s="3" t="str">
        <x:v>产品、地区与渠道数据</x:v>
      </x:c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1" t="str">
        <x:v>产品</x:v>
      </x:c>
      <x:c r="B4" s="32" t="str">
        <x:v>2023收入</x:v>
      </x:c>
      <x:c r="C4" s="32" t="str">
        <x:v>2024收入</x:v>
      </x:c>
      <x:c r="D4" s="32" t="str">
        <x:v>2025收入</x:v>
      </x:c>
      <x:c r="E4" s="32" t="str">
        <x:v>2025H1</x:v>
      </x:c>
      <x:c r="F4" s="32" t="str">
        <x:v>2026H1</x:v>
      </x:c>
      <x:c r="G4" s="33" t="str">
        <x:v>H1同比</x:v>
      </x:c>
      <x:c r="H4" s="2"/>
      <x:c r="I4" s="2"/>
      <x:c r="J4" s="2"/>
    </x:row>
    <x:row r="5">
      <x:c r="A5" s="34" t="str">
        <x:v>Sigen系列储能产品</x:v>
      </x:c>
      <x:c r="B5" s="28" t="n">
        <x:v>57.065</x:v>
      </x:c>
      <x:c r="C5" s="28" t="n">
        <x:v>1203.301</x:v>
      </x:c>
      <x:c r="D5" s="28" t="n">
        <x:v>8363.02</x:v>
      </x:c>
      <x:c r="E5" s="28" t="n">
        <x:v>2532.324</x:v>
      </x:c>
      <x:c r="F5" s="28" t="n">
        <x:v>9296.494</x:v>
      </x:c>
      <x:c r="G5" s="36" t="n">
        <x:f>F5/E5-1</x:f>
        <x:v>2.671131340223447</x:v>
      </x:c>
      <x:c r="H5" s="2"/>
      <x:c r="I5" s="2"/>
      <x:c r="J5" s="2"/>
    </x:row>
    <x:row r="6">
      <x:c r="A6" s="34" t="str">
        <x:v>能源网关</x:v>
      </x:c>
      <x:c r="B6" s="28" t="n">
        <x:v>1.115</x:v>
      </x:c>
      <x:c r="C6" s="28" t="n">
        <x:v>78.373</x:v>
      </x:c>
      <x:c r="D6" s="28" t="n">
        <x:v>438.885</x:v>
      </x:c>
      <x:c r="E6" s="28" t="n">
        <x:v>120.185</x:v>
      </x:c>
      <x:c r="F6" s="28" t="n">
        <x:v>358.254</x:v>
      </x:c>
      <x:c r="G6" s="36" t="n">
        <x:f>F6/E6-1</x:f>
        <x:v>1.98085451595457</x:v>
      </x:c>
      <x:c r="H6" s="2"/>
      <x:c r="I6" s="2"/>
      <x:c r="J6" s="2"/>
    </x:row>
    <x:row r="7">
      <x:c r="A7" s="34" t="str">
        <x:v>其他</x:v>
      </x:c>
      <x:c r="B7" s="28" t="n">
        <x:v>0.122</x:v>
      </x:c>
      <x:c r="C7" s="28" t="n">
        <x:v>48.164</x:v>
      </x:c>
      <x:c r="D7" s="28" t="n">
        <x:v>198.607</x:v>
      </x:c>
      <x:c r="E7" s="28" t="n">
        <x:v>81.277</x:v>
      </x:c>
      <x:c r="F7" s="28" t="n">
        <x:v>218.877</x:v>
      </x:c>
      <x:c r="G7" s="36" t="n">
        <x:f>F7/E7-1</x:f>
        <x:v>1.6929758726330943</x:v>
      </x:c>
      <x:c r="H7" s="2"/>
      <x:c r="I7" s="2"/>
      <x:c r="J7" s="2"/>
    </x:row>
    <x:row r="8">
      <x:c r="A8" s="38" t="str">
        <x:v>合计</x:v>
      </x:c>
      <x:c r="B8" s="43" t="n">
        <x:v>58.302</x:v>
      </x:c>
      <x:c r="C8" s="43" t="n">
        <x:v>1329.838</x:v>
      </x:c>
      <x:c r="D8" s="43" t="n">
        <x:v>9000.512</x:v>
      </x:c>
      <x:c r="E8" s="43" t="n">
        <x:v>2733.786</x:v>
      </x:c>
      <x:c r="F8" s="43" t="n">
        <x:v>9873.625</x:v>
      </x:c>
      <x:c r="G8" s="40" t="n">
        <x:f>F8/E8-1</x:f>
        <x:v>2.611703695900118</x:v>
      </x:c>
      <x:c r="H8" s="2"/>
      <x:c r="I8" s="2"/>
      <x:c r="J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31" t="str">
        <x:v>运营指标</x:v>
      </x:c>
      <x:c r="B10" s="32" t="str">
        <x:v>2023</x:v>
      </x:c>
      <x:c r="C10" s="32" t="str">
        <x:v>2024</x:v>
      </x:c>
      <x:c r="D10" s="32" t="str">
        <x:v>2025</x:v>
      </x:c>
      <x:c r="E10" s="32" t="str">
        <x:v>变化/占比</x:v>
      </x:c>
      <x:c r="F10" s="32" t="str">
        <x:v>单位</x:v>
      </x:c>
      <x:c r="G10" s="33" t="str">
        <x:v>判断</x:v>
      </x:c>
      <x:c r="H10" s="2"/>
      <x:c r="I10" s="2"/>
      <x:c r="J10" s="2"/>
    </x:row>
    <x:row r="11">
      <x:c r="A11" s="34" t="str">
        <x:v>SigenStor出货量</x:v>
      </x:c>
      <x:c r="B11" s="41" t="n">
        <x:v>18</x:v>
      </x:c>
      <x:c r="C11" s="41" t="n">
        <x:v>447</x:v>
      </x:c>
      <x:c r="D11" s="41" t="n">
        <x:v>3947</x:v>
      </x:c>
      <x:c r="E11" s="29" t="n">
        <x:f>D11/B11-1</x:f>
        <x:v>218.27777777777777</x:v>
      </x:c>
      <x:c r="F11" s="2" t="str">
        <x:v>MWh</x:v>
      </x:c>
      <x:c r="G11" s="44" t="str">
        <x:v>快速放量</x:v>
      </x:c>
      <x:c r="H11" s="2"/>
      <x:c r="I11" s="2"/>
      <x:c r="J11" s="2"/>
    </x:row>
    <x:row r="12">
      <x:c r="A12" s="34" t="str">
        <x:v>SigenStor平均售价</x:v>
      </x:c>
      <x:c r="B12" s="42" t="n">
        <x:v>3.17</x:v>
      </x:c>
      <x:c r="C12" s="42" t="n">
        <x:v>2.69</x:v>
      </x:c>
      <x:c r="D12" s="42" t="n">
        <x:v>2.12</x:v>
      </x:c>
      <x:c r="E12" s="29" t="n">
        <x:f>D12/B12-1</x:f>
        <x:v>-0.33123028391167186</x:v>
      </x:c>
      <x:c r="F12" s="2" t="str">
        <x:v>RMB/Wh</x:v>
      </x:c>
      <x:c r="G12" s="44" t="str">
        <x:v>两年下降33%</x:v>
      </x:c>
      <x:c r="H12" s="2"/>
      <x:c r="I12" s="2"/>
      <x:c r="J12" s="2"/>
    </x:row>
    <x:row r="13">
      <x:c r="A13" s="34" t="str">
        <x:v>网关销量</x:v>
      </x:c>
      <x:c r="B13" s="41" t="n">
        <x:v>392</x:v>
      </x:c>
      <x:c r="C13" s="41" t="n">
        <x:v>14146</x:v>
      </x:c>
      <x:c r="D13" s="41" t="n">
        <x:v>104552</x:v>
      </x:c>
      <x:c r="E13" s="29" t="n">
        <x:f>D13/B13-1</x:f>
        <x:v>265.7142857142857</x:v>
      </x:c>
      <x:c r="F13" s="2" t="str">
        <x:v>台</x:v>
      </x:c>
      <x:c r="G13" s="44" t="str">
        <x:v>随储能销售扩张</x:v>
      </x:c>
      <x:c r="H13" s="2"/>
      <x:c r="I13" s="2"/>
      <x:c r="J13" s="2"/>
    </x:row>
    <x:row r="14">
      <x:c r="A14" s="34" t="str">
        <x:v>网关平均售价</x:v>
      </x:c>
      <x:c r="B14" s="41" t="n">
        <x:v>2844</x:v>
      </x:c>
      <x:c r="C14" s="41" t="n">
        <x:v>5541</x:v>
      </x:c>
      <x:c r="D14" s="41" t="n">
        <x:v>4198</x:v>
      </x:c>
      <x:c r="E14" s="29" t="n">
        <x:f>D14/B14-1</x:f>
        <x:v>0.47609001406469753</x:v>
      </x:c>
      <x:c r="F14" s="2" t="str">
        <x:v>RMB/台</x:v>
      </x:c>
      <x:c r="G14" s="44" t="str">
        <x:v>产品组合波动</x:v>
      </x:c>
      <x:c r="H14" s="2"/>
      <x:c r="I14" s="2"/>
      <x:c r="J14" s="2"/>
    </x:row>
    <x:row r="15">
      <x:c r="A15" s="34" t="str">
        <x:v>销售国家和地区</x:v>
      </x:c>
      <x:c r="B15" s="41"/>
      <x:c r="C15" s="41"/>
      <x:c r="D15" s="41" t="n">
        <x:v>85</x:v>
      </x:c>
      <x:c r="E15" s="2" t="n">
        <x:f>D15</x:f>
        <x:v>85</x:v>
      </x:c>
      <x:c r="F15" s="2" t="str">
        <x:v>个</x:v>
      </x:c>
      <x:c r="G15" s="44" t="str">
        <x:v>全球渠道</x:v>
      </x:c>
      <x:c r="H15" s="2"/>
      <x:c r="I15" s="2"/>
      <x:c r="J15" s="2"/>
    </x:row>
    <x:row r="16">
      <x:c r="A16" s="34" t="str">
        <x:v>前五大客户占比</x:v>
      </x:c>
      <x:c r="B16" s="29"/>
      <x:c r="C16" s="29"/>
      <x:c r="D16" s="29" t="n">
        <x:v>0.448</x:v>
      </x:c>
      <x:c r="E16" s="29" t="n">
        <x:f>D16</x:f>
        <x:v>0.448</x:v>
      </x:c>
      <x:c r="F16" s="2" t="str">
        <x:v>2025</x:v>
      </x:c>
      <x:c r="G16" s="44" t="str">
        <x:v>集中度较高</x:v>
      </x:c>
      <x:c r="H16" s="2"/>
      <x:c r="I16" s="2"/>
      <x:c r="J16" s="2"/>
    </x:row>
    <x:row r="17">
      <x:c r="A17" s="38" t="str">
        <x:v>澳大利亚收入占比</x:v>
      </x:c>
      <x:c r="B17" s="39"/>
      <x:c r="C17" s="39"/>
      <x:c r="D17" s="39" t="n">
        <x:v>0.426</x:v>
      </x:c>
      <x:c r="E17" s="39" t="n">
        <x:f>D17</x:f>
        <x:v>0.426</x:v>
      </x:c>
      <x:c r="F17" s="45" t="str">
        <x:v>2025</x:v>
      </x:c>
      <x:c r="G17" s="46" t="str">
        <x:v>单国依赖</x:v>
      </x:c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31" t="str">
        <x:v>地区</x:v>
      </x:c>
      <x:c r="B19" s="32" t="str">
        <x:v>2025收入</x:v>
      </x:c>
      <x:c r="C19" s="32" t="str">
        <x:v>2025占比</x:v>
      </x:c>
      <x:c r="D19" s="32" t="str">
        <x:v>2025H1收入</x:v>
      </x:c>
      <x:c r="E19" s="32" t="str">
        <x:v>2026H1收入</x:v>
      </x:c>
      <x:c r="F19" s="32" t="str">
        <x:v>2026H1占比</x:v>
      </x:c>
      <x:c r="G19" s="33" t="str">
        <x:v>H1同比</x:v>
      </x:c>
      <x:c r="H19" s="2"/>
      <x:c r="I19" s="2"/>
      <x:c r="J19" s="2"/>
    </x:row>
    <x:row r="20">
      <x:c r="A20" s="34" t="str">
        <x:v>欧洲</x:v>
      </x:c>
      <x:c r="B20" s="28" t="n">
        <x:v>4010.117</x:v>
      </x:c>
      <x:c r="C20" s="29" t="n">
        <x:v>0.4455</x:v>
      </x:c>
      <x:c r="D20" s="28" t="n">
        <x:v>1092.1</x:v>
      </x:c>
      <x:c r="E20" s="28" t="n">
        <x:v>4179.347</x:v>
      </x:c>
      <x:c r="F20" s="29" t="n">
        <x:f>E20/$E$25</x:f>
        <x:v>0.4232839509298763</x:v>
      </x:c>
      <x:c r="G20" s="36" t="n">
        <x:f>E20/D20-1</x:f>
        <x:v>2.8268903946525046</x:v>
      </x:c>
      <x:c r="H20" s="2"/>
      <x:c r="I20" s="2"/>
      <x:c r="J20" s="2"/>
    </x:row>
    <x:row r="21">
      <x:c r="A21" s="34" t="str">
        <x:v>亚太</x:v>
      </x:c>
      <x:c r="B21" s="28" t="n">
        <x:v>4129.731</x:v>
      </x:c>
      <x:c r="C21" s="29" t="n">
        <x:v>0.4588</x:v>
      </x:c>
      <x:c r="D21" s="28" t="n">
        <x:v>1476.221</x:v>
      </x:c>
      <x:c r="E21" s="28" t="n">
        <x:v>3894.238</x:v>
      </x:c>
      <x:c r="F21" s="29" t="n">
        <x:f>E21/$E$25</x:f>
        <x:v>0.3944081327779817</x:v>
      </x:c>
      <x:c r="G21" s="36" t="n">
        <x:f>E21/D21-1</x:f>
        <x:v>1.6379776469783316</x:v>
      </x:c>
      <x:c r="H21" s="2"/>
      <x:c r="I21" s="2"/>
      <x:c r="J21" s="2"/>
    </x:row>
    <x:row r="22">
      <x:c r="A22" s="34" t="str">
        <x:v>中国</x:v>
      </x:c>
      <x:c r="B22" s="28" t="n">
        <x:v>89.798</x:v>
      </x:c>
      <x:c r="C22" s="29" t="n">
        <x:v>0.01</x:v>
      </x:c>
      <x:c r="D22" s="28" t="n">
        <x:v>24.997</x:v>
      </x:c>
      <x:c r="E22" s="28" t="n">
        <x:v>1298.54</x:v>
      </x:c>
      <x:c r="F22" s="29" t="n">
        <x:f>E22/$E$25</x:f>
        <x:v>0.13151603387813493</x:v>
      </x:c>
      <x:c r="G22" s="36" t="n">
        <x:f>E22/D22-1</x:f>
        <x:v>50.94783374004881</x:v>
      </x:c>
      <x:c r="H22" s="2"/>
      <x:c r="I22" s="2"/>
      <x:c r="J22" s="2"/>
    </x:row>
    <x:row r="23">
      <x:c r="A23" s="34" t="str">
        <x:v>非洲</x:v>
      </x:c>
      <x:c r="B23" s="28" t="n">
        <x:v>553.882</x:v>
      </x:c>
      <x:c r="C23" s="29" t="n">
        <x:v>0.0615</x:v>
      </x:c>
      <x:c r="D23" s="28" t="n">
        <x:v>110.61</x:v>
      </x:c>
      <x:c r="E23" s="28" t="n">
        <x:v>375.763</x:v>
      </x:c>
      <x:c r="F23" s="29" t="n">
        <x:f>E23/$E$25</x:f>
        <x:v>0.03805724847763613</x:v>
      </x:c>
      <x:c r="G23" s="36" t="n">
        <x:f>E23/D23-1</x:f>
        <x:v>2.3971883193201338</x:v>
      </x:c>
      <x:c r="H23" s="2"/>
      <x:c r="I23" s="2"/>
      <x:c r="J23" s="2"/>
    </x:row>
    <x:row r="24">
      <x:c r="A24" s="34" t="str">
        <x:v>其他</x:v>
      </x:c>
      <x:c r="B24" s="28" t="n">
        <x:v>216.984</x:v>
      </x:c>
      <x:c r="C24" s="29" t="n">
        <x:v>0.0241</x:v>
      </x:c>
      <x:c r="D24" s="28" t="n">
        <x:v>29.858</x:v>
      </x:c>
      <x:c r="E24" s="28" t="n">
        <x:v>125.737</x:v>
      </x:c>
      <x:c r="F24" s="29" t="n">
        <x:f>E24/$E$25</x:f>
        <x:v>0.012734633936370886</x:v>
      </x:c>
      <x:c r="G24" s="36" t="n">
        <x:f>E24/D24-1</x:f>
        <x:v>3.2111661866166523</x:v>
      </x:c>
      <x:c r="H24" s="2"/>
      <x:c r="I24" s="2"/>
      <x:c r="J24" s="2"/>
    </x:row>
    <x:row r="25">
      <x:c r="A25" s="38" t="str">
        <x:v>合计</x:v>
      </x:c>
      <x:c r="B25" s="43" t="n">
        <x:v>9000.512</x:v>
      </x:c>
      <x:c r="C25" s="39" t="n">
        <x:v>1</x:v>
      </x:c>
      <x:c r="D25" s="43" t="n">
        <x:v>2733.786</x:v>
      </x:c>
      <x:c r="E25" s="43" t="n">
        <x:v>9873.625</x:v>
      </x:c>
      <x:c r="F25" s="39" t="n">
        <x:f>SUM(F20:F24)</x:f>
        <x:v>1</x:v>
      </x:c>
      <x:c r="G25" s="40" t="n">
        <x:f>E25/D25-1</x:f>
        <x:v>2.611703695900118</x:v>
      </x:c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3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资产负债表与现金流质量（人民币百万元）</x:v>
      </x:c>
      <x:c r="B2" s="3" t="str">
        <x:v>资产负债表与现金流质量（人民币百万元）</x:v>
      </x:c>
      <x:c r="C2" s="3" t="str">
        <x:v>资产负债表与现金流质量（人民币百万元）</x:v>
      </x:c>
      <x:c r="D2" s="3" t="str">
        <x:v>资产负债表与现金流质量（人民币百万元）</x:v>
      </x:c>
      <x:c r="E2" s="3" t="str">
        <x:v>资产负债表与现金流质量（人民币百万元）</x:v>
      </x:c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1" t="str">
        <x:v>指标</x:v>
      </x:c>
      <x:c r="B4" s="32" t="str">
        <x:v>2024A</x:v>
      </x:c>
      <x:c r="C4" s="32" t="str">
        <x:v>2025A</x:v>
      </x:c>
      <x:c r="D4" s="32" t="str">
        <x:v>2026H1</x:v>
      </x:c>
      <x:c r="E4" s="33" t="str">
        <x:v>说明</x:v>
      </x:c>
      <x:c r="F4" s="2"/>
      <x:c r="G4" s="2"/>
      <x:c r="H4" s="2"/>
      <x:c r="I4" s="2"/>
      <x:c r="J4" s="2"/>
    </x:row>
    <x:row r="5">
      <x:c r="A5" s="34" t="str">
        <x:v>存货</x:v>
      </x:c>
      <x:c r="B5" s="30" t="n">
        <x:v>282.495</x:v>
      </x:c>
      <x:c r="C5" s="30" t="n">
        <x:v>2143.254</x:v>
      </x:c>
      <x:c r="D5" s="30" t="n">
        <x:v>3403.592</x:v>
      </x:c>
      <x:c r="E5" s="44" t="str">
        <x:v>半年增长58.8%</x:v>
      </x:c>
      <x:c r="F5" s="2"/>
      <x:c r="G5" s="2"/>
      <x:c r="H5" s="2"/>
      <x:c r="I5" s="2"/>
      <x:c r="J5" s="2"/>
    </x:row>
    <x:row r="6">
      <x:c r="A6" s="34" t="str">
        <x:v>贸易及票据应收款</x:v>
      </x:c>
      <x:c r="B6" s="30" t="n">
        <x:v>323.691</x:v>
      </x:c>
      <x:c r="C6" s="30" t="n">
        <x:v>3162.58</x:v>
      </x:c>
      <x:c r="D6" s="30" t="n">
        <x:v>5385.808</x:v>
      </x:c>
      <x:c r="E6" s="44" t="str">
        <x:v>半年增长70.3%</x:v>
      </x:c>
      <x:c r="F6" s="2"/>
      <x:c r="G6" s="2"/>
      <x:c r="H6" s="2"/>
      <x:c r="I6" s="2"/>
      <x:c r="J6" s="2"/>
    </x:row>
    <x:row r="7">
      <x:c r="A7" s="34" t="str">
        <x:v>现金及银行结余</x:v>
      </x:c>
      <x:c r="B7" s="30" t="n">
        <x:v>424.294</x:v>
      </x:c>
      <x:c r="C7" s="30" t="n">
        <x:v>1109.293</x:v>
      </x:c>
      <x:c r="D7" s="30" t="n">
        <x:v>8247.419</x:v>
      </x:c>
      <x:c r="E7" s="44" t="str">
        <x:v>含IPO募资</x:v>
      </x:c>
      <x:c r="F7" s="2"/>
      <x:c r="G7" s="2"/>
      <x:c r="H7" s="2"/>
      <x:c r="I7" s="2"/>
      <x:c r="J7" s="2"/>
    </x:row>
    <x:row r="8">
      <x:c r="A8" s="34" t="str">
        <x:v>已抵押存款</x:v>
      </x:c>
      <x:c r="B8" s="30" t="n">
        <x:v>22.765</x:v>
      </x:c>
      <x:c r="C8" s="30" t="n">
        <x:v>93.058</x:v>
      </x:c>
      <x:c r="D8" s="30" t="n">
        <x:v>317.829</x:v>
      </x:c>
      <x:c r="E8" s="44" t="str">
        <x:v>部分受限</x:v>
      </x:c>
      <x:c r="F8" s="2"/>
      <x:c r="G8" s="2"/>
      <x:c r="H8" s="2"/>
      <x:c r="I8" s="2"/>
      <x:c r="J8" s="2"/>
    </x:row>
    <x:row r="9">
      <x:c r="A9" s="34" t="str">
        <x:v>受限制现金</x:v>
      </x:c>
      <x:c r="B9" s="30"/>
      <x:c r="C9" s="30" t="n">
        <x:v>0.334</x:v>
      </x:c>
      <x:c r="D9" s="30" t="n">
        <x:v>0.809</x:v>
      </x:c>
      <x:c r="E9" s="44" t="str">
        <x:v>受限</x:v>
      </x:c>
      <x:c r="F9" s="2"/>
      <x:c r="G9" s="2"/>
      <x:c r="H9" s="2"/>
      <x:c r="I9" s="2"/>
      <x:c r="J9" s="2"/>
    </x:row>
    <x:row r="10">
      <x:c r="A10" s="34" t="str">
        <x:v>流动资产</x:v>
      </x:c>
      <x:c r="B10" s="30" t="n">
        <x:v>1197.323</x:v>
      </x:c>
      <x:c r="C10" s="30" t="n">
        <x:v>6962.128</x:v>
      </x:c>
      <x:c r="D10" s="30" t="n">
        <x:v>17995.271</x:v>
      </x:c>
      <x:c r="E10" s="44" t="str">
        <x:v>流动资产</x:v>
      </x:c>
      <x:c r="F10" s="2"/>
      <x:c r="G10" s="2"/>
      <x:c r="H10" s="2"/>
      <x:c r="I10" s="2"/>
      <x:c r="J10" s="2"/>
    </x:row>
    <x:row r="11">
      <x:c r="A11" s="34" t="str">
        <x:v>流动负债</x:v>
      </x:c>
      <x:c r="B11" s="30" t="n">
        <x:v>943.978</x:v>
      </x:c>
      <x:c r="C11" s="30" t="n">
        <x:v>4659.928</x:v>
      </x:c>
      <x:c r="D11" s="30" t="n">
        <x:v>9139.787</x:v>
      </x:c>
      <x:c r="E11" s="44" t="str">
        <x:v>流动负债</x:v>
      </x:c>
      <x:c r="F11" s="2"/>
      <x:c r="G11" s="2"/>
      <x:c r="H11" s="2"/>
      <x:c r="I11" s="2"/>
      <x:c r="J11" s="2"/>
    </x:row>
    <x:row r="12">
      <x:c r="A12" s="34" t="str">
        <x:v>流动借款</x:v>
      </x:c>
      <x:c r="B12" s="30" t="n">
        <x:v>330</x:v>
      </x:c>
      <x:c r="C12" s="30" t="n">
        <x:v>1491.976</x:v>
      </x:c>
      <x:c r="D12" s="30" t="n">
        <x:v>2695.074</x:v>
      </x:c>
      <x:c r="E12" s="44" t="str">
        <x:v>多数借款为流动</x:v>
      </x:c>
      <x:c r="F12" s="2"/>
      <x:c r="G12" s="2"/>
      <x:c r="H12" s="2"/>
      <x:c r="I12" s="2"/>
      <x:c r="J12" s="2"/>
    </x:row>
    <x:row r="13">
      <x:c r="A13" s="34" t="str">
        <x:v>非流动借款</x:v>
      </x:c>
      <x:c r="B13" s="30"/>
      <x:c r="C13" s="30" t="n">
        <x:v>227.775</x:v>
      </x:c>
      <x:c r="D13" s="30" t="n">
        <x:v>424.761</x:v>
      </x:c>
      <x:c r="E13" s="44" t="str">
        <x:v>长期融资</x:v>
      </x:c>
      <x:c r="F13" s="2"/>
      <x:c r="G13" s="2"/>
      <x:c r="H13" s="2"/>
      <x:c r="I13" s="2"/>
      <x:c r="J13" s="2"/>
    </x:row>
    <x:row r="14">
      <x:c r="A14" s="34" t="str">
        <x:v>总借款</x:v>
      </x:c>
      <x:c r="B14" s="30" t="n">
        <x:v>330</x:v>
      </x:c>
      <x:c r="C14" s="30" t="n">
        <x:v>1719.751</x:v>
      </x:c>
      <x:c r="D14" s="30" t="n">
        <x:f>D12+D13</x:f>
        <x:v>3119.835</x:v>
      </x:c>
      <x:c r="E14" s="44" t="str">
        <x:v>流动+非流动</x:v>
      </x:c>
      <x:c r="F14" s="2"/>
      <x:c r="G14" s="2"/>
      <x:c r="H14" s="2"/>
      <x:c r="I14" s="2"/>
      <x:c r="J14" s="2"/>
    </x:row>
    <x:row r="15">
      <x:c r="A15" s="34" t="str">
        <x:v>可用及受限现金合计</x:v>
      </x:c>
      <x:c r="B15" s="30" t="n">
        <x:v>447.059</x:v>
      </x:c>
      <x:c r="C15" s="30" t="n">
        <x:v>1202.685</x:v>
      </x:c>
      <x:c r="D15" s="30" t="n">
        <x:f>D7+D8+D9</x:f>
        <x:v>8566.056999999999</x:v>
      </x:c>
      <x:c r="E15" s="44" t="str">
        <x:v>现金+抵押+受限</x:v>
      </x:c>
      <x:c r="F15" s="2"/>
      <x:c r="G15" s="2"/>
      <x:c r="H15" s="2"/>
      <x:c r="I15" s="2"/>
      <x:c r="J15" s="2"/>
    </x:row>
    <x:row r="16">
      <x:c r="A16" s="34" t="str">
        <x:v>研究口径净现金</x:v>
      </x:c>
      <x:c r="B16" s="30" t="n">
        <x:v>117.059</x:v>
      </x:c>
      <x:c r="C16" s="30" t="n">
        <x:v>-517.066</x:v>
      </x:c>
      <x:c r="D16" s="30" t="n">
        <x:f>D15-D14</x:f>
        <x:v>5446.221999999999</x:v>
      </x:c>
      <x:c r="E16" s="44" t="str">
        <x:v>现金合计-总借款</x:v>
      </x:c>
      <x:c r="F16" s="2"/>
      <x:c r="G16" s="2"/>
      <x:c r="H16" s="2"/>
      <x:c r="I16" s="2"/>
      <x:c r="J16" s="2"/>
    </x:row>
    <x:row r="17">
      <x:c r="A17" s="34" t="str">
        <x:v>流动比率</x:v>
      </x:c>
      <x:c r="B17" s="47" t="n">
        <x:v>1.2684</x:v>
      </x:c>
      <x:c r="C17" s="47" t="n">
        <x:v>1.494</x:v>
      </x:c>
      <x:c r="D17" s="47" t="n">
        <x:f>D10/D11</x:f>
        <x:v>1.968893914048544</x:v>
      </x:c>
      <x:c r="E17" s="44" t="str">
        <x:v>流动资产/流动负债</x:v>
      </x:c>
      <x:c r="F17" s="2"/>
      <x:c r="G17" s="2"/>
      <x:c r="H17" s="2"/>
      <x:c r="I17" s="2"/>
      <x:c r="J17" s="2"/>
    </x:row>
    <x:row r="18">
      <x:c r="A18" s="34" t="str">
        <x:v>速动比率</x:v>
      </x:c>
      <x:c r="B18" s="47" t="n">
        <x:v>0.9691</x:v>
      </x:c>
      <x:c r="C18" s="47" t="n">
        <x:v>1.0341</x:v>
      </x:c>
      <x:c r="D18" s="47" t="n">
        <x:f>(D10-D5)/D11</x:f>
        <x:v>1.596500990668601</x:v>
      </x:c>
      <x:c r="E18" s="44" t="str">
        <x:v>扣存货后</x:v>
      </x:c>
      <x:c r="F18" s="2"/>
      <x:c r="G18" s="2"/>
      <x:c r="H18" s="2"/>
      <x:c r="I18" s="2"/>
      <x:c r="J18" s="2"/>
    </x:row>
    <x:row r="19">
      <x:c r="A19" s="34" t="str">
        <x:v>经营现金流/净利润</x:v>
      </x:c>
      <x:c r="B19" s="29" t="n">
        <x:v>-1.1427</x:v>
      </x:c>
      <x:c r="C19" s="29" t="n">
        <x:v>-0.0685</x:v>
      </x:c>
      <x:c r="D19" s="29" t="n">
        <x:f>Historical!F17/Historical!F9</x:f>
        <x:v>0.8131324531954771</x:v>
      </x:c>
      <x:c r="E19" s="44" t="str">
        <x:v>H1转化率</x:v>
      </x:c>
      <x:c r="F19" s="2"/>
      <x:c r="G19" s="2"/>
      <x:c r="H19" s="2"/>
      <x:c r="I19" s="2"/>
      <x:c r="J19" s="2"/>
    </x:row>
    <x:row r="20">
      <x:c r="A20" s="34" t="str">
        <x:v>应收减值</x:v>
      </x:c>
      <x:c r="B20" s="28" t="n">
        <x:v>14.351</x:v>
      </x:c>
      <x:c r="C20" s="28" t="n">
        <x:v>81.481</x:v>
      </x:c>
      <x:c r="D20" s="28" t="n">
        <x:v>73.649</x:v>
      </x:c>
      <x:c r="E20" s="44" t="str">
        <x:v>H1为金融资产减值</x:v>
      </x:c>
      <x:c r="F20" s="2"/>
      <x:c r="G20" s="2"/>
      <x:c r="H20" s="2"/>
      <x:c r="I20" s="2"/>
      <x:c r="J20" s="2"/>
    </x:row>
    <x:row r="21">
      <x:c r="A21" s="34" t="str">
        <x:v>预计负债</x:v>
      </x:c>
      <x:c r="B21" s="28" t="n">
        <x:v>96.565</x:v>
      </x:c>
      <x:c r="C21" s="28" t="n">
        <x:v>263.584</x:v>
      </x:c>
      <x:c r="D21" s="28" t="n">
        <x:v>450.314</x:v>
      </x:c>
      <x:c r="E21" s="44" t="str">
        <x:v>流动+非流动</x:v>
      </x:c>
      <x:c r="F21" s="2"/>
      <x:c r="G21" s="2"/>
      <x:c r="H21" s="2"/>
      <x:c r="I21" s="2"/>
      <x:c r="J21" s="2"/>
    </x:row>
    <x:row r="22">
      <x:c r="A22" s="38" t="str">
        <x:v>员工人数</x:v>
      </x:c>
      <x:c r="B22" s="43"/>
      <x:c r="C22" s="43" t="n">
        <x:v>1597</x:v>
      </x:c>
      <x:c r="D22" s="43" t="n">
        <x:v>2550</x:v>
      </x:c>
      <x:c r="E22" s="46" t="str">
        <x:v>半年增加59.7%</x:v>
      </x:c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估值假设（蓝色字体、黄色底为输入）</x:v>
      </x:c>
      <x:c r="B2" s="3" t="str">
        <x:v>估值假设（蓝色字体、黄色底为输入）</x:v>
      </x:c>
      <x:c r="C2" s="3" t="str">
        <x:v>估值假设（蓝色字体、黄色底为输入）</x:v>
      </x:c>
      <x:c r="D2" s="3" t="str">
        <x:v>估值假设（蓝色字体、黄色底为输入）</x:v>
      </x:c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1" t="str">
        <x:v>当前价格</x:v>
      </x:c>
      <x:c r="B4" s="61" t="n">
        <x:v>310.2</x:v>
      </x:c>
      <x:c r="C4" s="32" t="str">
        <x:v>HKD/股</x:v>
      </x:c>
      <x:c r="D4" s="33" t="str">
        <x:v>2026-09-11收盘</x:v>
      </x:c>
      <x:c r="E4" s="2"/>
      <x:c r="F4" s="2"/>
      <x:c r="G4" s="2"/>
      <x:c r="H4" s="2"/>
      <x:c r="I4" s="2"/>
      <x:c r="J4" s="2"/>
    </x:row>
    <x:row r="5">
      <x:c r="A5" s="34" t="str">
        <x:v>发行股数</x:v>
      </x:c>
      <x:c r="B5" s="53" t="n">
        <x:v>248.83293</x:v>
      </x:c>
      <x:c r="C5" s="2" t="str">
        <x:v>百万股</x:v>
      </x:c>
      <x:c r="D5" s="44" t="str">
        <x:v>2026-08-31</x:v>
      </x:c>
      <x:c r="E5" s="2"/>
      <x:c r="F5" s="2"/>
      <x:c r="G5" s="2"/>
      <x:c r="H5" s="2"/>
      <x:c r="I5" s="2"/>
      <x:c r="J5" s="2"/>
    </x:row>
    <x:row r="6">
      <x:c r="A6" s="34" t="str">
        <x:v>人民币/港元</x:v>
      </x:c>
      <x:c r="B6" s="54" t="n">
        <x:v>1.1693</x:v>
      </x:c>
      <x:c r="C6" s="2" t="str">
        <x:v>HKD/RMB</x:v>
      </x:c>
      <x:c r="D6" s="44" t="str">
        <x:v>2026-09-11</x:v>
      </x:c>
      <x:c r="E6" s="2"/>
      <x:c r="F6" s="2"/>
      <x:c r="G6" s="2"/>
      <x:c r="H6" s="2"/>
      <x:c r="I6" s="2"/>
      <x:c r="J6" s="2"/>
    </x:row>
    <x:row r="7">
      <x:c r="A7" s="34" t="str">
        <x:v>Bear 2027收入</x:v>
      </x:c>
      <x:c r="B7" s="55" t="n">
        <x:v>20000</x:v>
      </x:c>
      <x:c r="C7" s="2" t="str">
        <x:v>RMB m</x:v>
      </x:c>
      <x:c r="D7" s="44" t="str">
        <x:v>分析假设</x:v>
      </x:c>
      <x:c r="E7" s="2"/>
      <x:c r="F7" s="2"/>
      <x:c r="G7" s="2"/>
      <x:c r="H7" s="2"/>
      <x:c r="I7" s="2"/>
      <x:c r="J7" s="2"/>
    </x:row>
    <x:row r="8">
      <x:c r="A8" s="34" t="str">
        <x:v>Base 2027收入</x:v>
      </x:c>
      <x:c r="B8" s="55" t="n">
        <x:v>27000</x:v>
      </x:c>
      <x:c r="C8" s="2" t="str">
        <x:v>RMB m</x:v>
      </x:c>
      <x:c r="D8" s="44" t="str">
        <x:v>分析假设</x:v>
      </x:c>
      <x:c r="E8" s="2"/>
      <x:c r="F8" s="2"/>
      <x:c r="G8" s="2"/>
      <x:c r="H8" s="2"/>
      <x:c r="I8" s="2"/>
      <x:c r="J8" s="2"/>
    </x:row>
    <x:row r="9">
      <x:c r="A9" s="34" t="str">
        <x:v>Bull 2027收入</x:v>
      </x:c>
      <x:c r="B9" s="55" t="n">
        <x:v>35000</x:v>
      </x:c>
      <x:c r="C9" s="2" t="str">
        <x:v>RMB m</x:v>
      </x:c>
      <x:c r="D9" s="44" t="str">
        <x:v>分析假设</x:v>
      </x:c>
      <x:c r="E9" s="2"/>
      <x:c r="F9" s="2"/>
      <x:c r="G9" s="2"/>
      <x:c r="H9" s="2"/>
      <x:c r="I9" s="2"/>
      <x:c r="J9" s="2"/>
    </x:row>
    <x:row r="10">
      <x:c r="A10" s="34" t="str">
        <x:v>Bear调整净利率</x:v>
      </x:c>
      <x:c r="B10" s="56" t="n">
        <x:v>0.15</x:v>
      </x:c>
      <x:c r="C10" s="2" t="str">
        <x:v>%</x:v>
      </x:c>
      <x:c r="D10" s="44" t="str">
        <x:v>渠道与毛利恶化</x:v>
      </x:c>
      <x:c r="E10" s="2"/>
      <x:c r="F10" s="2"/>
      <x:c r="G10" s="2"/>
      <x:c r="H10" s="2"/>
      <x:c r="I10" s="2"/>
      <x:c r="J10" s="2"/>
    </x:row>
    <x:row r="11">
      <x:c r="A11" s="34" t="str">
        <x:v>Base调整净利率</x:v>
      </x:c>
      <x:c r="B11" s="56" t="n">
        <x:v>0.2</x:v>
      </x:c>
      <x:c r="C11" s="2" t="str">
        <x:v>%</x:v>
      </x:c>
      <x:c r="D11" s="44" t="str">
        <x:v>较H1回落</x:v>
      </x:c>
      <x:c r="E11" s="2"/>
      <x:c r="F11" s="2"/>
      <x:c r="G11" s="2"/>
      <x:c r="H11" s="2"/>
      <x:c r="I11" s="2"/>
      <x:c r="J11" s="2"/>
    </x:row>
    <x:row r="12">
      <x:c r="A12" s="34" t="str">
        <x:v>Bull调整净利率</x:v>
      </x:c>
      <x:c r="B12" s="56" t="n">
        <x:v>0.23</x:v>
      </x:c>
      <x:c r="C12" s="2" t="str">
        <x:v>%</x:v>
      </x:c>
      <x:c r="D12" s="44" t="str">
        <x:v>规模与产品优势</x:v>
      </x:c>
      <x:c r="E12" s="2"/>
      <x:c r="F12" s="2"/>
      <x:c r="G12" s="2"/>
      <x:c r="H12" s="2"/>
      <x:c r="I12" s="2"/>
      <x:c r="J12" s="2"/>
    </x:row>
    <x:row r="13">
      <x:c r="A13" s="34" t="str">
        <x:v>Bear P/E</x:v>
      </x:c>
      <x:c r="B13" s="57" t="n">
        <x:v>12</x:v>
      </x:c>
      <x:c r="C13" s="2" t="str">
        <x:v>倍</x:v>
      </x:c>
      <x:c r="D13" s="44" t="str">
        <x:v>硬件制造折价</x:v>
      </x:c>
      <x:c r="E13" s="2"/>
      <x:c r="F13" s="2"/>
      <x:c r="G13" s="2"/>
      <x:c r="H13" s="2"/>
      <x:c r="I13" s="2"/>
      <x:c r="J13" s="2"/>
    </x:row>
    <x:row r="14">
      <x:c r="A14" s="34" t="str">
        <x:v>Base P/E</x:v>
      </x:c>
      <x:c r="B14" s="57" t="n">
        <x:v>17</x:v>
      </x:c>
      <x:c r="C14" s="2" t="str">
        <x:v>倍</x:v>
      </x:c>
      <x:c r="D14" s="44" t="str">
        <x:v>成长与风险并存</x:v>
      </x:c>
      <x:c r="E14" s="2"/>
      <x:c r="F14" s="2"/>
      <x:c r="G14" s="2"/>
      <x:c r="H14" s="2"/>
      <x:c r="I14" s="2"/>
      <x:c r="J14" s="2"/>
    </x:row>
    <x:row r="15">
      <x:c r="A15" s="34" t="str">
        <x:v>Bull P/E</x:v>
      </x:c>
      <x:c r="B15" s="57" t="n">
        <x:v>22</x:v>
      </x:c>
      <x:c r="C15" s="2" t="str">
        <x:v>倍</x:v>
      </x:c>
      <x:c r="D15" s="44" t="str">
        <x:v>高成长延续</x:v>
      </x:c>
      <x:c r="E15" s="2"/>
      <x:c r="F15" s="2"/>
      <x:c r="G15" s="2"/>
      <x:c r="H15" s="2"/>
      <x:c r="I15" s="2"/>
      <x:c r="J15" s="2"/>
    </x:row>
    <x:row r="16">
      <x:c r="A16" s="34" t="str">
        <x:v>Bear概率</x:v>
      </x:c>
      <x:c r="B16" s="56" t="n">
        <x:v>0.3</x:v>
      </x:c>
      <x:c r="C16" s="2" t="str">
        <x:v>%</x:v>
      </x:c>
      <x:c r="D16" s="44" t="str">
        <x:v>主观情景权重</x:v>
      </x:c>
      <x:c r="E16" s="2"/>
      <x:c r="F16" s="2"/>
      <x:c r="G16" s="2"/>
      <x:c r="H16" s="2"/>
      <x:c r="I16" s="2"/>
      <x:c r="J16" s="2"/>
    </x:row>
    <x:row r="17">
      <x:c r="A17" s="34" t="str">
        <x:v>Base概率</x:v>
      </x:c>
      <x:c r="B17" s="56" t="n">
        <x:v>0.5</x:v>
      </x:c>
      <x:c r="C17" s="2" t="str">
        <x:v>%</x:v>
      </x:c>
      <x:c r="D17" s="44" t="str">
        <x:v>主观情景权重</x:v>
      </x:c>
      <x:c r="E17" s="2"/>
      <x:c r="F17" s="2"/>
      <x:c r="G17" s="2"/>
      <x:c r="H17" s="2"/>
      <x:c r="I17" s="2"/>
      <x:c r="J17" s="2"/>
    </x:row>
    <x:row r="18">
      <x:c r="A18" s="38" t="str">
        <x:v>Bull概率</x:v>
      </x:c>
      <x:c r="B18" s="62" t="n">
        <x:v>0.2</x:v>
      </x:c>
      <x:c r="C18" s="45" t="str">
        <x:v>%</x:v>
      </x:c>
      <x:c r="D18" s="46" t="str">
        <x:v>主观情景权重</x:v>
      </x:c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60" t="str">
        <x:v>说明：估值直接以2027年调整净利润乘P/E，不另加IPO净现金，以避免重复计入资产负债表优势；汇率固定在价格基准日，仅用于统一折算。情景是假设，不是公司指引。</x:v>
      </x:c>
      <x:c r="B20" s="60" t="str">
        <x:v>说明：估值直接以2027年调整净利润乘P/E，不另加IPO净现金，以避免重复计入资产负债表优势；汇率固定在价格基准日，仅用于统一折算。情景是假设，不是公司指引。</x:v>
      </x:c>
      <x:c r="C20" s="60" t="str">
        <x:v>说明：估值直接以2027年调整净利润乘P/E，不另加IPO净现金，以避免重复计入资产负债表优势；汇率固定在价格基准日，仅用于统一折算。情景是假设，不是公司指引。</x:v>
      </x:c>
      <x:c r="D20" s="60" t="str">
        <x:v>说明：估值直接以2027年调整净利润乘P/E，不另加IPO净现金，以避免重复计入资产负债表优势；汇率固定在价格基准日，仅用于统一折算。情景是假设，不是公司指引。</x:v>
      </x:c>
      <x:c r="E20" s="2"/>
      <x:c r="F20" s="2"/>
      <x:c r="G20" s="2"/>
      <x:c r="H20" s="2"/>
      <x:c r="I20" s="2"/>
      <x:c r="J20" s="2"/>
    </x:row>
    <x:row r="21">
      <x:c r="A21" s="60" t="str">
        <x:v>说明：估值直接以2027年调整净利润乘P/E，不另加IPO净现金，以避免重复计入资产负债表优势；汇率固定在价格基准日，仅用于统一折算。情景是假设，不是公司指引。</x:v>
      </x:c>
      <x:c r="B21" s="60" t="str">
        <x:v>说明：估值直接以2027年调整净利润乘P/E，不另加IPO净现金，以避免重复计入资产负债表优势；汇率固定在价格基准日，仅用于统一折算。情景是假设，不是公司指引。</x:v>
      </x:c>
      <x:c r="C21" s="60" t="str">
        <x:v>说明：估值直接以2027年调整净利润乘P/E，不另加IPO净现金，以避免重复计入资产负债表优势；汇率固定在价格基准日，仅用于统一折算。情景是假设，不是公司指引。</x:v>
      </x:c>
      <x:c r="D21" s="60" t="str">
        <x:v>说明：估值直接以2027年调整净利润乘P/E，不另加IPO净现金，以避免重复计入资产负债表优势；汇率固定在价格基准日，仅用于统一折算。情景是假设，不是公司指引。</x:v>
      </x:c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2:D2"/>
    <x:mergeCell ref="A20:D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2026运行率与2027情景预测</x:v>
      </x:c>
      <x:c r="B2" s="3" t="str">
        <x:v>2026运行率与2027情景预测</x:v>
      </x:c>
      <x:c r="C2" s="3" t="str">
        <x:v>2026运行率与2027情景预测</x:v>
      </x:c>
      <x:c r="D2" s="3" t="str">
        <x:v>2026运行率与2027情景预测</x:v>
      </x:c>
      <x:c r="E2" s="3" t="str">
        <x:v>2026运行率与2027情景预测</x:v>
      </x:c>
      <x:c r="F2" s="3" t="str">
        <x:v>2026运行率与2027情景预测</x:v>
      </x:c>
      <x:c r="G2" s="3" t="str">
        <x:v>2026运行率与2027情景预测</x:v>
      </x:c>
      <x:c r="H2" s="3" t="str">
        <x:v>2026运行率与2027情景预测</x:v>
      </x:c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1" t="str">
        <x:v>指标</x:v>
      </x:c>
      <x:c r="B4" s="32" t="str">
        <x:v>2025A</x:v>
      </x:c>
      <x:c r="C4" s="32" t="str">
        <x:v>2026H1</x:v>
      </x:c>
      <x:c r="D4" s="32" t="str">
        <x:v>H1简单年化</x:v>
      </x:c>
      <x:c r="E4" s="32" t="str">
        <x:v>Bear 2027</x:v>
      </x:c>
      <x:c r="F4" s="32" t="str">
        <x:v>Base 2027</x:v>
      </x:c>
      <x:c r="G4" s="32" t="str">
        <x:v>Bull 2027</x:v>
      </x:c>
      <x:c r="H4" s="33" t="str">
        <x:v>说明</x:v>
      </x:c>
      <x:c r="I4" s="2"/>
      <x:c r="J4" s="2"/>
    </x:row>
    <x:row r="5">
      <x:c r="A5" s="34" t="str">
        <x:v>收入（RMB m）</x:v>
      </x:c>
      <x:c r="B5" s="28" t="n">
        <x:v>9000.512</x:v>
      </x:c>
      <x:c r="C5" s="28" t="n">
        <x:v>9873.625</x:v>
      </x:c>
      <x:c r="D5" s="17" t="n">
        <x:f>C5*2</x:f>
        <x:v>19747.25</x:v>
      </x:c>
      <x:c r="E5" s="17" t="n">
        <x:f>Assumptions!B7</x:f>
        <x:v>20000</x:v>
      </x:c>
      <x:c r="F5" s="17" t="n">
        <x:f>Assumptions!B8</x:f>
        <x:v>27000</x:v>
      </x:c>
      <x:c r="G5" s="17" t="n">
        <x:f>Assumptions!B9</x:f>
        <x:v>35000</x:v>
      </x:c>
      <x:c r="H5" s="44" t="str">
        <x:v>2027情景收入</x:v>
      </x:c>
      <x:c r="I5" s="2"/>
      <x:c r="J5" s="2"/>
    </x:row>
    <x:row r="6">
      <x:c r="A6" s="34" t="str">
        <x:v>收入增长</x:v>
      </x:c>
      <x:c r="B6" s="29" t="n">
        <x:v>5.7681</x:v>
      </x:c>
      <x:c r="C6" s="29" t="n">
        <x:v>2.6124</x:v>
      </x:c>
      <x:c r="D6" s="18" t="n">
        <x:f>D5/B5-1</x:f>
        <x:v>1.19401407386602</x:v>
      </x:c>
      <x:c r="E6" s="18" t="n">
        <x:f>E5/D5-1</x:f>
        <x:v>0.012799250528554573</x:v>
      </x:c>
      <x:c r="F6" s="18" t="n">
        <x:f>F5/D5-1</x:f>
        <x:v>0.36727898821354876</x:v>
      </x:c>
      <x:c r="G6" s="18" t="n">
        <x:f>G5/D5-1</x:f>
        <x:v>0.7723986884249705</x:v>
      </x:c>
      <x:c r="H6" s="44" t="str">
        <x:v>相对H1运行率</x:v>
      </x:c>
      <x:c r="I6" s="2"/>
      <x:c r="J6" s="2"/>
    </x:row>
    <x:row r="7">
      <x:c r="A7" s="34" t="str">
        <x:v>调整净利率</x:v>
      </x:c>
      <x:c r="B7" s="29" t="n">
        <x:v>0.3594</x:v>
      </x:c>
      <x:c r="C7" s="29" t="n">
        <x:v>0.2517</x:v>
      </x:c>
      <x:c r="D7" s="18" t="n">
        <x:f>C7</x:f>
        <x:v>0.2517</x:v>
      </x:c>
      <x:c r="E7" s="18" t="n">
        <x:f>Assumptions!B10</x:f>
        <x:v>0.15</x:v>
      </x:c>
      <x:c r="F7" s="18" t="n">
        <x:f>Assumptions!B11</x:f>
        <x:v>0.2</x:v>
      </x:c>
      <x:c r="G7" s="18" t="n">
        <x:f>Assumptions!B12</x:f>
        <x:v>0.23</x:v>
      </x:c>
      <x:c r="H7" s="44" t="str">
        <x:v>竞争与投入后利润率</x:v>
      </x:c>
      <x:c r="I7" s="2"/>
      <x:c r="J7" s="2"/>
    </x:row>
    <x:row r="8">
      <x:c r="A8" s="34" t="str">
        <x:v>调整净利润（RMB m）</x:v>
      </x:c>
      <x:c r="B8" s="28" t="n">
        <x:v>3234.932</x:v>
      </x:c>
      <x:c r="C8" s="28" t="n">
        <x:v>2485.349</x:v>
      </x:c>
      <x:c r="D8" s="17" t="n">
        <x:f>C8*2</x:f>
        <x:v>4970.698</x:v>
      </x:c>
      <x:c r="E8" s="17" t="n">
        <x:f>E5*E7</x:f>
        <x:v>3000</x:v>
      </x:c>
      <x:c r="F8" s="17" t="n">
        <x:f>F5*F7</x:f>
        <x:v>5400</x:v>
      </x:c>
      <x:c r="G8" s="17" t="n">
        <x:f>G5*G7</x:f>
        <x:v>8050</x:v>
      </x:c>
      <x:c r="H8" s="44" t="str">
        <x:v>收入×净利率</x:v>
      </x:c>
      <x:c r="I8" s="2"/>
      <x:c r="J8" s="2"/>
    </x:row>
    <x:row r="9">
      <x:c r="A9" s="34" t="str">
        <x:v>P/E</x:v>
      </x:c>
      <x:c r="B9" s="63"/>
      <x:c r="C9" s="63"/>
      <x:c r="D9" s="63"/>
      <x:c r="E9" s="19" t="n">
        <x:f>Assumptions!B13</x:f>
        <x:v>12</x:v>
      </x:c>
      <x:c r="F9" s="19" t="n">
        <x:f>Assumptions!B14</x:f>
        <x:v>17</x:v>
      </x:c>
      <x:c r="G9" s="19" t="n">
        <x:f>Assumptions!B15</x:f>
        <x:v>22</x:v>
      </x:c>
      <x:c r="H9" s="44" t="str">
        <x:v>情景倍数</x:v>
      </x:c>
      <x:c r="I9" s="2"/>
      <x:c r="J9" s="2"/>
    </x:row>
    <x:row r="10">
      <x:c r="A10" s="34" t="str">
        <x:v>股权价值（RMB m）</x:v>
      </x:c>
      <x:c r="B10" s="28"/>
      <x:c r="C10" s="28"/>
      <x:c r="D10" s="28"/>
      <x:c r="E10" s="17" t="n">
        <x:f>E8*E9</x:f>
        <x:v>36000</x:v>
      </x:c>
      <x:c r="F10" s="17" t="n">
        <x:f>F8*F9</x:f>
        <x:v>91800</x:v>
      </x:c>
      <x:c r="G10" s="17" t="n">
        <x:f>G8*G9</x:f>
        <x:v>177100</x:v>
      </x:c>
      <x:c r="H10" s="44" t="str">
        <x:v>利润×P/E</x:v>
      </x:c>
      <x:c r="I10" s="2"/>
      <x:c r="J10" s="2"/>
    </x:row>
    <x:row r="11">
      <x:c r="A11" s="38" t="str">
        <x:v>每股价值（HKD）</x:v>
      </x:c>
      <x:c r="B11" s="64"/>
      <x:c r="C11" s="64"/>
      <x:c r="D11" s="64"/>
      <x:c r="E11" s="65" t="n">
        <x:f>E10/Assumptions!B5*Assumptions!B6</x:f>
        <x:v>169.16892792284364</x:v>
      </x:c>
      <x:c r="F11" s="65" t="n">
        <x:f>F10/Assumptions!B5*Assumptions!B6</x:f>
        <x:v>431.3807662032513</x:v>
      </x:c>
      <x:c r="G11" s="65" t="n">
        <x:f>G10/Assumptions!B5*Assumptions!B6</x:f>
        <x:v>832.2171426426557</x:v>
      </x:c>
      <x:c r="H11" s="46" t="str">
        <x:v>按股本与汇率折算</x:v>
      </x:c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市场隐含估值与情景价值</x:v>
      </x:c>
      <x:c r="B2" s="3" t="str">
        <x:v>市场隐含估值与情景价值</x:v>
      </x:c>
      <x:c r="C2" s="3" t="str">
        <x:v>市场隐含估值与情景价值</x:v>
      </x:c>
      <x:c r="D2" s="3" t="str">
        <x:v>市场隐含估值与情景价值</x:v>
      </x:c>
      <x:c r="E2" s="3" t="str">
        <x:v>市场隐含估值与情景价值</x:v>
      </x:c>
      <x:c r="F2" s="3" t="str">
        <x:v>市场隐含估值与情景价值</x:v>
      </x:c>
      <x:c r="G2" s="3" t="str">
        <x:v>市场隐含估值与情景价值</x:v>
      </x:c>
      <x:c r="H2" s="3" t="str">
        <x:v>市场隐含估值与情景价值</x:v>
      </x:c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1" t="str">
        <x:v>当前估值</x:v>
      </x:c>
      <x:c r="B4" s="32" t="str">
        <x:v>数值</x:v>
      </x:c>
      <x:c r="C4" s="33" t="str">
        <x:v>说明</x:v>
      </x:c>
      <x:c r="D4" s="2"/>
      <x:c r="E4" s="2"/>
      <x:c r="F4" s="2"/>
      <x:c r="G4" s="2"/>
      <x:c r="H4" s="2"/>
      <x:c r="I4" s="2"/>
      <x:c r="J4" s="2"/>
    </x:row>
    <x:row r="5">
      <x:c r="A5" s="34" t="str">
        <x:v>当前价格（HKD）</x:v>
      </x:c>
      <x:c r="B5" s="4" t="n">
        <x:f>Assumptions!B4</x:f>
        <x:v>310.2</x:v>
      </x:c>
      <x:c r="C5" s="44" t="str">
        <x:v>2026-09-11收盘</x:v>
      </x:c>
      <x:c r="D5" s="2"/>
      <x:c r="E5" s="2"/>
      <x:c r="F5" s="2"/>
      <x:c r="G5" s="2"/>
      <x:c r="H5" s="2"/>
      <x:c r="I5" s="2"/>
      <x:c r="J5" s="2"/>
    </x:row>
    <x:row r="6">
      <x:c r="A6" s="34" t="str">
        <x:v>发行股数（m）</x:v>
      </x:c>
      <x:c r="B6" s="4" t="n">
        <x:f>Assumptions!B5</x:f>
        <x:v>248.83293</x:v>
      </x:c>
      <x:c r="C6" s="44" t="str">
        <x:v>2026-08-31</x:v>
      </x:c>
      <x:c r="D6" s="2"/>
      <x:c r="E6" s="2"/>
      <x:c r="F6" s="2"/>
      <x:c r="G6" s="2"/>
      <x:c r="H6" s="2"/>
      <x:c r="I6" s="2"/>
      <x:c r="J6" s="2"/>
    </x:row>
    <x:row r="7">
      <x:c r="A7" s="34" t="str">
        <x:v>市值（HKD m）</x:v>
      </x:c>
      <x:c r="B7" s="28" t="n">
        <x:f>B5*B6</x:f>
        <x:v>77187.974886</x:v>
      </x:c>
      <x:c r="C7" s="44" t="str">
        <x:v>价格×股本</x:v>
      </x:c>
      <x:c r="D7" s="2"/>
      <x:c r="E7" s="2"/>
      <x:c r="F7" s="2"/>
      <x:c r="G7" s="2"/>
      <x:c r="H7" s="2"/>
      <x:c r="I7" s="2"/>
      <x:c r="J7" s="2"/>
    </x:row>
    <x:row r="8">
      <x:c r="A8" s="34" t="str">
        <x:v>人民币/港元</x:v>
      </x:c>
      <x:c r="B8" s="66" t="n">
        <x:f>Assumptions!B6</x:f>
        <x:v>1.1693</x:v>
      </x:c>
      <x:c r="C8" s="44" t="str">
        <x:v>价格日汇率</x:v>
      </x:c>
      <x:c r="D8" s="2"/>
      <x:c r="E8" s="2"/>
      <x:c r="F8" s="2"/>
      <x:c r="G8" s="2"/>
      <x:c r="H8" s="2"/>
      <x:c r="I8" s="2"/>
      <x:c r="J8" s="2"/>
    </x:row>
    <x:row r="9">
      <x:c r="A9" s="34" t="str">
        <x:v>市值（RMB m）</x:v>
      </x:c>
      <x:c r="B9" s="28" t="n">
        <x:f>B7/B8</x:f>
        <x:v>66012.12253998118</x:v>
      </x:c>
      <x:c r="C9" s="44" t="str">
        <x:v>港元市值/汇率</x:v>
      </x:c>
      <x:c r="D9" s="2"/>
      <x:c r="E9" s="2"/>
      <x:c r="F9" s="2"/>
      <x:c r="G9" s="2"/>
      <x:c r="H9" s="2"/>
      <x:c r="I9" s="2"/>
      <x:c r="J9" s="2"/>
    </x:row>
    <x:row r="10">
      <x:c r="A10" s="34" t="str">
        <x:v>H1调整净利润（RMB m）</x:v>
      </x:c>
      <x:c r="B10" s="28" t="n">
        <x:f>Historical!F10</x:f>
        <x:v>2485.349</x:v>
      </x:c>
      <x:c r="C10" s="44" t="str">
        <x:v>公司调整口径</x:v>
      </x:c>
      <x:c r="D10" s="2"/>
      <x:c r="E10" s="2"/>
      <x:c r="F10" s="2"/>
      <x:c r="G10" s="2"/>
      <x:c r="H10" s="2"/>
      <x:c r="I10" s="2"/>
      <x:c r="J10" s="2"/>
    </x:row>
    <x:row r="11">
      <x:c r="A11" s="34" t="str">
        <x:v>H1调整净利率</x:v>
      </x:c>
      <x:c r="B11" s="29" t="n">
        <x:f>Historical!F11</x:f>
        <x:v>0.2517</x:v>
      </x:c>
      <x:c r="C11" s="44" t="str">
        <x:v>调整利润/收入</x:v>
      </x:c>
      <x:c r="D11" s="2"/>
      <x:c r="E11" s="2"/>
      <x:c r="F11" s="2"/>
      <x:c r="G11" s="2"/>
      <x:c r="H11" s="2"/>
      <x:c r="I11" s="2"/>
      <x:c r="J11" s="2"/>
    </x:row>
    <x:row r="12">
      <x:c r="A12" s="34" t="str">
        <x:v>年化调整净利润（RMB m）</x:v>
      </x:c>
      <x:c r="B12" s="28" t="n">
        <x:f>B10*2</x:f>
        <x:v>4970.698</x:v>
      </x:c>
      <x:c r="C12" s="44" t="str">
        <x:v>仅作隐含估值观察</x:v>
      </x:c>
      <x:c r="D12" s="2"/>
      <x:c r="E12" s="2"/>
      <x:c r="F12" s="2"/>
      <x:c r="G12" s="2"/>
      <x:c r="H12" s="2"/>
      <x:c r="I12" s="2"/>
      <x:c r="J12" s="2"/>
    </x:row>
    <x:row r="13">
      <x:c r="A13" s="34" t="str">
        <x:v>年化调整P/E</x:v>
      </x:c>
      <x:c r="B13" s="63" t="n">
        <x:f>B9/B12</x:f>
        <x:v>13.280252097387766</x:v>
      </x:c>
      <x:c r="C13" s="44" t="str">
        <x:v>不作为正式预测</x:v>
      </x:c>
      <x:c r="D13" s="2"/>
      <x:c r="E13" s="2"/>
      <x:c r="F13" s="2"/>
      <x:c r="G13" s="2"/>
      <x:c r="H13" s="2"/>
      <x:c r="I13" s="2"/>
      <x:c r="J13" s="2"/>
    </x:row>
    <x:row r="14">
      <x:c r="A14" s="38" t="str">
        <x:v>EV/年化调整净利润</x:v>
      </x:c>
      <x:c r="B14" s="67" t="n">
        <x:f>(B9-'Balance &amp; Cash'!D16)/B12</x:f>
        <x:v>12.184586659656485</x:v>
      </x:c>
      <x:c r="C14" s="46" t="str">
        <x:v>净现金扣除后的近似</x:v>
      </x:c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31" t="str">
        <x:v>情景</x:v>
      </x:c>
      <x:c r="B17" s="32" t="str">
        <x:v>2027收入</x:v>
      </x:c>
      <x:c r="C17" s="32" t="str">
        <x:v>调整净利率</x:v>
      </x:c>
      <x:c r="D17" s="32" t="str">
        <x:v>调整净利润</x:v>
      </x:c>
      <x:c r="E17" s="32" t="str">
        <x:v>P/E</x:v>
      </x:c>
      <x:c r="F17" s="32" t="str">
        <x:v>每股价值</x:v>
      </x:c>
      <x:c r="G17" s="32" t="str">
        <x:v>相对现价</x:v>
      </x:c>
      <x:c r="H17" s="33" t="str">
        <x:v>核心解释</x:v>
      </x:c>
      <x:c r="I17" s="2"/>
      <x:c r="J17" s="2"/>
    </x:row>
    <x:row r="18">
      <x:c r="A18" s="34"/>
      <x:c r="B18" s="2"/>
      <x:c r="C18" s="2"/>
      <x:c r="D18" s="2"/>
      <x:c r="E18" s="2"/>
      <x:c r="F18" s="2"/>
      <x:c r="G18" s="2"/>
      <x:c r="H18" s="44"/>
      <x:c r="I18" s="2"/>
      <x:c r="J18" s="2"/>
    </x:row>
    <x:row r="19">
      <x:c r="A19" s="34" t="str">
        <x:v>Bear</x:v>
      </x:c>
      <x:c r="B19" s="41" t="n">
        <x:f>Forecast!E5</x:f>
        <x:v>20000</x:v>
      </x:c>
      <x:c r="C19" s="29" t="n">
        <x:f>Forecast!E7</x:f>
        <x:v>0.15</x:v>
      </x:c>
      <x:c r="D19" s="28" t="n">
        <x:f>Forecast!E8</x:f>
        <x:v>3000</x:v>
      </x:c>
      <x:c r="E19" s="63" t="n">
        <x:f>Forecast!E9</x:f>
        <x:v>12</x:v>
      </x:c>
      <x:c r="F19" s="42" t="n">
        <x:f>Forecast!E11</x:f>
        <x:v>169.16892792284364</x:v>
      </x:c>
      <x:c r="G19" s="29" t="n">
        <x:f>F19/$B$5-1</x:f>
        <x:v>-0.45464562242797024</x:v>
      </x:c>
      <x:c r="H19" s="44" t="str">
        <x:v>补贴与渠道退潮、毛利显著下行</x:v>
      </x:c>
      <x:c r="I19" s="2"/>
      <x:c r="J19" s="2"/>
    </x:row>
    <x:row r="20">
      <x:c r="A20" s="34" t="str">
        <x:v>Base</x:v>
      </x:c>
      <x:c r="B20" s="41" t="n">
        <x:f>Forecast!F5</x:f>
        <x:v>27000</x:v>
      </x:c>
      <x:c r="C20" s="29" t="n">
        <x:f>Forecast!F7</x:f>
        <x:v>0.2</x:v>
      </x:c>
      <x:c r="D20" s="28" t="n">
        <x:f>Forecast!F8</x:f>
        <x:v>5400</x:v>
      </x:c>
      <x:c r="E20" s="63" t="n">
        <x:f>Forecast!F9</x:f>
        <x:v>17</x:v>
      </x:c>
      <x:c r="F20" s="42" t="n">
        <x:f>Forecast!F11</x:f>
        <x:v>431.3807662032513</x:v>
      </x:c>
      <x:c r="G20" s="29" t="n">
        <x:f>F20/$B$5-1</x:f>
        <x:v>0.3906536628086761</x:v>
      </x:c>
      <x:c r="H20" s="44" t="str">
        <x:v>收入继续增长、净利率回落至20%</x:v>
      </x:c>
      <x:c r="I20" s="2"/>
      <x:c r="J20" s="2"/>
    </x:row>
    <x:row r="21">
      <x:c r="A21" s="38" t="str">
        <x:v>Bull</x:v>
      </x:c>
      <x:c r="B21" s="68" t="n">
        <x:f>Forecast!G5</x:f>
        <x:v>35000</x:v>
      </x:c>
      <x:c r="C21" s="39" t="n">
        <x:f>Forecast!G7</x:f>
        <x:v>0.23</x:v>
      </x:c>
      <x:c r="D21" s="43" t="n">
        <x:f>Forecast!G8</x:f>
        <x:v>8050</x:v>
      </x:c>
      <x:c r="E21" s="67" t="n">
        <x:f>Forecast!G9</x:f>
        <x:v>22</x:v>
      </x:c>
      <x:c r="F21" s="64" t="n">
        <x:f>Forecast!G11</x:f>
        <x:v>832.2171426426557</x:v>
      </x:c>
      <x:c r="G21" s="39" t="n">
        <x:f>F21/$B$5-1</x:f>
        <x:v>1.68284056300018</x:v>
      </x:c>
      <x:c r="H21" s="46" t="str">
        <x:v>跨区域放量、产品优势维持</x:v>
      </x:c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31" t="str">
        <x:v>概率汇总</x:v>
      </x:c>
      <x:c r="B24" s="32" t="str">
        <x:v>数值</x:v>
      </x:c>
      <x:c r="C24" s="33" t="str">
        <x:v>说明</x:v>
      </x:c>
      <x:c r="D24" s="2"/>
      <x:c r="E24" s="2"/>
      <x:c r="F24" s="2"/>
      <x:c r="G24" s="2"/>
      <x:c r="H24" s="2"/>
      <x:c r="I24" s="2"/>
      <x:c r="J24" s="2"/>
    </x:row>
    <x:row r="25">
      <x:c r="A25" s="34" t="str">
        <x:v>情景概率</x:v>
      </x:c>
      <x:c r="B25" s="2" t="str">
        <x:f>TEXT(Assumptions!B16,"0%")&amp;" / "&amp;TEXT(Assumptions!B17,"0%")&amp;" / "&amp;TEXT(Assumptions!B18,"0%")</x:f>
        <x:v>30% / 50% / 20%</x:v>
      </x:c>
      <x:c r="C25" s="44" t="str">
        <x:v>Bear/Base/Bull，分析权重</x:v>
      </x:c>
      <x:c r="D25" s="2"/>
      <x:c r="E25" s="2"/>
      <x:c r="F25" s="2"/>
      <x:c r="G25" s="2"/>
      <x:c r="H25" s="2"/>
      <x:c r="I25" s="2"/>
      <x:c r="J25" s="2"/>
    </x:row>
    <x:row r="26">
      <x:c r="A26" s="34" t="str">
        <x:v>概率加权价值</x:v>
      </x:c>
      <x:c r="B26" s="42" t="n">
        <x:f>F19*Assumptions!B16+F20*Assumptions!B17+F21*Assumptions!B18</x:f>
        <x:v>432.8844900070099</x:v>
      </x:c>
      <x:c r="C26" s="44" t="str">
        <x:v>不代表价格预测</x:v>
      </x:c>
      <x:c r="D26" s="2"/>
      <x:c r="E26" s="2"/>
      <x:c r="F26" s="2"/>
      <x:c r="G26" s="2"/>
      <x:c r="H26" s="2"/>
      <x:c r="I26" s="2"/>
      <x:c r="J26" s="2"/>
    </x:row>
    <x:row r="27">
      <x:c r="A27" s="38" t="str">
        <x:v>相对现价</x:v>
      </x:c>
      <x:c r="B27" s="39" t="n">
        <x:f>B26/B5-1</x:f>
        <x:v>0.39550125727598306</x:v>
      </x:c>
      <x:c r="C27" s="46" t="str">
        <x:v>仅作风险回报参考</x:v>
      </x:c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模型勾稽与合理性检查</x:v>
      </x:c>
      <x:c r="B2" s="3" t="str">
        <x:v>模型勾稽与合理性检查</x:v>
      </x:c>
      <x:c r="C2" s="3" t="str">
        <x:v>模型勾稽与合理性检查</x:v>
      </x:c>
      <x:c r="D2" s="3" t="str">
        <x:v>模型勾稽与合理性检查</x:v>
      </x:c>
      <x:c r="E2" s="3" t="str">
        <x:v>模型勾稽与合理性检查</x:v>
      </x:c>
      <x:c r="F2" s="3" t="str">
        <x:v>模型勾稽与合理性检查</x:v>
      </x:c>
      <x:c r="G2" s="3" t="str">
        <x:v>模型勾稽与合理性检查</x:v>
      </x:c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1" t="str">
        <x:v>检查项</x:v>
      </x:c>
      <x:c r="B4" s="32" t="str">
        <x:v>实际值</x:v>
      </x:c>
      <x:c r="C4" s="32" t="str">
        <x:v>预期值</x:v>
      </x:c>
      <x:c r="D4" s="32" t="str">
        <x:v>差异</x:v>
      </x:c>
      <x:c r="E4" s="32" t="str">
        <x:v>容差</x:v>
      </x:c>
      <x:c r="F4" s="32" t="str">
        <x:v>状态</x:v>
      </x:c>
      <x:c r="G4" s="33" t="str">
        <x:v>说明</x:v>
      </x:c>
      <x:c r="H4" s="2"/>
      <x:c r="I4" s="2"/>
      <x:c r="J4" s="2"/>
    </x:row>
    <x:row r="5">
      <x:c r="A5" s="34" t="str">
        <x:v>2026H1产品收入求和</x:v>
      </x:c>
      <x:c r="B5" s="69" t="n">
        <x:f>SUM('Products &amp; Geography'!F5:F7)</x:f>
        <x:v>9873.625000000002</x:v>
      </x:c>
      <x:c r="C5" s="69" t="n">
        <x:v>9873.625</x:v>
      </x:c>
      <x:c r="D5" s="69" t="n">
        <x:f>B5-C5</x:f>
        <x:v>1.8189894035458565e-12</x:v>
      </x:c>
      <x:c r="E5" s="69" t="n">
        <x:v>0.01</x:v>
      </x:c>
      <x:c r="F5" s="2" t="str">
        <x:f>IF(ABS(D5)&lt;=E5,"OK","检查")</x:f>
        <x:v>OK</x:v>
      </x:c>
      <x:c r="G5" s="44" t="str">
        <x:v>三类产品</x:v>
      </x:c>
      <x:c r="H5" s="2"/>
      <x:c r="I5" s="2"/>
      <x:c r="J5" s="2"/>
    </x:row>
    <x:row r="6">
      <x:c r="A6" s="34" t="str">
        <x:v>2026H1地区收入求和</x:v>
      </x:c>
      <x:c r="B6" s="69" t="n">
        <x:f>SUM('Products &amp; Geography'!E20:E24)</x:f>
        <x:v>9873.625</x:v>
      </x:c>
      <x:c r="C6" s="69" t="n">
        <x:v>9873.625</x:v>
      </x:c>
      <x:c r="D6" s="69" t="n">
        <x:f>B6-C6</x:f>
        <x:v>0</x:v>
      </x:c>
      <x:c r="E6" s="69" t="n">
        <x:v>0.01</x:v>
      </x:c>
      <x:c r="F6" s="2" t="str">
        <x:f>IF(ABS(D6)&lt;=E6,"OK","检查")</x:f>
        <x:v>OK</x:v>
      </x:c>
      <x:c r="G6" s="44" t="str">
        <x:v>五个地区</x:v>
      </x:c>
      <x:c r="H6" s="2"/>
      <x:c r="I6" s="2"/>
      <x:c r="J6" s="2"/>
    </x:row>
    <x:row r="7">
      <x:c r="A7" s="34" t="str">
        <x:v>2026H1毛利率</x:v>
      </x:c>
      <x:c r="B7" s="69" t="n">
        <x:f>Historical!F7/Historical!F5</x:f>
        <x:v>0.4050180151666688</x:v>
      </x:c>
      <x:c r="C7" s="69" t="n">
        <x:v>0.404997</x:v>
      </x:c>
      <x:c r="D7" s="69" t="n">
        <x:f>B7-C7</x:f>
        <x:v>0.000021015166668802987</x:v>
      </x:c>
      <x:c r="E7" s="69" t="n">
        <x:v>0.0001</x:v>
      </x:c>
      <x:c r="F7" s="2" t="str">
        <x:f>IF(ABS(D7)&lt;=E7,"OK","检查")</x:f>
        <x:v>OK</x:v>
      </x:c>
      <x:c r="G7" s="44" t="str">
        <x:v>毛利/收入</x:v>
      </x:c>
      <x:c r="H7" s="2"/>
      <x:c r="I7" s="2"/>
      <x:c r="J7" s="2"/>
    </x:row>
    <x:row r="8">
      <x:c r="A8" s="34" t="str">
        <x:v>H1末总借款</x:v>
      </x:c>
      <x:c r="B8" s="69" t="n">
        <x:f>'Balance &amp; Cash'!D12+'Balance &amp; Cash'!D13</x:f>
        <x:v>3119.835</x:v>
      </x:c>
      <x:c r="C8" s="69" t="n">
        <x:v>3119.835</x:v>
      </x:c>
      <x:c r="D8" s="69" t="n">
        <x:f>B8-C8</x:f>
        <x:v>0</x:v>
      </x:c>
      <x:c r="E8" s="69" t="n">
        <x:v>0.01</x:v>
      </x:c>
      <x:c r="F8" s="2" t="str">
        <x:f>IF(ABS(D8)&lt;=E8,"OK","检查")</x:f>
        <x:v>OK</x:v>
      </x:c>
      <x:c r="G8" s="44" t="str">
        <x:v>流动+非流动借款</x:v>
      </x:c>
      <x:c r="H8" s="2"/>
      <x:c r="I8" s="2"/>
      <x:c r="J8" s="2"/>
    </x:row>
    <x:row r="9">
      <x:c r="A9" s="34" t="str">
        <x:v>H1末现金合计</x:v>
      </x:c>
      <x:c r="B9" s="69" t="n">
        <x:f>'Balance &amp; Cash'!D7+'Balance &amp; Cash'!D8+'Balance &amp; Cash'!D9</x:f>
        <x:v>8566.056999999999</x:v>
      </x:c>
      <x:c r="C9" s="69" t="n">
        <x:v>8566.057</x:v>
      </x:c>
      <x:c r="D9" s="69" t="n">
        <x:f>B9-C9</x:f>
        <x:v>-1.8189894035458565e-12</x:v>
      </x:c>
      <x:c r="E9" s="69" t="n">
        <x:v>0.01</x:v>
      </x:c>
      <x:c r="F9" s="2" t="str">
        <x:f>IF(ABS(D9)&lt;=E9,"OK","检查")</x:f>
        <x:v>OK</x:v>
      </x:c>
      <x:c r="G9" s="44" t="str">
        <x:v>现金+抵押+受限</x:v>
      </x:c>
      <x:c r="H9" s="2"/>
      <x:c r="I9" s="2"/>
      <x:c r="J9" s="2"/>
    </x:row>
    <x:row r="10">
      <x:c r="A10" s="34" t="str">
        <x:v>H1末净现金</x:v>
      </x:c>
      <x:c r="B10" s="69" t="n">
        <x:f>'Balance &amp; Cash'!D16</x:f>
        <x:v>5446.221999999999</x:v>
      </x:c>
      <x:c r="C10" s="69" t="n">
        <x:v>5446.222</x:v>
      </x:c>
      <x:c r="D10" s="69" t="n">
        <x:f>B10-C10</x:f>
        <x:v>-9.094947017729282e-13</x:v>
      </x:c>
      <x:c r="E10" s="69" t="n">
        <x:v>0.01</x:v>
      </x:c>
      <x:c r="F10" s="2" t="str">
        <x:f>IF(ABS(D10)&lt;=E10,"OK","检查")</x:f>
        <x:v>OK</x:v>
      </x:c>
      <x:c r="G10" s="44" t="str">
        <x:v>现金合计-借款</x:v>
      </x:c>
      <x:c r="H10" s="2"/>
      <x:c r="I10" s="2"/>
      <x:c r="J10" s="2"/>
    </x:row>
    <x:row r="11">
      <x:c r="A11" s="34" t="str">
        <x:v>H1流动比率</x:v>
      </x:c>
      <x:c r="B11" s="69" t="n">
        <x:f>'Balance &amp; Cash'!D17</x:f>
        <x:v>1.968893914048544</x:v>
      </x:c>
      <x:c r="C11" s="69" t="n">
        <x:v>1.968894</x:v>
      </x:c>
      <x:c r="D11" s="69" t="n">
        <x:f>B11-C11</x:f>
        <x:v>-8.595145595258202e-8</x:v>
      </x:c>
      <x:c r="E11" s="69" t="n">
        <x:v>0.0001</x:v>
      </x:c>
      <x:c r="F11" s="2" t="str">
        <x:f>IF(ABS(D11)&lt;=E11,"OK","检查")</x:f>
        <x:v>OK</x:v>
      </x:c>
      <x:c r="G11" s="44" t="str">
        <x:v>流动资产/流动负债</x:v>
      </x:c>
      <x:c r="H11" s="2"/>
      <x:c r="I11" s="2"/>
      <x:c r="J11" s="2"/>
    </x:row>
    <x:row r="12">
      <x:c r="A12" s="34" t="str">
        <x:v>H1速动比率</x:v>
      </x:c>
      <x:c r="B12" s="69" t="n">
        <x:f>'Balance &amp; Cash'!D18</x:f>
        <x:v>1.596500990668601</x:v>
      </x:c>
      <x:c r="C12" s="69" t="n">
        <x:v>1.596501</x:v>
      </x:c>
      <x:c r="D12" s="69" t="n">
        <x:f>B12-C12</x:f>
        <x:v>-9.331398986844874e-9</x:v>
      </x:c>
      <x:c r="E12" s="69" t="n">
        <x:v>0.0001</x:v>
      </x:c>
      <x:c r="F12" s="2" t="str">
        <x:f>IF(ABS(D12)&lt;=E12,"OK","检查")</x:f>
        <x:v>OK</x:v>
      </x:c>
      <x:c r="G12" s="44" t="str">
        <x:v>扣存货</x:v>
      </x:c>
      <x:c r="H12" s="2"/>
      <x:c r="I12" s="2"/>
      <x:c r="J12" s="2"/>
    </x:row>
    <x:row r="13">
      <x:c r="A13" s="34" t="str">
        <x:v>当前人民币市值</x:v>
      </x:c>
      <x:c r="B13" s="69" t="n">
        <x:f>Valuation!B9</x:f>
        <x:v>66012.12253998118</x:v>
      </x:c>
      <x:c r="C13" s="69" t="n">
        <x:v>66012.123</x:v>
      </x:c>
      <x:c r="D13" s="69" t="n">
        <x:f>B13-C13</x:f>
        <x:v>-0.0004600188258336857</x:v>
      </x:c>
      <x:c r="E13" s="69" t="n">
        <x:v>0.1</x:v>
      </x:c>
      <x:c r="F13" s="2" t="str">
        <x:f>IF(ABS(D13)&lt;=E13,"OK","检查")</x:f>
        <x:v>OK</x:v>
      </x:c>
      <x:c r="G13" s="44" t="str">
        <x:v>港元市值/汇率</x:v>
      </x:c>
      <x:c r="H13" s="2"/>
      <x:c r="I13" s="2"/>
      <x:c r="J13" s="2"/>
    </x:row>
    <x:row r="14">
      <x:c r="A14" s="34" t="str">
        <x:v>当前年化调整P/E</x:v>
      </x:c>
      <x:c r="B14" s="69" t="n">
        <x:f>Valuation!B13</x:f>
        <x:v>13.280252097387766</x:v>
      </x:c>
      <x:c r="C14" s="69" t="n">
        <x:v>13.280252</x:v>
      </x:c>
      <x:c r="D14" s="69" t="n">
        <x:f>B14-C14</x:f>
        <x:v>9.738776540757499e-8</x:v>
      </x:c>
      <x:c r="E14" s="69" t="n">
        <x:v>0.0001</x:v>
      </x:c>
      <x:c r="F14" s="2" t="str">
        <x:f>IF(ABS(D14)&lt;=E14,"OK","检查")</x:f>
        <x:v>OK</x:v>
      </x:c>
      <x:c r="G14" s="44" t="str">
        <x:v>人民币市值/年化调整利润</x:v>
      </x:c>
      <x:c r="H14" s="2"/>
      <x:c r="I14" s="2"/>
      <x:c r="J14" s="2"/>
    </x:row>
    <x:row r="15">
      <x:c r="A15" s="34" t="str">
        <x:v>概率合计</x:v>
      </x:c>
      <x:c r="B15" s="69" t="n">
        <x:f>SUM(Assumptions!B16:B18)</x:f>
        <x:v>1</x:v>
      </x:c>
      <x:c r="C15" s="69" t="n">
        <x:v>1</x:v>
      </x:c>
      <x:c r="D15" s="69" t="n">
        <x:f>B15-C15</x:f>
        <x:v>0</x:v>
      </x:c>
      <x:c r="E15" s="69" t="n">
        <x:v>0.0001</x:v>
      </x:c>
      <x:c r="F15" s="2" t="str">
        <x:f>IF(ABS(D15)&lt;=E15,"OK","检查")</x:f>
        <x:v>OK</x:v>
      </x:c>
      <x:c r="G15" s="44" t="str">
        <x:v>30%+50%+20%</x:v>
      </x:c>
      <x:c r="H15" s="2"/>
      <x:c r="I15" s="2"/>
      <x:c r="J15" s="2"/>
    </x:row>
    <x:row r="16">
      <x:c r="A16" s="38" t="str">
        <x:v>情景价值递增</x:v>
      </x:c>
      <x:c r="B16" s="70" t="n">
        <x:f>Valuation!F21-Valuation!F19</x:f>
        <x:v>663.0482147198121</x:v>
      </x:c>
      <x:c r="C16" s="70" t="n">
        <x:v>663.048215</x:v>
      </x:c>
      <x:c r="D16" s="70" t="n">
        <x:f>B16-C16</x:f>
        <x:v>-2.801879190883483e-7</x:v>
      </x:c>
      <x:c r="E16" s="70" t="n">
        <x:v>0.01</x:v>
      </x:c>
      <x:c r="F16" s="45" t="str">
        <x:f>IF(ABS(D16)&lt;=E16,"OK","检查")</x:f>
        <x:v>OK</x:v>
      </x:c>
      <x:c r="G16" s="46" t="str">
        <x:v>Bull高于Bear</x:v>
      </x:c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43" hidden="0" customWidth="1"/>
    <x:col min="5" max="5" width="37" hidden="0" customWidth="1"/>
    <x:col min="6" max="6" width="7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来源与口径审计</x:v>
      </x:c>
      <x:c r="B2" s="3" t="str">
        <x:v>来源与口径审计</x:v>
      </x:c>
      <x:c r="C2" s="3" t="str">
        <x:v>来源与口径审计</x:v>
      </x:c>
      <x:c r="D2" s="3" t="str">
        <x:v>来源与口径审计</x:v>
      </x:c>
      <x:c r="E2" s="3" t="str">
        <x:v>来源与口径审计</x:v>
      </x:c>
      <x:c r="F2" s="3" t="str">
        <x:v>来源与口径审计</x:v>
      </x:c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1" t="str">
        <x:v>来源</x:v>
      </x:c>
      <x:c r="B4" s="32" t="str">
        <x:v>日期</x:v>
      </x:c>
      <x:c r="C4" s="32" t="str">
        <x:v>覆盖期</x:v>
      </x:c>
      <x:c r="D4" s="32" t="str">
        <x:v>本地文件</x:v>
      </x:c>
      <x:c r="E4" s="32" t="str">
        <x:v>主要用途</x:v>
      </x:c>
      <x:c r="F4" s="33" t="str">
        <x:v>原始链接</x:v>
      </x:c>
      <x:c r="G4" s="2"/>
      <x:c r="H4" s="2"/>
      <x:c r="I4" s="2"/>
      <x:c r="J4" s="2"/>
    </x:row>
    <x:row r="5" ht="40" customHeight="1">
      <x:c r="A5" s="71" t="str">
        <x:v>招股书</x:v>
      </x:c>
      <x:c r="B5" s="72" t="str">
        <x:v>2026-04-08</x:v>
      </x:c>
      <x:c r="C5" s="72" t="str">
        <x:v>2023-2025</x:v>
      </x:c>
      <x:c r="D5" s="72" t="str">
        <x:v>source-documents/prospectus-2026-04-08.pdf</x:v>
      </x:c>
      <x:c r="E5" s="72" t="str">
        <x:v>审计财务、产品、市场、客户、治理</x:v>
      </x:c>
      <x:c r="F5" s="73" t="str">
        <x:v>https://www1.hkexnews.hk/listedco/listconews/sehk/2026/0408/2026040800017.pdf</x:v>
      </x:c>
      <x:c r="G5" s="2"/>
      <x:c r="H5" s="2"/>
      <x:c r="I5" s="2"/>
      <x:c r="J5" s="2"/>
    </x:row>
    <x:row r="6" ht="40" customHeight="1">
      <x:c r="A6" s="71" t="str">
        <x:v>配发结果</x:v>
      </x:c>
      <x:c r="B6" s="72" t="str">
        <x:v>2026-04-15</x:v>
      </x:c>
      <x:c r="C6" s="72" t="str">
        <x:v>IPO</x:v>
      </x:c>
      <x:c r="D6" s="72" t="str">
        <x:v>source-documents/allotment-results-2026-04-15.pdf</x:v>
      </x:c>
      <x:c r="E6" s="72" t="str">
        <x:v>发售价、配售、基石禁售、集中风险</x:v>
      </x:c>
      <x:c r="F6" s="73" t="str">
        <x:v>https://www.hkexnews.hk/listedco/listconews/sehk/2026/0415/2026041501574.pdf</x:v>
      </x:c>
      <x:c r="G6" s="2"/>
      <x:c r="H6" s="2"/>
      <x:c r="I6" s="2"/>
      <x:c r="J6" s="2"/>
    </x:row>
    <x:row r="7" ht="40" customHeight="1">
      <x:c r="A7" s="71" t="str">
        <x:v>超额配股权公告</x:v>
      </x:c>
      <x:c r="B7" s="72" t="str">
        <x:v>2026-05-13</x:v>
      </x:c>
      <x:c r="C7" s="72" t="str">
        <x:v>IPO</x:v>
      </x:c>
      <x:c r="D7" s="72" t="str">
        <x:v>source-documents/over-allotment-2026-05-13.pdf</x:v>
      </x:c>
      <x:c r="E7" s="72" t="str">
        <x:v>额外发行与最终股本桥</x:v>
      </x:c>
      <x:c r="F7" s="73" t="str">
        <x:v>https://www1.hkexnews.hk/listedco/listconews/sehk/2026/0513/2026051301292.pdf</x:v>
      </x:c>
      <x:c r="G7" s="2"/>
      <x:c r="H7" s="2"/>
      <x:c r="I7" s="2"/>
      <x:c r="J7" s="2"/>
    </x:row>
    <x:row r="8" ht="40" customHeight="1">
      <x:c r="A8" s="71" t="str">
        <x:v>2026H1业绩公告</x:v>
      </x:c>
      <x:c r="B8" s="72" t="str">
        <x:v>2026-08-24</x:v>
      </x:c>
      <x:c r="C8" s="72" t="str">
        <x:v>2026H1</x:v>
      </x:c>
      <x:c r="D8" s="72" t="str">
        <x:v>source-documents/2026-H1-results.pdf</x:v>
      </x:c>
      <x:c r="E8" s="72" t="str">
        <x:v>损益、现金流、资产负债、产品、地区、募资</x:v>
      </x:c>
      <x:c r="F8" s="73" t="str">
        <x:v>https://www1.hkexnews.hk/listedco/listconews/sehk/2026/0824/2026082400654.pdf</x:v>
      </x:c>
      <x:c r="G8" s="2"/>
      <x:c r="H8" s="2"/>
      <x:c r="I8" s="2"/>
      <x:c r="J8" s="2"/>
    </x:row>
    <x:row r="9" ht="40" customHeight="1">
      <x:c r="A9" s="71" t="str">
        <x:v>2026年8月月报表</x:v>
      </x:c>
      <x:c r="B9" s="72" t="str">
        <x:v>2026-09-03</x:v>
      </x:c>
      <x:c r="C9" s="72" t="str">
        <x:v>2026-08-31</x:v>
      </x:c>
      <x:c r="D9" s="72" t="str">
        <x:v>source-documents/2026-08-monthly-return.pdf</x:v>
      </x:c>
      <x:c r="E9" s="72" t="str">
        <x:v>最新股本与股份分类</x:v>
      </x:c>
      <x:c r="F9" s="73" t="str">
        <x:v>https://www1.hkexnews.hk/listedco/listconews/sehk/2026/0903/2026090301897.pdf</x:v>
      </x:c>
      <x:c r="G9" s="2"/>
      <x:c r="H9" s="2"/>
      <x:c r="I9" s="2"/>
      <x:c r="J9" s="2"/>
    </x:row>
    <x:row r="10" ht="40" customHeight="1">
      <x:c r="A10" s="71" t="str">
        <x:v>澳洲家庭电池计划</x:v>
      </x:c>
      <x:c r="B10" s="72" t="str">
        <x:v>2026-06-09</x:v>
      </x:c>
      <x:c r="C10" s="72" t="str">
        <x:v>政策</x:v>
      </x:c>
      <x:c r="D10" s="72" t="str">
        <x:v>网页</x:v>
      </x:c>
      <x:c r="E10" s="72" t="str">
        <x:v>约30%折扣、2026调整、递减安排</x:v>
      </x:c>
      <x:c r="F10" s="73" t="str">
        <x:v>https://www.dcceew.gov.au/energy/programs/cheaper-home-batteries</x:v>
      </x:c>
      <x:c r="G10" s="2"/>
      <x:c r="H10" s="2"/>
      <x:c r="I10" s="2"/>
      <x:c r="J10" s="2"/>
    </x:row>
    <x:row r="11" ht="40" customHeight="1">
      <x:c r="A11" s="71" t="str">
        <x:v>澳洲安装进度</x:v>
      </x:c>
      <x:c r="B11" s="72" t="str">
        <x:v>2026-08-14</x:v>
      </x:c>
      <x:c r="C11" s="72" t="str">
        <x:v>政策</x:v>
      </x:c>
      <x:c r="D11" s="72" t="str">
        <x:v>网页</x:v>
      </x:c>
      <x:c r="E11" s="72" t="str">
        <x:v>超过50万套安装，验证行业需求</x:v>
      </x:c>
      <x:c r="F11" s="73" t="str">
        <x:v>https://minister.dcceew.gov.au/bowen/media-releases/joint-media-release-half-million-cheaper-home-batteries-bringing-down-bills-australian-homes-and-businesses</x:v>
      </x:c>
      <x:c r="G11" s="2"/>
      <x:c r="H11" s="2"/>
      <x:c r="I11" s="2"/>
      <x:c r="J11" s="2"/>
    </x:row>
    <x:row r="12" ht="40" customHeight="1">
      <x:c r="A12" s="71" t="str">
        <x:v>港股历史价格</x:v>
      </x:c>
      <x:c r="B12" s="72" t="str">
        <x:v>2026-09-11</x:v>
      </x:c>
      <x:c r="C12" s="72" t="str">
        <x:v>估值日期</x:v>
      </x:c>
      <x:c r="D12" s="72" t="str">
        <x:v>网页</x:v>
      </x:c>
      <x:c r="E12" s="72" t="str">
        <x:v>收盘310.20港元</x:v>
      </x:c>
      <x:c r="F12" s="73" t="str">
        <x:v>https://stockanalysis.com/quote/hkg/6656/history/</x:v>
      </x:c>
      <x:c r="G12" s="2"/>
      <x:c r="H12" s="2"/>
      <x:c r="I12" s="2"/>
      <x:c r="J12" s="2"/>
    </x:row>
    <x:row r="13" ht="40" customHeight="1">
      <x:c r="A13" s="74" t="str">
        <x:v>人民币/港元汇率</x:v>
      </x:c>
      <x:c r="B13" s="75" t="str">
        <x:v>2026-09-11</x:v>
      </x:c>
      <x:c r="C13" s="75" t="str">
        <x:v>估值日期</x:v>
      </x:c>
      <x:c r="D13" s="75" t="str">
        <x:v>网页</x:v>
      </x:c>
      <x:c r="E13" s="75" t="str">
        <x:v>1人民币兑1.1693港元</x:v>
      </x:c>
      <x:c r="F13" s="76" t="str">
        <x:v>https://www.valutafx.com/history/cny-hkd-2026-09-11</x:v>
      </x:c>
      <x:c r="G13" s="2"/>
      <x:c r="H13" s="2"/>
      <x:c r="I13" s="2"/>
      <x:c r="J13" s="2"/>
    </x:row>
    <x:row r="14">
      <x:c r="A14" s="72"/>
      <x:c r="B14" s="72"/>
      <x:c r="C14" s="72"/>
      <x:c r="D14" s="72"/>
      <x:c r="E14" s="72"/>
      <x:c r="F14" s="72"/>
      <x:c r="G14" s="2"/>
      <x:c r="H14" s="2"/>
      <x:c r="I14" s="2"/>
      <x:c r="J14" s="2"/>
    </x:row>
    <x:row r="15">
      <x:c r="A15" s="60" t="str">
        <x:v>财务事实优先采用港交所披露；2026H1未经审计。调整净利润为公司口径。市场价格和汇率均为固定日期二级数据。行业份额来自招股书引用的受托研究。Bear/Base/Bull均为分析假设。</x:v>
      </x:c>
      <x:c r="B15" s="60" t="str">
        <x:v>财务事实优先采用港交所披露；2026H1未经审计。调整净利润为公司口径。市场价格和汇率均为固定日期二级数据。行业份额来自招股书引用的受托研究。Bear/Base/Bull均为分析假设。</x:v>
      </x:c>
      <x:c r="C15" s="60" t="str">
        <x:v>财务事实优先采用港交所披露；2026H1未经审计。调整净利润为公司口径。市场价格和汇率均为固定日期二级数据。行业份额来自招股书引用的受托研究。Bear/Base/Bull均为分析假设。</x:v>
      </x:c>
      <x:c r="D15" s="60" t="str">
        <x:v>财务事实优先采用港交所披露；2026H1未经审计。调整净利润为公司口径。市场价格和汇率均为固定日期二级数据。行业份额来自招股书引用的受托研究。Bear/Base/Bull均为分析假设。</x:v>
      </x:c>
      <x:c r="E15" s="60" t="str">
        <x:v>财务事实优先采用港交所披露；2026H1未经审计。调整净利润为公司口径。市场价格和汇率均为固定日期二级数据。行业份额来自招股书引用的受托研究。Bear/Base/Bull均为分析假设。</x:v>
      </x:c>
      <x:c r="F15" s="60" t="str">
        <x:v>财务事实优先采用港交所披露；2026H1未经审计。调整净利润为公司口径。市场价格和汇率均为固定日期二级数据。行业份额来自招股书引用的受托研究。Bear/Base/Bull均为分析假设。</x:v>
      </x:c>
      <x:c r="G15" s="2"/>
      <x:c r="H15" s="2"/>
      <x:c r="I15" s="2"/>
      <x:c r="J15" s="2"/>
    </x:row>
    <x:row r="16">
      <x:c r="A16" s="60" t="str">
        <x:v>财务事实优先采用港交所披露；2026H1未经审计。调整净利润为公司口径。市场价格和汇率均为固定日期二级数据。行业份额来自招股书引用的受托研究。Bear/Base/Bull均为分析假设。</x:v>
      </x:c>
      <x:c r="B16" s="60" t="str">
        <x:v>财务事实优先采用港交所披露；2026H1未经审计。调整净利润为公司口径。市场价格和汇率均为固定日期二级数据。行业份额来自招股书引用的受托研究。Bear/Base/Bull均为分析假设。</x:v>
      </x:c>
      <x:c r="C16" s="60" t="str">
        <x:v>财务事实优先采用港交所披露；2026H1未经审计。调整净利润为公司口径。市场价格和汇率均为固定日期二级数据。行业份额来自招股书引用的受托研究。Bear/Base/Bull均为分析假设。</x:v>
      </x:c>
      <x:c r="D16" s="60" t="str">
        <x:v>财务事实优先采用港交所披露；2026H1未经审计。调整净利润为公司口径。市场价格和汇率均为固定日期二级数据。行业份额来自招股书引用的受托研究。Bear/Base/Bull均为分析假设。</x:v>
      </x:c>
      <x:c r="E16" s="60" t="str">
        <x:v>财务事实优先采用港交所披露；2026H1未经审计。调整净利润为公司口径。市场价格和汇率均为固定日期二级数据。行业份额来自招股书引用的受托研究。Bear/Base/Bull均为分析假设。</x:v>
      </x:c>
      <x:c r="F16" s="60" t="str">
        <x:v>财务事实优先采用港交所披露；2026H1未经审计。调整净利润为公司口径。市场价格和汇率均为固定日期二级数据。行业份额来自招股书引用的受托研究。Bear/Base/Bull均为分析假设。</x:v>
      </x:c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2:F2"/>
    <x:mergeCell ref="A15:F16"/>
  </x:mergeCells>
  <x:pageMargins left="0.7" right="0.7" top="0.75" bottom="0.75" header="0.3" footer="0.3"/>
</x:worksheet>
</file>
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3e5788eb4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e2d21510331482b"/>
    <x:sheet xmlns:r="http://schemas.openxmlformats.org/officeDocument/2006/relationships" name="Historical" sheetId="2" r:id="Rd02747d073be46ea"/>
    <x:sheet xmlns:r="http://schemas.openxmlformats.org/officeDocument/2006/relationships" name="Operations" sheetId="3" r:id="Rdb39eaa20bae458b"/>
    <x:sheet xmlns:r="http://schemas.openxmlformats.org/officeDocument/2006/relationships" name="Balance &amp; Cash" sheetId="4" r:id="Rff119ae88f0144e0"/>
    <x:sheet xmlns:r="http://schemas.openxmlformats.org/officeDocument/2006/relationships" name="Assumptions" sheetId="5" r:id="R5a7544e39b9f44f7"/>
    <x:sheet xmlns:r="http://schemas.openxmlformats.org/officeDocument/2006/relationships" name="Valuation" sheetId="6" r:id="Rd6dbfaceb29b4e91"/>
    <x:sheet xmlns:r="http://schemas.openxmlformats.org/officeDocument/2006/relationships" name="Checks" sheetId="7" r:id="R828cd313a2804457"/>
    <x:sheet xmlns:r="http://schemas.openxmlformats.org/officeDocument/2006/relationships" name="Sources Audit" sheetId="8" r:id="R81b5340a064f4f7b"/>
  </x:sheets>
</x:workbook>
</file>

<file path=xl/comments1.xml><?xml version="1.0" encoding="utf-8"?>
<x:comments xmlns:x="http://schemas.openxmlformats.org/spreadsheetml/2006/main">
  <x:authors>
    <x:author>tc={58635A6B-EC07-4E38-AA17-21F304DF8EA4}</x:author>
    <x:author>tc={2E20CB74-3FB3-419F-B054-BB34BE05C4BC}</x:author>
    <x:author>tc={B08C85C1-49DD-4536-899C-CDB3DD172415}</x:author>
    <x:author>tc={9759C69A-12DD-4A39-8472-B985E62EA74A}</x:author>
    <x:author>tc={A6997867-984B-479E-9E5D-016A8B4FCAD8}</x:author>
    <x:author>tc={9A83C03B-15BE-4CB1-ABE7-F8CE29246D45}</x:author>
    <x:author>tc={8D1CC0E5-890E-4DE7-A9A0-3DAF2FD919E9}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2026-09-04 A-share close RMB43.97; secondary market data corroborated by Yahoo Finance.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total share capital 5,772,996,075 at 2026H1.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treasury shares 69,586,523; excluded from economic shares.</x:t>
        </x:r>
      </x:text>
    </x:comment>
    <x:comment ref="C1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2027 base average hog selling price RMB13.5/kg; not guidance or consensus.</x:t>
        </x:r>
      </x:text>
    </x:comment>
    <x:comment ref="C2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2027 base full cost RMB11.2/kg; relies on sustained health and productivity gains.</x:t>
        </x:r>
      </x:text>
    </x:comment>
    <x:comment ref="C2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13x normalized P/E balances cost leadership against commodity cyclicality.</x:t>
        </x:r>
      </x:text>
    </x:comment>
    <x:comment ref="C2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2.6x P/B cross-check for a capital-intensive cyclical leader.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yyyy-mm-dd"/>
    <x:numFmt numFmtId="201" formatCode="&quot;RMB &quot;0.00"/>
    <x:numFmt numFmtId="202" formatCode="0.000&quot; bn shares&quot;"/>
    <x:numFmt numFmtId="203" formatCode="0.00&quot; bn&quot;"/>
    <x:numFmt numFmtId="204" formatCode="0.00x"/>
    <x:numFmt numFmtId="205" formatCode="0.0%;[Red](0.0%);-"/>
    <x:numFmt numFmtId="206" formatCode="&quot;RMB &quot;0.00&quot;/kg&quot;"/>
    <x:numFmt numFmtId="207" formatCode="0.00"/>
    <x:numFmt numFmtId="208" formatCode="0.000&quot; mn heads&quot;"/>
    <x:numFmt numFmtId="209" formatCode="0.0%"/>
    <x:numFmt numFmtId="210" formatCode="0.000"/>
    <x:numFmt numFmtId="211" formatCode="0%"/>
    <x:numFmt numFmtId="212" formatCode="0"/>
    <x:numFmt numFmtId="213" formatCode="0.0"/>
    <x:numFmt numFmtId="214" formatCode="0.0x"/>
    <x:numFmt numFmtId="215" formatCode="0.0&quot; bn&quot;"/>
    <x:numFmt numFmtId="216" formatCode="0.0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6" fontId="2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2" xfId="0" applyNumberFormat="1" applyFont="1" applyFill="1" applyBorder="1"/>
    <x:xf numFmtId="203" fontId="4" fillId="0" borderId="2" xfId="0" applyNumberFormat="1" applyFont="1" applyFill="1" applyBorder="1"/>
    <x:xf numFmtId="204" fontId="4" fillId="0" borderId="2" xfId="0" applyNumberFormat="1" applyFont="1" applyFill="1" applyBorder="1"/>
    <x:xf numFmtId="201" fontId="4" fillId="0" borderId="2" xfId="0" applyNumberFormat="1" applyFont="1" applyFill="1" applyBorder="1"/>
    <x:xf numFmtId="205" fontId="4" fillId="0" borderId="2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7" fontId="0" fillId="0" borderId="0" xfId="0" applyNumberFormat="1" applyFont="1" applyFill="1" applyBorder="1"/>
    <x:xf numFmtId="203" fontId="0" fillId="4" borderId="0" xfId="0" applyNumberFormat="1" applyFont="1" applyFill="1" applyBorder="1"/>
    <x:xf numFmtId="205" fontId="0" fillId="4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3" fontId="5" fillId="0" borderId="0" xfId="0" applyNumberFormat="1" applyFont="1" applyFill="1" applyBorder="1"/>
    <x:xf numFmtId="0" fontId="5" fillId="4" borderId="0" xfId="0" applyNumberFormat="1" applyFont="1" applyFill="1" applyBorder="1"/>
    <x:xf numFmtId="203" fontId="5" fillId="4" borderId="0" xfId="0" applyNumberFormat="1" applyFont="1" applyFill="1" applyBorder="1"/>
    <x:xf numFmtId="205" fontId="5" fillId="4" borderId="0" xfId="0" applyNumberFormat="1" applyFont="1" applyFill="1" applyBorder="1"/>
    <x:xf numFmtId="207" fontId="5" fillId="0" borderId="0" xfId="0" applyNumberFormat="1" applyFont="1" applyFill="1" applyBorder="1"/>
    <x:xf numFmtId="0" fontId="8" fillId="6" borderId="0" xfId="0" applyNumberFormat="1" applyFont="1" applyFill="1" applyBorder="1"/>
    <x:xf numFmtId="203" fontId="5" fillId="0" borderId="1" xfId="0" applyNumberFormat="1" applyFont="1" applyFill="1" applyBorder="1"/>
    <x:xf numFmtId="203" fontId="5" fillId="0" borderId="2" xfId="0" applyNumberFormat="1" applyFont="1" applyFill="1" applyBorder="1"/>
    <x:xf numFmtId="0" fontId="5" fillId="4" borderId="2" xfId="0" applyNumberFormat="1" applyFont="1" applyFill="1" applyBorder="1"/>
    <x:xf numFmtId="203" fontId="5" fillId="4" borderId="2" xfId="0" applyNumberFormat="1" applyFont="1" applyFill="1" applyBorder="1"/>
    <x:xf numFmtId="205" fontId="5" fillId="4" borderId="2" xfId="0" applyNumberFormat="1" applyFont="1" applyFill="1" applyBorder="1"/>
    <x:xf numFmtId="207" fontId="5" fillId="0" borderId="2" xfId="0" applyNumberFormat="1" applyFont="1" applyFill="1" applyBorder="1"/>
    <x:xf numFmtId="0" fontId="8" fillId="6" borderId="3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08" fontId="0" fillId="6" borderId="0" xfId="0" applyNumberFormat="1" applyFont="1" applyFill="1" applyBorder="1"/>
    <x:xf numFmtId="209" fontId="0" fillId="6" borderId="0" xfId="0" applyNumberFormat="1" applyFont="1" applyFill="1" applyBorder="1"/>
    <x:xf numFmtId="206" fontId="0" fillId="6" borderId="0" xfId="0" applyNumberFormat="1" applyFont="1" applyFill="1" applyBorder="1"/>
    <x:xf numFmtId="208" fontId="5" fillId="0" borderId="0" xfId="0" applyNumberFormat="1" applyFont="1" applyFill="1" applyBorder="1"/>
    <x:xf numFmtId="209" fontId="5" fillId="0" borderId="0" xfId="0" applyNumberFormat="1" applyFont="1" applyFill="1" applyBorder="1"/>
    <x:xf numFmtId="206" fontId="5" fillId="0" borderId="0" xfId="0" applyNumberFormat="1" applyFont="1" applyFill="1" applyBorder="1"/>
    <x:xf numFmtId="0" fontId="5" fillId="6" borderId="0" xfId="0" applyNumberFormat="1" applyFont="1" applyFill="1" applyBorder="1"/>
    <x:xf numFmtId="208" fontId="5" fillId="6" borderId="0" xfId="0" applyNumberFormat="1" applyFont="1" applyFill="1" applyBorder="1"/>
    <x:xf numFmtId="209" fontId="5" fillId="6" borderId="0" xfId="0" applyNumberFormat="1" applyFont="1" applyFill="1" applyBorder="1"/>
    <x:xf numFmtId="206" fontId="5" fillId="6" borderId="0" xfId="0" applyNumberFormat="1" applyFont="1" applyFill="1" applyBorder="1"/>
    <x:xf numFmtId="208" fontId="5" fillId="0" borderId="1" xfId="0" applyNumberFormat="1" applyFont="1" applyFill="1" applyBorder="1"/>
    <x:xf numFmtId="209" fontId="5" fillId="0" borderId="1" xfId="0" applyNumberFormat="1" applyFont="1" applyFill="1" applyBorder="1"/>
    <x:xf numFmtId="206" fontId="5" fillId="0" borderId="1" xfId="0" applyNumberFormat="1" applyFont="1" applyFill="1" applyBorder="1"/>
    <x:xf numFmtId="208" fontId="5" fillId="0" borderId="2" xfId="0" applyNumberFormat="1" applyFont="1" applyFill="1" applyBorder="1"/>
    <x:xf numFmtId="209" fontId="5" fillId="0" borderId="2" xfId="0" applyNumberFormat="1" applyFont="1" applyFill="1" applyBorder="1"/>
    <x:xf numFmtId="206" fontId="5" fillId="0" borderId="2" xfId="0" applyNumberFormat="1" applyFont="1" applyFill="1" applyBorder="1"/>
    <x:xf numFmtId="0" fontId="5" fillId="6" borderId="3" xfId="0" applyNumberFormat="1" applyFont="1" applyFill="1" applyBorder="1"/>
    <x:xf numFmtId="208" fontId="5" fillId="6" borderId="3" xfId="0" applyNumberFormat="1" applyFont="1" applyFill="1" applyBorder="1"/>
    <x:xf numFmtId="209" fontId="5" fillId="6" borderId="3" xfId="0" applyNumberFormat="1" applyFont="1" applyFill="1" applyBorder="1"/>
    <x:xf numFmtId="206" fontId="5" fillId="6" borderId="3" xfId="0" applyNumberFormat="1" applyFont="1" applyFill="1" applyBorder="1"/>
    <x:xf numFmtId="0" fontId="0" fillId="7" borderId="0" xfId="0" applyNumberFormat="1" applyFont="1" applyFill="1" applyBorder="1"/>
    <x:xf numFmtId="203" fontId="0" fillId="7" borderId="0" xfId="0" applyNumberFormat="1" applyFont="1" applyFill="1" applyBorder="1"/>
    <x:xf numFmtId="205" fontId="0" fillId="7" borderId="0" xfId="0" applyNumberFormat="1" applyFont="1" applyFill="1" applyBorder="1"/>
    <x:xf numFmtId="0" fontId="3" fillId="7" borderId="0" xfId="0" applyNumberFormat="1" applyFont="1" applyFill="1" applyBorder="1"/>
    <x:xf numFmtId="203" fontId="3" fillId="7" borderId="0" xfId="0" applyNumberFormat="1" applyFont="1" applyFill="1" applyBorder="1"/>
    <x:xf numFmtId="205" fontId="3" fillId="7" borderId="0" xfId="0" applyNumberFormat="1" applyFont="1" applyFill="1" applyBorder="1"/>
    <x:xf numFmtId="205" fontId="5" fillId="0" borderId="0" xfId="0" applyNumberFormat="1" applyFont="1" applyFill="1" applyBorder="1"/>
    <x:xf numFmtId="0" fontId="4" fillId="7" borderId="0" xfId="0" applyNumberFormat="1" applyFont="1" applyFill="1" applyBorder="1"/>
    <x:xf numFmtId="203" fontId="4" fillId="7" borderId="0" xfId="0" applyNumberFormat="1" applyFont="1" applyFill="1" applyBorder="1"/>
    <x:xf numFmtId="205" fontId="4" fillId="7" borderId="0" xfId="0" applyNumberFormat="1" applyFont="1" applyFill="1" applyBorder="1"/>
    <x:xf numFmtId="205" fontId="5" fillId="0" borderId="1" xfId="0" applyNumberFormat="1" applyFont="1" applyFill="1" applyBorder="1"/>
    <x:xf numFmtId="205" fontId="5" fillId="0" borderId="2" xfId="0" applyNumberFormat="1" applyFont="1" applyFill="1" applyBorder="1"/>
    <x:xf numFmtId="0" fontId="4" fillId="7" borderId="3" xfId="0" applyNumberFormat="1" applyFont="1" applyFill="1" applyBorder="1"/>
    <x:xf numFmtId="203" fontId="4" fillId="7" borderId="3" xfId="0" applyNumberFormat="1" applyFont="1" applyFill="1" applyBorder="1"/>
    <x:xf numFmtId="205" fontId="4" fillId="7" borderId="3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12" fontId="0" fillId="0" borderId="0" xfId="0" applyNumberFormat="1" applyFont="1" applyFill="1" applyBorder="1"/>
    <x:xf numFmtId="210" fontId="5" fillId="0" borderId="0" xfId="0" applyNumberFormat="1" applyFont="1" applyFill="1" applyBorder="1"/>
    <x:xf numFmtId="211" fontId="5" fillId="0" borderId="0" xfId="0" applyNumberFormat="1" applyFont="1" applyFill="1" applyBorder="1"/>
    <x:xf numFmtId="212" fontId="5" fillId="0" borderId="0" xfId="0" applyNumberFormat="1" applyFont="1" applyFill="1" applyBorder="1"/>
    <x:xf numFmtId="210" fontId="5" fillId="0" borderId="1" xfId="0" applyNumberFormat="1" applyFont="1" applyFill="1" applyBorder="1"/>
    <x:xf numFmtId="210" fontId="5" fillId="0" borderId="2" xfId="0" applyNumberFormat="1" applyFont="1" applyFill="1" applyBorder="1"/>
    <x:xf numFmtId="211" fontId="5" fillId="0" borderId="2" xfId="0" applyNumberFormat="1" applyFont="1" applyFill="1" applyBorder="1"/>
    <x:xf numFmtId="212" fontId="5" fillId="0" borderId="3" xfId="0" applyNumberFormat="1" applyFont="1" applyFill="1" applyBorder="1"/>
    <x:xf numFmtId="209" fontId="5" fillId="0" borderId="3" xfId="0" applyNumberFormat="1" applyFont="1" applyFill="1" applyBorder="1"/>
    <x:xf numFmtId="203" fontId="5" fillId="0" borderId="3" xfId="0" applyNumberFormat="1" applyFont="1" applyFill="1" applyBorder="1"/>
    <x:xf numFmtId="203" fontId="0" fillId="6" borderId="0" xfId="0" applyNumberFormat="1" applyFont="1" applyFill="1" applyBorder="1"/>
    <x:xf numFmtId="0" fontId="3" fillId="6" borderId="0" xfId="0" applyNumberFormat="1" applyFont="1" applyFill="1" applyBorder="1"/>
    <x:xf numFmtId="203" fontId="3" fillId="6" borderId="0" xfId="0" applyNumberFormat="1" applyFont="1" applyFill="1" applyBorder="1"/>
    <x:xf numFmtId="209" fontId="3" fillId="6" borderId="0" xfId="0" applyNumberFormat="1" applyFont="1" applyFill="1" applyBorder="1"/>
    <x:xf numFmtId="0" fontId="4" fillId="6" borderId="0" xfId="0" applyNumberFormat="1" applyFont="1" applyFill="1" applyBorder="1"/>
    <x:xf numFmtId="203" fontId="4" fillId="6" borderId="0" xfId="0" applyNumberFormat="1" applyFont="1" applyFill="1" applyBorder="1"/>
    <x:xf numFmtId="209" fontId="4" fillId="6" borderId="0" xfId="0" applyNumberFormat="1" applyFont="1" applyFill="1" applyBorder="1"/>
    <x:xf numFmtId="0" fontId="4" fillId="6" borderId="3" xfId="0" applyNumberFormat="1" applyFont="1" applyFill="1" applyBorder="1"/>
    <x:xf numFmtId="203" fontId="4" fillId="6" borderId="3" xfId="0" applyNumberFormat="1" applyFont="1" applyFill="1" applyBorder="1"/>
    <x:xf numFmtId="209" fontId="4" fillId="6" borderId="3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2" xfId="0" applyNumberFormat="1" applyFont="1" applyFill="1" applyBorder="1"/>
    <x:xf numFmtId="206" fontId="5" fillId="0" borderId="3" xfId="0" applyNumberFormat="1" applyFont="1" applyFill="1" applyBorder="1"/>
    <x:xf numFmtId="213" fontId="0" fillId="0" borderId="0" xfId="0" applyNumberFormat="1" applyFont="1" applyFill="1" applyBorder="1"/>
    <x:xf numFmtId="214" fontId="0" fillId="0" borderId="0" xfId="0" applyNumberFormat="1" applyFont="1" applyFill="1" applyBorder="1"/>
    <x:xf numFmtId="213" fontId="9" fillId="0" borderId="0" xfId="0" applyNumberFormat="1" applyFont="1" applyFill="1" applyBorder="1"/>
    <x:xf numFmtId="207" fontId="9" fillId="0" borderId="0" xfId="0" applyNumberFormat="1" applyFont="1" applyFill="1" applyBorder="1"/>
    <x:xf numFmtId="203" fontId="9" fillId="0" borderId="0" xfId="0" applyNumberFormat="1" applyFont="1" applyFill="1" applyBorder="1"/>
    <x:xf numFmtId="214" fontId="9" fillId="0" borderId="0" xfId="0" applyNumberFormat="1" applyFont="1" applyFill="1" applyBorder="1"/>
    <x:xf numFmtId="213" fontId="5" fillId="0" borderId="0" xfId="0" applyNumberFormat="1" applyFont="1" applyFill="1" applyBorder="1"/>
    <x:xf numFmtId="214" fontId="5" fillId="0" borderId="0" xfId="0" applyNumberFormat="1" applyFont="1" applyFill="1" applyBorder="1"/>
    <x:xf numFmtId="213" fontId="5" fillId="0" borderId="1" xfId="0" applyNumberFormat="1" applyFont="1" applyFill="1" applyBorder="1"/>
    <x:xf numFmtId="213" fontId="5" fillId="0" borderId="2" xfId="0" applyNumberFormat="1" applyFont="1" applyFill="1" applyBorder="1"/>
    <x:xf numFmtId="214" fontId="5" fillId="0" borderId="2" xfId="0" applyNumberFormat="1" applyFont="1" applyFill="1" applyBorder="1"/>
    <x:xf numFmtId="214" fontId="5" fillId="0" borderId="3" xfId="0" applyNumberFormat="1" applyFont="1" applyFill="1" applyBorder="1"/>
    <x:xf numFmtId="215" fontId="0" fillId="0" borderId="0" xfId="0" applyNumberFormat="1" applyFont="1" applyFill="1" applyBorder="1"/>
    <x:xf numFmtId="215" fontId="0" fillId="7" borderId="0" xfId="0" applyNumberFormat="1" applyFont="1" applyFill="1" applyBorder="1"/>
    <x:xf numFmtId="214" fontId="0" fillId="7" borderId="0" xfId="0" applyNumberFormat="1" applyFont="1" applyFill="1" applyBorder="1"/>
    <x:xf numFmtId="201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215" fontId="5" fillId="0" borderId="0" xfId="0" applyNumberFormat="1" applyFont="1" applyFill="1" applyBorder="1"/>
    <x:xf numFmtId="0" fontId="5" fillId="7" borderId="0" xfId="0" applyNumberFormat="1" applyFont="1" applyFill="1" applyBorder="1"/>
    <x:xf numFmtId="215" fontId="5" fillId="7" borderId="0" xfId="0" applyNumberFormat="1" applyFont="1" applyFill="1" applyBorder="1"/>
    <x:xf numFmtId="214" fontId="5" fillId="7" borderId="0" xfId="0" applyNumberFormat="1" applyFont="1" applyFill="1" applyBorder="1"/>
    <x:xf numFmtId="201" fontId="5" fillId="7" borderId="0" xfId="0" applyNumberFormat="1" applyFont="1" applyFill="1" applyBorder="1"/>
    <x:xf numFmtId="201" fontId="4" fillId="7" borderId="0" xfId="0" applyNumberFormat="1" applyFont="1" applyFill="1" applyBorder="1"/>
    <x:xf numFmtId="205" fontId="5" fillId="7" borderId="0" xfId="0" applyNumberFormat="1" applyFont="1" applyFill="1" applyBorder="1"/>
    <x:xf numFmtId="215" fontId="5" fillId="0" borderId="1" xfId="0" applyNumberFormat="1" applyFont="1" applyFill="1" applyBorder="1"/>
    <x:xf numFmtId="214" fontId="5" fillId="0" borderId="1" xfId="0" applyNumberFormat="1" applyFont="1" applyFill="1" applyBorder="1"/>
    <x:xf numFmtId="0" fontId="5" fillId="7" borderId="2" xfId="0" applyNumberFormat="1" applyFont="1" applyFill="1" applyBorder="1"/>
    <x:xf numFmtId="215" fontId="5" fillId="7" borderId="2" xfId="0" applyNumberFormat="1" applyFont="1" applyFill="1" applyBorder="1"/>
    <x:xf numFmtId="214" fontId="5" fillId="7" borderId="2" xfId="0" applyNumberFormat="1" applyFont="1" applyFill="1" applyBorder="1"/>
    <x:xf numFmtId="201" fontId="5" fillId="7" borderId="2" xfId="0" applyNumberFormat="1" applyFont="1" applyFill="1" applyBorder="1"/>
    <x:xf numFmtId="201" fontId="4" fillId="7" borderId="2" xfId="0" applyNumberFormat="1" applyFont="1" applyFill="1" applyBorder="1"/>
    <x:xf numFmtId="205" fontId="5" fillId="7" borderId="2" xfId="0" applyNumberFormat="1" applyFont="1" applyFill="1" applyBorder="1"/>
    <x:xf numFmtId="215" fontId="5" fillId="0" borderId="3" xfId="0" applyNumberFormat="1" applyFont="1" applyFill="1" applyBorder="1"/>
    <x:xf numFmtId="201" fontId="5" fillId="0" borderId="3" xfId="0" applyNumberFormat="1" applyFont="1" applyFill="1" applyBorder="1"/>
    <x:xf numFmtId="201" fontId="4" fillId="0" borderId="3" xfId="0" applyNumberFormat="1" applyFont="1" applyFill="1" applyBorder="1"/>
    <x:xf numFmtId="205" fontId="5" fillId="0" borderId="3" xfId="0" applyNumberFormat="1" applyFont="1" applyFill="1" applyBorder="1"/>
    <x:xf numFmtId="201" fontId="5" fillId="0" borderId="2" xfId="0" applyNumberFormat="1" applyFont="1" applyFill="1" applyBorder="1"/>
    <x:xf numFmtId="213" fontId="5" fillId="0" borderId="3" xfId="0" applyNumberFormat="1" applyFont="1" applyFill="1" applyBorder="1"/>
    <x:xf numFmtId="216" fontId="0" fillId="0" borderId="0" xfId="0" applyNumberFormat="1" applyFont="1" applyFill="1" applyBorder="1"/>
    <x:xf numFmtId="216" fontId="5" fillId="0" borderId="0" xfId="0" applyNumberFormat="1" applyFont="1" applyFill="1" applyBorder="1"/>
    <x:xf numFmtId="216" fontId="5" fillId="0" borderId="1" xfId="0" applyNumberFormat="1" applyFont="1" applyFill="1" applyBorder="1"/>
    <x:xf numFmtId="216" fontId="5" fillId="0" borderId="2" xfId="0" applyNumberFormat="1" applyFont="1" applyFill="1" applyBorder="1"/>
    <x:xf numFmtId="216" fontId="5" fillId="0" borderId="3" xfId="0" applyNumberFormat="1" applyFont="1" applyFill="1" applyBorder="1"/>
    <x:xf numFmtId="0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1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1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1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10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da60850084aed" /><Relationship Type="http://schemas.openxmlformats.org/officeDocument/2006/relationships/theme" Target="/xl/theme/theme1.xml" Id="Rfb8fd6711b9b4ab8" /><Relationship Type="http://schemas.openxmlformats.org/officeDocument/2006/relationships/sharedStrings" Target="/xl/sharedStrings.xml" Id="Rf5ab89e12624452c" /><Relationship Type="http://schemas.openxmlformats.org/officeDocument/2006/relationships/worksheet" Target="/xl/worksheets/sheet1.xml" Id="Rae2d21510331482b" /><Relationship Type="http://schemas.openxmlformats.org/officeDocument/2006/relationships/worksheet" Target="/xl/worksheets/sheet2.xml" Id="Rd02747d073be46ea" /><Relationship Type="http://schemas.openxmlformats.org/officeDocument/2006/relationships/worksheet" Target="/xl/worksheets/sheet3.xml" Id="Rdb39eaa20bae458b" /><Relationship Type="http://schemas.openxmlformats.org/officeDocument/2006/relationships/worksheet" Target="/xl/worksheets/sheet4.xml" Id="Rff119ae88f0144e0" /><Relationship Type="http://schemas.openxmlformats.org/officeDocument/2006/relationships/worksheet" Target="/xl/worksheets/sheet5.xml" Id="R5a7544e39b9f44f7" /><Relationship Type="http://schemas.openxmlformats.org/officeDocument/2006/relationships/worksheet" Target="/xl/worksheets/sheet6.xml" Id="Rd6dbfaceb29b4e91" /><Relationship Type="http://schemas.openxmlformats.org/officeDocument/2006/relationships/worksheet" Target="/xl/worksheets/sheet7.xml" Id="R828cd313a2804457" /><Relationship Type="http://schemas.openxmlformats.org/officeDocument/2006/relationships/worksheet" Target="/xl/worksheets/sheet8.xml" Id="R81b5340a064f4f7b" /><Relationship Type="http://schemas.microsoft.com/office/2017/10/relationships/person" Target="/xl/persons/person.xml" Id="Rb71f2caf67704b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a68d26c5154678" /><Relationship Type="http://schemas.openxmlformats.org/officeDocument/2006/relationships/chart" Target="/xl/drawings/charts/chart2.xml" Id="R566210526a0142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商品猪售价与完全成本（RMB/kg）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售价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'Operations'!$A$4:$A$7</c:f>
              <c:strCache>
                <c:ptCount val="0"/>
              </c:strCache>
            </c:strRef>
          </c:cat>
          <c:val>
            <c:numRef>
              <c:f>'Operations'!$F$4:$F$7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完全成本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'Operations'!$A$4:$A$7</c:f>
              <c:strCache>
                <c:ptCount val="0"/>
              </c:strCache>
            </c:strRef>
          </c:cat>
          <c:val>
            <c:numRef>
              <c:f>'Operations'!$G$4:$G$7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情景价值与当前股价（RMB/股）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a68d26c5154678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6210526a0142e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ty Research" id="{6F3BB6C3-5C34-42AD-B7FA-EF7648A1071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5T13:17:40.529" personId="{6F3BB6C3-5C34-42AD-B7FA-EF7648A1071C}" id="{58635A6B-EC07-4E38-AA17-21F304DF8EA4}">
    <xltc:text>Source M1: 2026-09-04 A-share close RMB43.97; secondary market data corroborated by Yahoo Finance.</xltc:text>
  </xltc:threadedComment>
  <xltc:threadedComment ref="B5" dT="2026-09-05T13:17:40.53" personId="{6F3BB6C3-5C34-42AD-B7FA-EF7648A1071C}" id="{2E20CB74-3FB3-419F-B054-BB34BE05C4BC}">
    <xltc:text>Source S1: total share capital 5,772,996,075 at 2026H1.</xltc:text>
  </xltc:threadedComment>
  <xltc:threadedComment ref="B6" dT="2026-09-05T13:17:40.53" personId="{6F3BB6C3-5C34-42AD-B7FA-EF7648A1071C}" id="{B08C85C1-49DD-4536-899C-CDB3DD172415}">
    <xltc:text>Source S1: treasury shares 69,586,523; excluded from economic shares.</xltc:text>
  </xltc:threadedComment>
  <xltc:threadedComment ref="C19" dT="2026-09-05T13:17:40.53" personId="{6F3BB6C3-5C34-42AD-B7FA-EF7648A1071C}" id="{9759C69A-12DD-4A39-8472-B985E62EA74A}">
    <xltc:text>Analyst assumption: 2027 base average hog selling price RMB13.5/kg; not guidance or consensus.</xltc:text>
  </xltc:threadedComment>
  <xltc:threadedComment ref="C20" dT="2026-09-05T13:17:40.53" personId="{6F3BB6C3-5C34-42AD-B7FA-EF7648A1071C}" id="{A6997867-984B-479E-9E5D-016A8B4FCAD8}">
    <xltc:text>Analyst assumption: 2027 base full cost RMB11.2/kg; relies on sustained health and productivity gains.</xltc:text>
  </xltc:threadedComment>
  <xltc:threadedComment ref="C26" dT="2026-09-05T13:17:40.53" personId="{6F3BB6C3-5C34-42AD-B7FA-EF7648A1071C}" id="{9A83C03B-15BE-4CB1-ABE7-F8CE29246D45}">
    <xltc:text>Analyst assumption: 13x normalized P/E balances cost leadership against commodity cyclicality.</xltc:text>
  </xltc:threadedComment>
  <xltc:threadedComment ref="C27" dT="2026-09-05T13:17:40.53" personId="{6F3BB6C3-5C34-42AD-B7FA-EF7648A1071C}" id="{8D1CC0E5-890E-4DE7-A9A0-3DAF2FD919E9}">
    <xltc:text>Analyst assumption: 2.6x P/B cross-check for a capital-intensive cyclical leader.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191928b607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119bbc6d848d4f88" /><Relationship Type="http://schemas.openxmlformats.org/officeDocument/2006/relationships/vmlDrawing" Target="/xl/drawings/vmldrawing.vml" Id="Re2ff831e3df94480" /><Relationship Type="http://schemas.microsoft.com/office/2017/10/relationships/threadedComment" Target="/xl/threadedcomments/threadedcomment.xml" Id="Rd2c9ff67368349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9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牧原股份（002714.SZ / 2714.HK）基本面与估值模型</x:v>
      </x:c>
      <x:c r="B1" s="3" t="str">
        <x:v>牧原股份（002714.SZ / 2714.HK）基本面与估值模型</x:v>
      </x:c>
      <x:c r="C1" s="3" t="str">
        <x:v>牧原股份（002714.SZ / 2714.HK）基本面与估值模型</x:v>
      </x:c>
      <x:c r="D1" s="3" t="str">
        <x:v>牧原股份（002714.SZ / 2714.HK）基本面与估值模型</x:v>
      </x:c>
      <x:c r="E1" s="3" t="str">
        <x:v>牧原股份（002714.SZ / 2714.HK）基本面与估值模型</x:v>
      </x:c>
      <x:c r="F1" s="3" t="str">
        <x:v>牧原股份（002714.SZ / 2714.HK）基本面与估值模型</x:v>
      </x:c>
      <x:c r="G1" s="3" t="str">
        <x:v>牧原股份（002714.SZ / 2714.HK）基本面与估值模型</x:v>
      </x:c>
      <x:c r="H1" s="3" t="str">
        <x:v>牧原股份（002714.SZ / 2714.HK）基本面与估值模型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牧原食品集团股份有限公司</x:v>
      </x:c>
      <x:c r="J3" t="n">
        <x:f>'Assumptions'!B4</x:f>
        <x:v>43.97</x:v>
      </x:c>
    </x:row>
    <x:row r="4">
      <x:c r="A4" s="12" t="str">
        <x:v>价格基准</x:v>
      </x:c>
      <x:c r="B4" s="13" t="n">
        <x:v>46269</x:v>
      </x:c>
      <x:c r="J4" t="n">
        <x:f>'Assumptions'!B4</x:f>
        <x:v>43.97</x:v>
      </x:c>
    </x:row>
    <x:row r="5">
      <x:c r="A5" s="12" t="str">
        <x:v>资料截止</x:v>
      </x:c>
      <x:c r="B5" s="14" t="str">
        <x:v>2026-09-05</x:v>
      </x:c>
      <x:c r="J5" t="n">
        <x:f>'Assumptions'!B4</x:f>
        <x:v>43.97</x:v>
      </x:c>
    </x:row>
    <x:row r="6">
      <x:c r="A6" s="12" t="str">
        <x:v>报告货币</x:v>
      </x:c>
      <x:c r="B6" s="14" t="str">
        <x:v>人民币十亿元；每股价值为人民币</x:v>
      </x:c>
    </x:row>
    <x:row r="7">
      <x:c r="A7" s="12" t="str">
        <x:v>模型版本</x:v>
      </x:c>
      <x:c r="B7" s="14" t="str">
        <x:v>首次建档 / 2026H1 v1.0</x:v>
      </x:c>
    </x:row>
    <x:row r="8">
      <x:c r="A8" s="12" t="str">
        <x:v>估值框架</x:v>
      </x:c>
      <x:c r="B8" s="14" t="str">
        <x:v>60% 正常化P/E + 40% P/B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5" t="str">
        <x:v>当前判断</x:v>
      </x:c>
      <x:c r="B10" s="16" t="str">
        <x:v>中性观察；成本领先，但猪价与现金流风险仍高</x:v>
      </x:c>
    </x:row>
    <x:row r="12">
      <x:c r="A12" s="19" t="str">
        <x:v>关键输出</x:v>
      </x:c>
      <x:c r="B12" s="20" t="str">
        <x:v>数值</x:v>
      </x:c>
      <x:c r="C12" s="21" t="str">
        <x:v>说明</x:v>
      </x:c>
    </x:row>
    <x:row r="13">
      <x:c r="A13" s="11" t="str">
        <x:v>当前A股价</x:v>
      </x:c>
      <x:c r="B13" s="40" t="n">
        <x:f>'Assumptions'!B4</x:f>
        <x:v>43.97</x:v>
      </x:c>
      <x:c r="C13" s="11" t="str">
        <x:v>2026-09-04收盘</x:v>
      </x:c>
    </x:row>
    <x:row r="14">
      <x:c r="A14" s="14" t="str">
        <x:v>经济股数</x:v>
      </x:c>
      <x:c r="B14" s="41" t="n">
        <x:f>'Assumptions'!B7</x:f>
        <x:v>5.703409552</x:v>
      </x:c>
      <x:c r="C14" s="14" t="str">
        <x:v>期末股本减库存股</x:v>
      </x:c>
    </x:row>
    <x:row r="15">
      <x:c r="A15" s="14" t="str">
        <x:v>经济市值</x:v>
      </x:c>
      <x:c r="B15" s="42" t="n">
        <x:f>'Assumptions'!B8</x:f>
        <x:v>250.77891800144</x:v>
      </x:c>
      <x:c r="C15" s="14" t="str">
        <x:v>价格×经济股数</x:v>
      </x:c>
    </x:row>
    <x:row r="16">
      <x:c r="A16" s="14" t="str">
        <x:v>2026H1归母净利润</x:v>
      </x:c>
      <x:c r="B16" s="42" t="n">
        <x:f>'Historical'!E5</x:f>
        <x:v>-6.077653</x:v>
      </x:c>
      <x:c r="C16" s="14" t="str">
        <x:v>周期底部亏损</x:v>
      </x:c>
    </x:row>
    <x:row r="17">
      <x:c r="A17" s="14" t="str">
        <x:v>2026H1自由现金流</x:v>
      </x:c>
      <x:c r="B17" s="42" t="n">
        <x:f>'Historical'!E9</x:f>
        <x:v>-8.744668</x:v>
      </x:c>
      <x:c r="C17" s="14" t="str">
        <x:v>CFO-资本开支</x:v>
      </x:c>
    </x:row>
    <x:row r="18">
      <x:c r="A18" s="14" t="str">
        <x:v>广义净债务</x:v>
      </x:c>
      <x:c r="B18" s="42" t="n">
        <x:f>'Balance &amp; Cash'!B21</x:f>
        <x:v>57.25012800000001</x:v>
      </x:c>
      <x:c r="C18" s="14" t="str">
        <x:v>有息债务与租赁-现金及交易性金融资产</x:v>
      </x:c>
    </x:row>
    <x:row r="19">
      <x:c r="A19" s="14" t="str">
        <x:v>当前PB</x:v>
      </x:c>
      <x:c r="B19" s="43" t="n">
        <x:f>'Assumptions'!B10</x:f>
        <x:v>3.127441054177906</x:v>
      </x:c>
      <x:c r="C19" s="14" t="str">
        <x:v>经济市值/归母净资产</x:v>
      </x:c>
    </x:row>
    <x:row r="20">
      <x:c r="A20" s="14" t="str">
        <x:v>Bear价值</x:v>
      </x:c>
      <x:c r="B20" s="44" t="n">
        <x:f>'Valuation'!H5</x:f>
        <x:v>18.215003375230168</x:v>
      </x:c>
      <x:c r="C20" s="14" t="str">
        <x:v>低价差延续</x:v>
      </x:c>
    </x:row>
    <x:row r="21">
      <x:c r="A21" s="14" t="str">
        <x:v>Base价值</x:v>
      </x:c>
      <x:c r="B21" s="44" t="n">
        <x:f>'Valuation'!H6</x:f>
        <x:v>48.70861528479623</x:v>
      </x:c>
      <x:c r="C21" s="14" t="str">
        <x:v>价差正常化</x:v>
      </x:c>
    </x:row>
    <x:row r="22">
      <x:c r="A22" s="14" t="str">
        <x:v>Bull价值</x:v>
      </x:c>
      <x:c r="B22" s="44" t="n">
        <x:f>'Valuation'!H7</x:f>
        <x:v>81.26147962800198</x:v>
      </x:c>
      <x:c r="C22" s="14" t="str">
        <x:v>猪价与成本均兑现</x:v>
      </x:c>
    </x:row>
    <x:row r="23">
      <x:c r="A23" s="14" t="str">
        <x:v>Base相对现价</x:v>
      </x:c>
      <x:c r="B23" s="45" t="n">
        <x:f>'Valuation'!I6</x:f>
        <x:v>0.10776928098240246</x:v>
      </x:c>
      <x:c r="C23" s="14" t="str">
        <x:v>情景差异，不是收益保证</x:v>
      </x:c>
    </x:row>
    <x:row r="24">
      <x:c r="A24" s="14" t="str">
        <x:v>7月商品猪价</x:v>
      </x:c>
      <x:c r="B24" s="46" t="n">
        <x:f>'Operations'!F7</x:f>
        <x:v>10.64</x:v>
      </x:c>
      <x:c r="C24" s="14" t="str">
        <x:v>仍低于7月完全成本</x:v>
      </x:c>
    </x:row>
    <x:row r="25">
      <x:c r="A25" s="16" t="str">
        <x:v>7月完全成本</x:v>
      </x:c>
      <x:c r="B25" s="47" t="n">
        <x:f>'Operations'!G7</x:f>
        <x:v>11.5</x:v>
      </x:c>
      <x:c r="C25" s="16" t="str">
        <x:v>公司交流口径</x:v>
      </x:c>
    </x:row>
    <x:row r="28">
      <x:c r="A28" s="19" t="str">
        <x:v>研究结论</x:v>
      </x:c>
      <x:c r="B28" s="20" t="str">
        <x:v>研究结论</x:v>
      </x:c>
      <x:c r="C28" s="20" t="str">
        <x:v>研究结论</x:v>
      </x:c>
      <x:c r="D28" s="20" t="str">
        <x:v>研究结论</x:v>
      </x:c>
      <x:c r="E28" s="20" t="str">
        <x:v>研究结论</x:v>
      </x:c>
      <x:c r="F28" s="20" t="str">
        <x:v>研究结论</x:v>
      </x:c>
      <x:c r="G28" s="20" t="str">
        <x:v>研究结论</x:v>
      </x:c>
      <x:c r="H28" s="21" t="str">
        <x:v>研究结论</x:v>
      </x:c>
    </x:row>
    <x:row r="29" ht="24" customHeight="1">
      <x:c r="A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29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  <x:row r="30" ht="24" customHeight="1">
      <x:c r="A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30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  <x:row r="31" ht="24" customHeight="1">
      <x:c r="A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31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  <x:row r="32" ht="24" customHeight="1">
      <x:c r="A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32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  <x:row r="33" ht="24" customHeight="1">
      <x:c r="A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33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  <x:row r="34" ht="24" customHeight="1">
      <x:c r="A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34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  <x:row r="35" ht="24" customHeight="1">
      <x:c r="A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35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  <x:row r="36" ht="24" customHeight="1">
      <x:c r="A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B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C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D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E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F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G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  <x:c r="H36" s="50" t="str">
        <x:v>牧原的核心优势是规模化、育种健康体系与成本下降能力，但生猪属于无定价权的强周期品。2026H1商品猪均价约10.4元/kg，归母亏损60.78亿元，自由现金流约-87.45亿元；7月成本降至约11.5元/kg，售价10.64元/kg，仍未越过盈亏平衡。模型以2025年利润为锚，按正常化单位价差、出栏量和屠宰增益推导2027情景利润，再用60% P/E和40% P/B估值。Bear/Base/Bull价值约18.22/48.71/81.26元；43.97元对应Base上行约10.8%，安全边际一般，结论中性观察。</x:v>
      </x:c>
    </x:row>
  </x:sheetData>
  <x:mergeCells>
    <x:mergeCell ref="A1:H1"/>
    <x:mergeCell ref="A28:H28"/>
    <x:mergeCell ref="A29:H36"/>
  </x:mergeCells>
  <x:pageMargins left="0.7" right="0.7" top="0.75" bottom="0.75" header="0.3" footer="0.3"/>
  <x:drawing xmlns:r="http://schemas.openxmlformats.org/officeDocument/2006/relationships" r:id="Rf1191928b6074fc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</x:row>
    <x:row r="3">
      <x:c r="A3" s="53" t="str">
        <x:v>指标（RMB bn，除注明外）</x:v>
      </x:c>
      <x:c r="B3" s="54" t="str">
        <x:v>2023A</x:v>
      </x:c>
      <x:c r="C3" s="54" t="str">
        <x:v>2024A</x:v>
      </x:c>
      <x:c r="D3" s="54" t="str">
        <x:v>2025A</x:v>
      </x:c>
      <x:c r="E3" s="54" t="str">
        <x:v>2026H1</x:v>
      </x:c>
      <x:c r="F3" s="55" t="str">
        <x:v>口径/说明</x:v>
      </x:c>
    </x:row>
    <x:row r="4">
      <x:c r="A4" s="11" t="str">
        <x:v>营业收入</x:v>
      </x:c>
      <x:c r="B4" s="67" t="n">
        <x:v>110.860728</x:v>
      </x:c>
      <x:c r="C4" s="67" t="n">
        <x:v>137.946892</x:v>
      </x:c>
      <x:c r="D4" s="67" t="n">
        <x:v>144.145</x:v>
      </x:c>
      <x:c r="E4" s="67" t="n">
        <x:v>59.410306</x:v>
      </x:c>
      <x:c r="F4" s="11" t="str">
        <x:v>合并口径</x:v>
      </x:c>
    </x:row>
    <x:row r="5">
      <x:c r="A5" s="14" t="str">
        <x:v>归母净利润</x:v>
      </x:c>
      <x:c r="B5" s="68" t="n">
        <x:v>-4.263281</x:v>
      </x:c>
      <x:c r="C5" s="68" t="n">
        <x:v>17.88126</x:v>
      </x:c>
      <x:c r="D5" s="68" t="n">
        <x:v>15.4869</x:v>
      </x:c>
      <x:c r="E5" s="68" t="n">
        <x:v>-6.077653</x:v>
      </x:c>
      <x:c r="F5" s="14" t="str">
        <x:v>归属股东</x:v>
      </x:c>
    </x:row>
    <x:row r="6">
      <x:c r="A6" s="14" t="str">
        <x:v>扣非归母净利润</x:v>
      </x:c>
      <x:c r="B6" s="68" t="n">
        <x:v>-4.026263</x:v>
      </x:c>
      <x:c r="C6" s="68" t="n">
        <x:v>18.746856</x:v>
      </x:c>
      <x:c r="D6" s="68"/>
      <x:c r="E6" s="68" t="n">
        <x:v>-5.895303</x:v>
      </x:c>
      <x:c r="F6" s="14" t="str">
        <x:v>非经常损益剔除</x:v>
      </x:c>
    </x:row>
    <x:row r="7">
      <x:c r="A7" s="14" t="str">
        <x:v>经营现金流</x:v>
      </x:c>
      <x:c r="B7" s="68" t="n">
        <x:v>9.892817</x:v>
      </x:c>
      <x:c r="C7" s="68" t="n">
        <x:v>37.543066</x:v>
      </x:c>
      <x:c r="D7" s="68" t="n">
        <x:v>30.0562</x:v>
      </x:c>
      <x:c r="E7" s="68" t="n">
        <x:v>-2.223668</x:v>
      </x:c>
      <x:c r="F7" s="14" t="str">
        <x:v>现金流量表</x:v>
      </x:c>
    </x:row>
    <x:row r="8">
      <x:c r="A8" s="14" t="str">
        <x:v>资本开支现金支出</x:v>
      </x:c>
      <x:c r="B8" s="68"/>
      <x:c r="C8" s="68" t="n">
        <x:v>12.3807</x:v>
      </x:c>
      <x:c r="D8" s="68" t="n">
        <x:v>9.5289</x:v>
      </x:c>
      <x:c r="E8" s="68" t="n">
        <x:v>6.521</x:v>
      </x:c>
      <x:c r="F8" s="14" t="str">
        <x:v>购建长期资产现金</x:v>
      </x:c>
    </x:row>
    <x:row r="9">
      <x:c r="A9" s="69" t="str">
        <x:v>简化自由现金流</x:v>
      </x:c>
      <x:c r="B9" s="70"/>
      <x:c r="C9" s="70" t="n">
        <x:f>C7-C8</x:f>
        <x:v>25.162366000000006</x:v>
      </x:c>
      <x:c r="D9" s="70" t="n">
        <x:f>D7-D8</x:f>
        <x:v>20.5273</x:v>
      </x:c>
      <x:c r="E9" s="70" t="n">
        <x:f>E7-E8</x:f>
        <x:v>-8.744668</x:v>
      </x:c>
      <x:c r="F9" s="69" t="str">
        <x:v>CFO-Capex；研究计算</x:v>
      </x:c>
    </x:row>
    <x:row r="10">
      <x:c r="A10" s="69" t="str">
        <x:v>毛利润</x:v>
      </x:c>
      <x:c r="B10" s="70"/>
      <x:c r="C10" s="70" t="n">
        <x:v>28.6279</x:v>
      </x:c>
      <x:c r="D10" s="70" t="n">
        <x:v>25.6839</x:v>
      </x:c>
      <x:c r="E10" s="70" t="n">
        <x:v>-0.936091</x:v>
      </x:c>
      <x:c r="F10" s="69" t="str">
        <x:v>收入-营业成本</x:v>
      </x:c>
    </x:row>
    <x:row r="11">
      <x:c r="A11" s="69" t="str">
        <x:v>综合毛利率</x:v>
      </x:c>
      <x:c r="B11" s="71"/>
      <x:c r="C11" s="71" t="n">
        <x:f>C10/C4</x:f>
        <x:v>0.20752841608058847</x:v>
      </x:c>
      <x:c r="D11" s="71" t="n">
        <x:f>D10/D4</x:f>
        <x:v>0.17818099830032258</x:v>
      </x:c>
      <x:c r="E11" s="71" t="n">
        <x:f>E10/E4</x:f>
        <x:v>-0.01575637398669517</x:v>
      </x:c>
      <x:c r="F11" s="69" t="str">
        <x:v>研究计算</x:v>
      </x:c>
    </x:row>
    <x:row r="12">
      <x:c r="A12" s="69" t="str">
        <x:v>归母净利率</x:v>
      </x:c>
      <x:c r="B12" s="71" t="n">
        <x:f>B5/B4</x:f>
        <x:v>-0.038456188019981255</x:v>
      </x:c>
      <x:c r="C12" s="71" t="n">
        <x:f>C5/C4</x:f>
        <x:v>0.12962423249086324</x:v>
      </x:c>
      <x:c r="D12" s="71" t="n">
        <x:f>D5/D4</x:f>
        <x:v>0.10743973082659822</x:v>
      </x:c>
      <x:c r="E12" s="71" t="n">
        <x:f>E5/E4</x:f>
        <x:v>-0.1022996414123839</x:v>
      </x:c>
      <x:c r="F12" s="69" t="str">
        <x:v>研究计算</x:v>
      </x:c>
    </x:row>
    <x:row r="13">
      <x:c r="A13" s="69" t="str">
        <x:v>CFO/归母净利润</x:v>
      </x:c>
      <x:c r="B13" s="71" t="n">
        <x:f>B7/B5</x:f>
        <x:v>-2.32047031382637</x:v>
      </x:c>
      <x:c r="C13" s="71" t="n">
        <x:f>C7/C5</x:f>
        <x:v>2.099576092512496</x:v>
      </x:c>
      <x:c r="D13" s="71" t="n">
        <x:f>D7/D5</x:f>
        <x:v>1.9407499241294255</x:v>
      </x:c>
      <x:c r="E13" s="71" t="n">
        <x:f>E7/E5</x:f>
        <x:v>0.36587610381836544</x:v>
      </x:c>
      <x:c r="F13" s="69" t="str">
        <x:v>亏损期不具可比性</x:v>
      </x:c>
    </x:row>
    <x:row r="14">
      <x:c r="A14" s="69" t="str">
        <x:v>EBITDA</x:v>
      </x:c>
      <x:c r="B14" s="70"/>
      <x:c r="C14" s="70" t="n">
        <x:v>36.9453</x:v>
      </x:c>
      <x:c r="D14" s="70" t="n">
        <x:v>33.5377</x:v>
      </x:c>
      <x:c r="E14" s="70" t="n">
        <x:v>3.4805</x:v>
      </x:c>
      <x:c r="F14" s="69" t="str">
        <x:v>公司调整口径</x:v>
      </x:c>
    </x:row>
    <x:row r="15">
      <x:c r="A15" s="69" t="str">
        <x:v>EBITDA率</x:v>
      </x:c>
      <x:c r="B15" s="71"/>
      <x:c r="C15" s="71" t="n">
        <x:f>C14/C4</x:f>
        <x:v>0.2678226342352099</x:v>
      </x:c>
      <x:c r="D15" s="71" t="n">
        <x:f>D14/D4</x:f>
        <x:v>0.232666412293177</x:v>
      </x:c>
      <x:c r="E15" s="71" t="n">
        <x:f>E14/E4</x:f>
        <x:v>0.058584111652277976</x:v>
      </x:c>
      <x:c r="F15" s="69" t="str">
        <x:v>研究计算</x:v>
      </x:c>
    </x:row>
    <x:row r="16">
      <x:c r="A16" s="14" t="str">
        <x:v>基本EPS</x:v>
      </x:c>
      <x:c r="B16" s="72" t="n">
        <x:v>-0.79</x:v>
      </x:c>
      <x:c r="C16" s="72" t="n">
        <x:v>3.31</x:v>
      </x:c>
      <x:c r="D16" s="72" t="n">
        <x:v>2.85</x:v>
      </x:c>
      <x:c r="E16" s="72" t="n">
        <x:v>-1.1</x:v>
      </x:c>
      <x:c r="F16" s="14" t="str">
        <x:v>RMB/股</x:v>
      </x:c>
    </x:row>
    <x:row r="17">
      <x:c r="A17" s="73" t="str">
        <x:v>审计状态</x:v>
      </x:c>
      <x:c r="B17" s="73" t="str">
        <x:v>经审计</x:v>
      </x:c>
      <x:c r="C17" s="73" t="str">
        <x:v>经审计</x:v>
      </x:c>
      <x:c r="D17" s="73" t="str">
        <x:v>经审计</x:v>
      </x:c>
      <x:c r="E17" s="73" t="str">
        <x:v>未经审计</x:v>
      </x:c>
      <x:c r="F17" s="73" t="str">
        <x:v>审计/审阅状态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生猪运营、单位经济与屠宰业务</x:v>
      </x:c>
      <x:c r="B1" s="3" t="str">
        <x:v>生猪运营、单位经济与屠宰业务</x:v>
      </x:c>
      <x:c r="C1" s="3" t="str">
        <x:v>生猪运营、单位经济与屠宰业务</x:v>
      </x:c>
      <x:c r="D1" s="3" t="str">
        <x:v>生猪运营、单位经济与屠宰业务</x:v>
      </x:c>
      <x:c r="E1" s="3" t="str">
        <x:v>生猪运营、单位经济与屠宰业务</x:v>
      </x:c>
      <x:c r="F1" s="3" t="str">
        <x:v>生猪运营、单位经济与屠宰业务</x:v>
      </x:c>
      <x:c r="G1" s="3" t="str">
        <x:v>生猪运营、单位经济与屠宰业务</x:v>
      </x:c>
      <x:c r="H1" s="3" t="str">
        <x:v>生猪运营、单位经济与屠宰业务</x:v>
      </x:c>
    </x:row>
    <x:row r="3">
      <x:c r="A3" s="19" t="str">
        <x:v>期间</x:v>
      </x:c>
      <x:c r="B3" s="20" t="str">
        <x:v>商品猪销量</x:v>
      </x:c>
      <x:c r="C3" s="20" t="str">
        <x:v>累计销量</x:v>
      </x:c>
      <x:c r="D3" s="20" t="str">
        <x:v>屠宰量</x:v>
      </x:c>
      <x:c r="E3" s="20" t="str">
        <x:v>屠宰利用率</x:v>
      </x:c>
      <x:c r="F3" s="20" t="str">
        <x:v>商品猪售价</x:v>
      </x:c>
      <x:c r="G3" s="20" t="str">
        <x:v>完全成本</x:v>
      </x:c>
      <x:c r="H3" s="21" t="str">
        <x:v>观察</x:v>
      </x:c>
    </x:row>
    <x:row r="4">
      <x:c r="A4" s="11" t="str">
        <x:v>2024A</x:v>
      </x:c>
      <x:c r="B4" s="86" t="n">
        <x:v>71.602</x:v>
      </x:c>
      <x:c r="C4" s="86" t="n">
        <x:v>71.602</x:v>
      </x:c>
      <x:c r="D4" s="86" t="n">
        <x:v>12.5244</x:v>
      </x:c>
      <x:c r="E4" s="87" t="n">
        <x:v>0.432</x:v>
      </x:c>
      <x:c r="F4" s="88" t="n">
        <x:v>16.32</x:v>
      </x:c>
      <x:c r="G4" s="88" t="n">
        <x:v>14</x:v>
      </x:c>
      <x:c r="H4" s="11" t="str">
        <x:v>高猪价与降本共振</x:v>
      </x:c>
    </x:row>
    <x:row r="5">
      <x:c r="A5" s="14" t="str">
        <x:v>2025A</x:v>
      </x:c>
      <x:c r="B5" s="89" t="n">
        <x:v>77.981</x:v>
      </x:c>
      <x:c r="C5" s="89" t="n">
        <x:v>77.981</x:v>
      </x:c>
      <x:c r="D5" s="89" t="n">
        <x:v>28.663</x:v>
      </x:c>
      <x:c r="E5" s="90" t="n">
        <x:v>0.988</x:v>
      </x:c>
      <x:c r="F5" s="91" t="n">
        <x:v>13.5</x:v>
      </x:c>
      <x:c r="G5" s="91" t="n">
        <x:v>12</x:v>
      </x:c>
      <x:c r="H5" s="14" t="str">
        <x:v>屠宰首个全年盈利</x:v>
      </x:c>
    </x:row>
    <x:row r="6">
      <x:c r="A6" s="14" t="str">
        <x:v>2026H1</x:v>
      </x:c>
      <x:c r="B6" s="89" t="n">
        <x:v>38.615</x:v>
      </x:c>
      <x:c r="C6" s="89" t="n">
        <x:v>38.615</x:v>
      </x:c>
      <x:c r="D6" s="89" t="n">
        <x:v>17.234</x:v>
      </x:c>
      <x:c r="E6" s="90" t="n">
        <x:v>1</x:v>
      </x:c>
      <x:c r="F6" s="91" t="n">
        <x:v>10.4</x:v>
      </x:c>
      <x:c r="G6" s="91" t="n">
        <x:v>11.7</x:v>
      </x:c>
      <x:c r="H6" s="14" t="str">
        <x:v>售价同比约-28%；成本为6月</x:v>
      </x:c>
    </x:row>
    <x:row r="7">
      <x:c r="A7" s="92" t="str">
        <x:v>2026年7月</x:v>
      </x:c>
      <x:c r="B7" s="93" t="n">
        <x:v>6.66</x:v>
      </x:c>
      <x:c r="C7" s="93" t="n">
        <x:v>45.28</x:v>
      </x:c>
      <x:c r="D7" s="93" t="n">
        <x:v>2.763</x:v>
      </x:c>
      <x:c r="E7" s="94"/>
      <x:c r="F7" s="95" t="n">
        <x:v>10.64</x:v>
      </x:c>
      <x:c r="G7" s="95" t="n">
        <x:v>11.5</x:v>
      </x:c>
      <x:c r="H7" s="92" t="str">
        <x:v>售价仍低于成本0.86元/kg</x:v>
      </x:c>
    </x:row>
    <x:row r="10">
      <x:c r="A10" s="19" t="str">
        <x:v>2026H1分部</x:v>
      </x:c>
      <x:c r="B10" s="20" t="str">
        <x:v>收入</x:v>
      </x:c>
      <x:c r="C10" s="20" t="str">
        <x:v>营业成本</x:v>
      </x:c>
      <x:c r="D10" s="20" t="str">
        <x:v>毛利</x:v>
      </x:c>
      <x:c r="E10" s="20" t="str">
        <x:v>毛利率</x:v>
      </x:c>
      <x:c r="F10" s="21" t="str">
        <x:v>说明</x:v>
      </x:c>
    </x:row>
    <x:row r="11">
      <x:c r="A11" s="11" t="str">
        <x:v>生猪养殖</x:v>
      </x:c>
      <x:c r="B11" s="67" t="n">
        <x:v>52.430296</x:v>
      </x:c>
      <x:c r="C11" s="67" t="n">
        <x:v>54.795342</x:v>
      </x:c>
      <x:c r="D11" s="67" t="n">
        <x:f>B11-C11</x:f>
        <x:v>-2.3650459999999995</x:v>
      </x:c>
      <x:c r="E11" s="106" t="n">
        <x:f>D11/B11</x:f>
        <x:v>-0.04510838542662433</x:v>
      </x:c>
      <x:c r="F11" s="11" t="str">
        <x:v>核心养殖；毛利为负</x:v>
      </x:c>
    </x:row>
    <x:row r="12">
      <x:c r="A12" s="14" t="str">
        <x:v>屠宰与肉食</x:v>
      </x:c>
      <x:c r="B12" s="68" t="n">
        <x:v>22.061249</x:v>
      </x:c>
      <x:c r="C12" s="68" t="n">
        <x:v>21.1248</x:v>
      </x:c>
      <x:c r="D12" s="68" t="n">
        <x:f>B12-C12</x:f>
        <x:v>0.9364489999999996</x:v>
      </x:c>
      <x:c r="E12" s="107" t="n">
        <x:f>D12/B12</x:f>
        <x:v>0.04244768734535382</x:v>
      </x:c>
      <x:c r="F12" s="14" t="str">
        <x:v>H1每月盈利；销量同比+51%</x:v>
      </x:c>
    </x:row>
    <x:row r="13">
      <x:c r="A13" s="14" t="str">
        <x:v>贸易</x:v>
      </x:c>
      <x:c r="B13" s="68" t="n">
        <x:v>4.319431</x:v>
      </x:c>
      <x:c r="C13" s="68" t="n">
        <x:v>4.290207</x:v>
      </x:c>
      <x:c r="D13" s="68" t="n">
        <x:f>B13-C13</x:f>
        <x:v>0.02922400000000014</x:v>
      </x:c>
      <x:c r="E13" s="107" t="n">
        <x:f>D13/B13</x:f>
        <x:v>0.00676570594599153</x:v>
      </x:c>
      <x:c r="F13" s="14" t="str">
        <x:v>低毛利周转</x:v>
      </x:c>
    </x:row>
    <x:row r="14">
      <x:c r="A14" s="14" t="str">
        <x:v>其他</x:v>
      </x:c>
      <x:c r="B14" s="68" t="n">
        <x:v>1.63975</x:v>
      </x:c>
      <x:c r="C14" s="68" t="n">
        <x:v>1.488161</x:v>
      </x:c>
      <x:c r="D14" s="68" t="n">
        <x:f>B14-C14</x:f>
        <x:v>0.15158899999999997</x:v>
      </x:c>
      <x:c r="E14" s="107" t="n">
        <x:f>D14/B14</x:f>
        <x:v>0.09244640951364536</x:v>
      </x:c>
      <x:c r="F14" s="14" t="str">
        <x:v>配套业务</x:v>
      </x:c>
    </x:row>
    <x:row r="15">
      <x:c r="A15" s="14" t="str">
        <x:v>内部抵销</x:v>
      </x:c>
      <x:c r="B15" s="68" t="n">
        <x:v>-21.040419</x:v>
      </x:c>
      <x:c r="C15" s="68" t="n">
        <x:v>-21.352113</x:v>
      </x:c>
      <x:c r="D15" s="68" t="n">
        <x:f>B15-C15</x:f>
        <x:v>0.31169399999999925</x:v>
      </x:c>
      <x:c r="E15" s="107" t="n">
        <x:f>D15/B15</x:f>
        <x:v>-0.014814058598357726</x:v>
      </x:c>
      <x:c r="F15" s="14" t="str">
        <x:v>分部间销售抵销</x:v>
      </x:c>
    </x:row>
    <x:row r="16">
      <x:c r="A16" s="108" t="str">
        <x:v>合计</x:v>
      </x:c>
      <x:c r="B16" s="109" t="n">
        <x:f>SUM(B11:B15)</x:f>
        <x:v>59.410307</x:v>
      </x:c>
      <x:c r="C16" s="109" t="n">
        <x:f>SUM(C11:C15)</x:f>
        <x:v>60.346396999999996</x:v>
      </x:c>
      <x:c r="D16" s="109" t="n">
        <x:f>B16-C16</x:f>
        <x:v>-0.936089999999993</x:v>
      </x:c>
      <x:c r="E16" s="110" t="n">
        <x:f>D16/B16</x:f>
        <x:v>-0.015756356889386095</x:v>
      </x:c>
      <x:c r="F16" s="108" t="str">
        <x:v>合并口径</x:v>
      </x:c>
    </x:row>
    <x:row r="19">
      <x:c r="A19" s="19" t="str">
        <x:v>运营驱动</x:v>
      </x:c>
      <x:c r="B19" s="20" t="str">
        <x:v>2026H1/最新</x:v>
      </x:c>
      <x:c r="C19" s="20" t="str">
        <x:v>单位</x:v>
      </x:c>
      <x:c r="D19" s="21" t="str">
        <x:v>判断</x:v>
      </x:c>
    </x:row>
    <x:row r="20">
      <x:c r="A20" s="11" t="str">
        <x:v>商品猪销量</x:v>
      </x:c>
      <x:c r="B20" s="117" t="n">
        <x:v>38.615</x:v>
      </x:c>
      <x:c r="C20" s="11" t="str">
        <x:v>mn heads</x:v>
      </x:c>
      <x:c r="D20" s="11" t="str">
        <x:v>公司规模壁垒</x:v>
      </x:c>
    </x:row>
    <x:row r="21">
      <x:c r="A21" s="14" t="str">
        <x:v>屠宰量</x:v>
      </x:c>
      <x:c r="B21" s="118" t="n">
        <x:v>17.234</x:v>
      </x:c>
      <x:c r="C21" s="14" t="str">
        <x:v>mn heads</x:v>
      </x:c>
      <x:c r="D21" s="14" t="str">
        <x:v>同比+51%，利用率超过100%</x:v>
      </x:c>
    </x:row>
    <x:row r="22">
      <x:c r="A22" s="14" t="str">
        <x:v>肉制品销量</x:v>
      </x:c>
      <x:c r="B22" s="118" t="n">
        <x:v>1.9165</x:v>
      </x:c>
      <x:c r="C22" s="14" t="str">
        <x:v>mn tonnes</x:v>
      </x:c>
      <x:c r="D22" s="14" t="str">
        <x:v>屠宰端规模化</x:v>
      </x:c>
    </x:row>
    <x:row r="23">
      <x:c r="A23" s="14" t="str">
        <x:v>计划能繁母猪</x:v>
      </x:c>
      <x:c r="B23" s="118" t="n">
        <x:v>3</x:v>
      </x:c>
      <x:c r="C23" s="14" t="str">
        <x:v>mn heads</x:v>
      </x:c>
      <x:c r="D23" s="14" t="str">
        <x:v>2026-09末低于此值</x:v>
      </x:c>
    </x:row>
    <x:row r="24">
      <x:c r="A24" s="14" t="str">
        <x:v>分割品占比</x:v>
      </x:c>
      <x:c r="B24" s="119" t="n">
        <x:v>0.35</x:v>
      </x:c>
      <x:c r="C24" s="14" t="str">
        <x:v>中值假设</x:v>
      </x:c>
      <x:c r="D24" s="14" t="str">
        <x:v>公司披露30%-40%</x:v>
      </x:c>
    </x:row>
    <x:row r="25">
      <x:c r="A25" s="16" t="str">
        <x:v>长期单头价值增益</x:v>
      </x:c>
      <x:c r="B25" s="120" t="n">
        <x:v>100</x:v>
      </x:c>
      <x:c r="C25" s="16" t="str">
        <x:v>RMB/head</x:v>
      </x:c>
      <x:c r="D25" s="16" t="str">
        <x:v>公司目标；非模型硬假设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30" customHeight="1">
      <x:c r="A1" s="3" t="str">
        <x:v>资产负债表、现金流与治理观察</x:v>
      </x:c>
      <x:c r="B1" s="3" t="str">
        <x:v>资产负债表、现金流与治理观察</x:v>
      </x:c>
      <x:c r="C1" s="3" t="str">
        <x:v>资产负债表、现金流与治理观察</x:v>
      </x:c>
      <x:c r="D1" s="3" t="str">
        <x:v>资产负债表、现金流与治理观察</x:v>
      </x:c>
      <x:c r="E1" s="3" t="str">
        <x:v>资产负债表、现金流与治理观察</x:v>
      </x:c>
      <x:c r="F1" s="3" t="str">
        <x:v>资产负债表、现金流与治理观察</x:v>
      </x:c>
    </x:row>
    <x:row r="3">
      <x:c r="A3" s="19" t="str">
        <x:v>资产负债表（RMB bn）</x:v>
      </x:c>
      <x:c r="B3" s="20" t="str">
        <x:v>2025-12-31</x:v>
      </x:c>
      <x:c r="C3" s="20" t="str">
        <x:v>2026-06-30</x:v>
      </x:c>
      <x:c r="D3" s="21" t="str">
        <x:v>变化</x:v>
      </x:c>
    </x:row>
    <x:row r="4">
      <x:c r="A4" s="11" t="str">
        <x:v>总资产</x:v>
      </x:c>
      <x:c r="B4" s="67" t="n">
        <x:v>171.741</x:v>
      </x:c>
      <x:c r="C4" s="67" t="n">
        <x:v>175.063112</x:v>
      </x:c>
      <x:c r="D4" s="106" t="n">
        <x:f>IF(OR(B4="",B4=0),"",C4/B4-1)</x:f>
        <x:v>0.019343732713795525</x:v>
      </x:c>
    </x:row>
    <x:row r="5">
      <x:c r="A5" s="14" t="str">
        <x:v>归母净资产</x:v>
      </x:c>
      <x:c r="B5" s="68" t="n">
        <x:v>78.742</x:v>
      </x:c>
      <x:c r="C5" s="68" t="n">
        <x:v>80.186617</x:v>
      </x:c>
      <x:c r="D5" s="107" t="n">
        <x:f>IF(OR(B5="",B5=0),"",C5/B5-1)</x:f>
        <x:v>0.018346206598765402</x:v>
      </x:c>
    </x:row>
    <x:row r="6">
      <x:c r="A6" s="14" t="str">
        <x:v>总负债</x:v>
      </x:c>
      <x:c r="B6" s="68" t="n">
        <x:v>92.999</x:v>
      </x:c>
      <x:c r="C6" s="68" t="n">
        <x:v>94.847918</x:v>
      </x:c>
      <x:c r="D6" s="107" t="n">
        <x:f>IF(OR(B6="",B6=0),"",C6/B6-1)</x:f>
        <x:v>0.019881052484435502</x:v>
      </x:c>
    </x:row>
    <x:row r="7">
      <x:c r="A7" s="14" t="str">
        <x:v>现金及银行结余</x:v>
      </x:c>
      <x:c r="B7" s="68" t="n">
        <x:v>12.7781</x:v>
      </x:c>
      <x:c r="C7" s="68" t="n">
        <x:v>16.546554</x:v>
      </x:c>
      <x:c r="D7" s="107" t="n">
        <x:f>IF(OR(B7="",B7=0),"",C7/B7-1)</x:f>
        <x:v>0.2949150499683051</x:v>
      </x:c>
    </x:row>
    <x:row r="8">
      <x:c r="A8" s="14" t="str">
        <x:v>交易性金融资产</x:v>
      </x:c>
      <x:c r="B8" s="68"/>
      <x:c r="C8" s="68" t="n">
        <x:v>1.005423</x:v>
      </x:c>
      <x:c r="D8" s="107" t="str">
        <x:f>IF(OR(B8="",B8=0),"",C8/B8-1)</x:f>
      </x:c>
    </x:row>
    <x:row r="9">
      <x:c r="A9" s="14" t="str">
        <x:v>存货</x:v>
      </x:c>
      <x:c r="B9" s="68"/>
      <x:c r="C9" s="68" t="n">
        <x:v>38.297859</x:v>
      </x:c>
      <x:c r="D9" s="107" t="str">
        <x:f>IF(OR(B9="",B9=0),"",C9/B9-1)</x:f>
      </x:c>
    </x:row>
    <x:row r="10">
      <x:c r="A10" s="14" t="str">
        <x:v>生产性生物资产</x:v>
      </x:c>
      <x:c r="B10" s="68" t="n">
        <x:v>6.7972</x:v>
      </x:c>
      <x:c r="C10" s="68" t="n">
        <x:v>8.9386</x:v>
      </x:c>
      <x:c r="D10" s="107" t="n">
        <x:f>IF(OR(B10="",B10=0),"",C10/B10-1)</x:f>
        <x:v>0.31504148767139406</x:v>
      </x:c>
    </x:row>
    <x:row r="11">
      <x:c r="A11" s="14" t="str">
        <x:v>短期借款</x:v>
      </x:c>
      <x:c r="B11" s="68"/>
      <x:c r="C11" s="68" t="n">
        <x:v>47.252289</x:v>
      </x:c>
      <x:c r="D11" s="107" t="str">
        <x:f>IF(OR(B11="",B11=0),"",C11/B11-1)</x:f>
      </x:c>
    </x:row>
    <x:row r="12">
      <x:c r="A12" s="14" t="str">
        <x:v>一年内到期非流动负债</x:v>
      </x:c>
      <x:c r="B12" s="68"/>
      <x:c r="C12" s="68" t="n">
        <x:v>9.580019</x:v>
      </x:c>
      <x:c r="D12" s="107" t="str">
        <x:f>IF(OR(B12="",B12=0),"",C12/B12-1)</x:f>
      </x:c>
    </x:row>
    <x:row r="13">
      <x:c r="A13" s="14" t="str">
        <x:v>长期借款</x:v>
      </x:c>
      <x:c r="B13" s="68"/>
      <x:c r="C13" s="68" t="n">
        <x:v>4.643135</x:v>
      </x:c>
      <x:c r="D13" s="107" t="str">
        <x:f>IF(OR(B13="",B13=0),"",C13/B13-1)</x:f>
      </x:c>
    </x:row>
    <x:row r="14">
      <x:c r="A14" s="14" t="str">
        <x:v>应付债券</x:v>
      </x:c>
      <x:c r="B14" s="68"/>
      <x:c r="C14" s="68" t="n">
        <x:v>11.296754</x:v>
      </x:c>
      <x:c r="D14" s="107" t="str">
        <x:f>IF(OR(B14="",B14=0),"",C14/B14-1)</x:f>
      </x:c>
    </x:row>
    <x:row r="15">
      <x:c r="A15" s="14" t="str">
        <x:v>租赁负债</x:v>
      </x:c>
      <x:c r="B15" s="68"/>
      <x:c r="C15" s="68" t="n">
        <x:v>2.029908</x:v>
      </x:c>
      <x:c r="D15" s="107" t="str">
        <x:f>IF(OR(B15="",B15=0),"",C15/B15-1)</x:f>
      </x:c>
    </x:row>
    <x:row r="16">
      <x:c r="A16" s="14" t="str">
        <x:v>流动资产</x:v>
      </x:c>
      <x:c r="B16" s="68"/>
      <x:c r="C16" s="68" t="n">
        <x:v>59.793733</x:v>
      </x:c>
      <x:c r="D16" s="107" t="str">
        <x:f>IF(OR(B16="",B16=0),"",C16/B16-1)</x:f>
      </x:c>
    </x:row>
    <x:row r="17">
      <x:c r="A17" s="14" t="str">
        <x:v>流动负债</x:v>
      </x:c>
      <x:c r="B17" s="68"/>
      <x:c r="C17" s="68" t="n">
        <x:v>75.337</x:v>
      </x:c>
      <x:c r="D17" s="107" t="str">
        <x:f>IF(OR(B17="",B17=0),"",C17/B17-1)</x:f>
      </x:c>
    </x:row>
    <x:row r="18">
      <x:c r="A18" s="16" t="str">
        <x:v>资产负债率</x:v>
      </x:c>
      <x:c r="B18" s="121" t="n">
        <x:v>0.5415</x:v>
      </x:c>
      <x:c r="C18" s="121" t="n">
        <x:v>0.5418</x:v>
      </x:c>
      <x:c r="D18" s="121" t="n">
        <x:f>C18-B18</x:f>
        <x:v>0.00029999999999996696</x:v>
      </x:c>
    </x:row>
    <x:row r="20">
      <x:c r="A20" s="19" t="str">
        <x:v>债务与流动性（2026-06-30）</x:v>
      </x:c>
      <x:c r="B20" s="20" t="str">
        <x:v>数值</x:v>
      </x:c>
      <x:c r="C20" s="20" t="str">
        <x:v>单位</x:v>
      </x:c>
      <x:c r="D20" s="21" t="str">
        <x:v>说明</x:v>
      </x:c>
    </x:row>
    <x:row r="21">
      <x:c r="A21" s="11" t="str">
        <x:v>广义净债务</x:v>
      </x:c>
      <x:c r="B21" s="67" t="n">
        <x:f>C11+C12+C13+C14+C15-C7-C8</x:f>
        <x:v>57.25012800000001</x:v>
      </x:c>
      <x:c r="C21" s="11" t="str">
        <x:v>RMB bn</x:v>
      </x:c>
      <x:c r="D21" s="11" t="str">
        <x:v>含租赁；扣除现金和交易性金融资产</x:v>
      </x:c>
    </x:row>
    <x:row r="22">
      <x:c r="A22" s="14" t="str">
        <x:v>窄口径净债务</x:v>
      </x:c>
      <x:c r="B22" s="68" t="n">
        <x:f>C11+C12+C13+C14-C7-C8</x:f>
        <x:v>55.220220000000005</x:v>
      </x:c>
      <x:c r="C22" s="14" t="str">
        <x:v>RMB bn</x:v>
      </x:c>
      <x:c r="D22" s="14" t="str">
        <x:v>不含租赁</x:v>
      </x:c>
    </x:row>
    <x:row r="23">
      <x:c r="A23" s="14" t="str">
        <x:v>广义净债务/归母净资产</x:v>
      </x:c>
      <x:c r="B23" s="72" t="n">
        <x:f>B21/C5</x:f>
        <x:v>0.713961133938348</x:v>
      </x:c>
      <x:c r="C23" s="14" t="str">
        <x:v>x</x:v>
      </x:c>
      <x:c r="D23" s="14" t="str">
        <x:v>中高杠杆</x:v>
      </x:c>
    </x:row>
    <x:row r="24">
      <x:c r="A24" s="14" t="str">
        <x:v>流动比率</x:v>
      </x:c>
      <x:c r="B24" s="72" t="n">
        <x:f>C16/C17</x:f>
        <x:v>0.7936834888567371</x:v>
      </x:c>
      <x:c r="C24" s="14" t="str">
        <x:v>x</x:v>
      </x:c>
      <x:c r="D24" s="14" t="str">
        <x:v>短债与营运资金压力</x:v>
      </x:c>
    </x:row>
    <x:row r="25">
      <x:c r="A25" s="14" t="str">
        <x:v>H1经营现金流</x:v>
      </x:c>
      <x:c r="B25" s="68" t="n">
        <x:v>-2.223668</x:v>
      </x:c>
      <x:c r="C25" s="14" t="str">
        <x:v>RMB bn</x:v>
      </x:c>
      <x:c r="D25" s="14" t="str">
        <x:v>周期底部转负</x:v>
      </x:c>
    </x:row>
    <x:row r="26">
      <x:c r="A26" s="14" t="str">
        <x:v>H1资本开支</x:v>
      </x:c>
      <x:c r="B26" s="68" t="n">
        <x:v>6.521</x:v>
      </x:c>
      <x:c r="C26" s="14" t="str">
        <x:v>RMB bn</x:v>
      </x:c>
      <x:c r="D26" s="14" t="str">
        <x:v>H1购建长期资产现金</x:v>
      </x:c>
    </x:row>
    <x:row r="27">
      <x:c r="A27" s="14" t="str">
        <x:v>H1简化自由现金流</x:v>
      </x:c>
      <x:c r="B27" s="68" t="n">
        <x:f>B25-B26</x:f>
        <x:v>-8.744668</x:v>
      </x:c>
      <x:c r="C27" s="14" t="str">
        <x:v>RMB bn</x:v>
      </x:c>
      <x:c r="D27" s="14" t="str">
        <x:v>CFO-Capex</x:v>
      </x:c>
    </x:row>
    <x:row r="28">
      <x:c r="A28" s="14" t="str">
        <x:v>H1 EBITDA</x:v>
      </x:c>
      <x:c r="B28" s="68" t="n">
        <x:v>3.4805</x:v>
      </x:c>
      <x:c r="C28" s="14" t="str">
        <x:v>RMB bn</x:v>
      </x:c>
      <x:c r="D28" s="14" t="str">
        <x:v>亏损期仍为正，来自高折旧</x:v>
      </x:c>
    </x:row>
    <x:row r="29">
      <x:c r="A29" s="16" t="str">
        <x:v>现金融资缓冲</x:v>
      </x:c>
      <x:c r="B29" s="122" t="n">
        <x:v>10.482</x:v>
      </x:c>
      <x:c r="C29" s="16" t="str">
        <x:v>RMB bn</x:v>
      </x:c>
      <x:c r="D29" s="16" t="str">
        <x:v>H股全球发售净募集折人民币</x:v>
      </x:c>
    </x:row>
    <x:row r="32">
      <x:c r="A32" s="19" t="str">
        <x:v>治理/关联交易观察</x:v>
      </x:c>
      <x:c r="B32" s="20" t="str">
        <x:v>H1金额</x:v>
      </x:c>
      <x:c r="C32" s="20" t="str">
        <x:v>占收入</x:v>
      </x:c>
      <x:c r="D32" s="21" t="str">
        <x:v>研究判断</x:v>
      </x:c>
    </x:row>
    <x:row r="33">
      <x:c r="A33" s="11" t="str">
        <x:v>牧原建筑等施工/材料</x:v>
      </x:c>
      <x:c r="B33" s="67" t="n">
        <x:v>2.3788</x:v>
      </x:c>
      <x:c r="C33" s="87" t="n">
        <x:f>B33/'Historical'!$E$4</x:f>
        <x:v>0.040040191006590675</x:v>
      </x:c>
      <x:c r="D33" s="11" t="str">
        <x:v>规模较大，但在已批准额度内</x:v>
      </x:c>
    </x:row>
    <x:row r="34">
      <x:c r="A34" s="14" t="str">
        <x:v>兽药及生物制品</x:v>
      </x:c>
      <x:c r="B34" s="68" t="n">
        <x:v>1.1443</x:v>
      </x:c>
      <x:c r="C34" s="90" t="n">
        <x:f>B34/'Historical'!$E$4</x:f>
        <x:v>0.019260967953943886</x:v>
      </x:c>
      <x:c r="D34" s="14" t="str">
        <x:v>供应链协同与独立性并存</x:v>
      </x:c>
    </x:row>
    <x:row r="35">
      <x:c r="A35" s="14" t="str">
        <x:v>物流、能源及其他</x:v>
      </x:c>
      <x:c r="B35" s="68" t="n">
        <x:v>0.9169</x:v>
      </x:c>
      <x:c r="C35" s="90" t="n">
        <x:f>B35/'Historical'!$E$4</x:f>
        <x:v>0.015433349223954512</x:v>
      </x:c>
      <x:c r="D35" s="14" t="str">
        <x:v>需持续跟踪定价公允性</x:v>
      </x:c>
    </x:row>
    <x:row r="36">
      <x:c r="A36" s="130" t="str">
        <x:v>主要关联采购合计</x:v>
      </x:c>
      <x:c r="B36" s="131" t="n">
        <x:f>SUM(B33:B35)</x:f>
        <x:v>4.44</x:v>
      </x:c>
      <x:c r="C36" s="132" t="n">
        <x:f>B36/'Historical'!$E$4</x:f>
        <x:v>0.07473450818448908</x:v>
      </x:c>
      <x:c r="D36" s="130" t="str">
        <x:v>约占H1收入7.5%，列为治理风险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25" hidden="0" customWidth="1"/>
    <x:col min="8" max="8" width="34" hidden="0" customWidth="1"/>
  </x:cols>
  <x:sheetData>
    <x:row r="1" ht="30" customHeight="1">
      <x:c r="A1" s="3" t="str">
        <x:v>市场、股份与2027正常化情景假设</x:v>
      </x:c>
      <x:c r="B1" s="3" t="str">
        <x:v>市场、股份与2027正常化情景假设</x:v>
      </x:c>
      <x:c r="C1" s="3" t="str">
        <x:v>市场、股份与2027正常化情景假设</x:v>
      </x:c>
      <x:c r="D1" s="3" t="str">
        <x:v>市场、股份与2027正常化情景假设</x:v>
      </x:c>
      <x:c r="E1" s="3" t="str">
        <x:v>市场、股份与2027正常化情景假设</x:v>
      </x:c>
      <x:c r="F1" s="3" t="str">
        <x:v>市场、股份与2027正常化情景假设</x:v>
      </x:c>
      <x:c r="G1" s="3" t="str">
        <x:v>市场、股份与2027正常化情景假设</x:v>
      </x:c>
      <x:c r="H1" s="3" t="str">
        <x:v>市场、股份与2027正常化情景假设</x:v>
      </x:c>
    </x:row>
    <x:row r="3">
      <x:c r="A3" s="19" t="str">
        <x:v>市场与股份</x:v>
      </x:c>
      <x:c r="B3" s="20" t="str">
        <x:v>数值</x:v>
      </x:c>
      <x:c r="C3" s="21" t="str">
        <x:v>说明</x:v>
      </x:c>
    </x:row>
    <x:row r="4">
      <x:c r="A4" s="11" t="str">
        <x:v>A股收盘价</x:v>
      </x:c>
      <x:c r="B4" s="137" t="n">
        <x:v>43.97</x:v>
      </x:c>
      <x:c r="C4" s="11" t="str">
        <x:v>2026-09-04收盘</x:v>
      </x:c>
    </x:row>
    <x:row r="5">
      <x:c r="A5" s="14" t="str">
        <x:v>期末总股本</x:v>
      </x:c>
      <x:c r="B5" s="138" t="n">
        <x:v>5.772996075</x:v>
      </x:c>
      <x:c r="C5" s="14" t="str">
        <x:v>十亿股</x:v>
      </x:c>
    </x:row>
    <x:row r="6">
      <x:c r="A6" s="14" t="str">
        <x:v>库存股</x:v>
      </x:c>
      <x:c r="B6" s="138" t="n">
        <x:v>0.069586523</x:v>
      </x:c>
      <x:c r="C6" s="14" t="str">
        <x:v>十亿股</x:v>
      </x:c>
    </x:row>
    <x:row r="7">
      <x:c r="A7" s="14" t="str">
        <x:v>经济股数</x:v>
      </x:c>
      <x:c r="B7" s="138" t="n">
        <x:f>B5-B6</x:f>
        <x:v>5.703409552</x:v>
      </x:c>
      <x:c r="C7" s="14" t="str">
        <x:v>总股本减库存股</x:v>
      </x:c>
    </x:row>
    <x:row r="8">
      <x:c r="A8" s="14" t="str">
        <x:v>经济市值</x:v>
      </x:c>
      <x:c r="B8" s="68" t="n">
        <x:f>B4*B7</x:f>
        <x:v>250.77891800144</x:v>
      </x:c>
      <x:c r="C8" s="14" t="str">
        <x:v>RMB bn</x:v>
      </x:c>
    </x:row>
    <x:row r="9">
      <x:c r="A9" s="14" t="str">
        <x:v>归母净资产</x:v>
      </x:c>
      <x:c r="B9" s="68" t="n">
        <x:v>80.186617</x:v>
      </x:c>
      <x:c r="C9" s="14" t="str">
        <x:v>2026H1归母净资产；RMB bn</x:v>
      </x:c>
    </x:row>
    <x:row r="10">
      <x:c r="A10" s="14" t="str">
        <x:v>当前PB</x:v>
      </x:c>
      <x:c r="B10" s="72" t="n">
        <x:f>B8/B9</x:f>
        <x:v>3.127441054177906</x:v>
      </x:c>
      <x:c r="C10" s="14" t="str">
        <x:v>x</x:v>
      </x:c>
    </x:row>
    <x:row r="11">
      <x:c r="A11" s="14" t="str">
        <x:v>广义净债务</x:v>
      </x:c>
      <x:c r="B11" s="68" t="n">
        <x:f>'Balance &amp; Cash'!B21</x:f>
        <x:v>57.25012800000001</x:v>
      </x:c>
      <x:c r="C11" s="14" t="str">
        <x:v>RMB bn</x:v>
      </x:c>
    </x:row>
    <x:row r="12">
      <x:c r="A12" s="14" t="str">
        <x:v>2025归母净利润锚</x:v>
      </x:c>
      <x:c r="B12" s="68" t="n">
        <x:v>15.4869</x:v>
      </x:c>
      <x:c r="C12" s="14" t="str">
        <x:v>2025A；RMB bn</x:v>
      </x:c>
    </x:row>
    <x:row r="13">
      <x:c r="A13" s="16" t="str">
        <x:v>2025单位价差锚</x:v>
      </x:c>
      <x:c r="B13" s="139" t="n">
        <x:f>'Operations'!F5-'Operations'!G5</x:f>
        <x:v>1.5</x:v>
      </x:c>
      <x:c r="C13" s="16" t="str">
        <x:v>13.5-12.0；RMB/kg</x:v>
      </x:c>
    </x:row>
    <x:row r="16">
      <x:c r="A16" s="19" t="str">
        <x:v>2027情景</x:v>
      </x:c>
      <x:c r="B16" s="20" t="str">
        <x:v>Bear</x:v>
      </x:c>
      <x:c r="C16" s="20" t="str">
        <x:v>Base</x:v>
      </x:c>
      <x:c r="D16" s="20" t="str">
        <x:v>Bull</x:v>
      </x:c>
      <x:c r="E16" s="20" t="str">
        <x:v>单位</x:v>
      </x:c>
      <x:c r="F16" s="20" t="str">
        <x:v>来源性质</x:v>
      </x:c>
      <x:c r="G16" s="20" t="str">
        <x:v>相对2025</x:v>
      </x:c>
      <x:c r="H16" s="21" t="str">
        <x:v>解释</x:v>
      </x:c>
    </x:row>
    <x:row r="17">
      <x:c r="A17" s="11" t="str">
        <x:v>商品猪销量</x:v>
      </x:c>
      <x:c r="B17" s="148" t="n">
        <x:v>75</x:v>
      </x:c>
      <x:c r="C17" s="148" t="n">
        <x:v>78</x:v>
      </x:c>
      <x:c r="D17" s="148" t="n">
        <x:v>81</x:v>
      </x:c>
      <x:c r="E17" s="11" t="str">
        <x:v>mn heads</x:v>
      </x:c>
      <x:c r="F17" s="11" t="str">
        <x:v>分析假设</x:v>
      </x:c>
      <x:c r="G17" s="11" t="str">
        <x:v>-3.8% / 0% / +3.9%</x:v>
      </x:c>
      <x:c r="H17" s="11" t="str">
        <x:v>政策调控下不追求激进扩张</x:v>
      </x:c>
    </x:row>
    <x:row r="18">
      <x:c r="A18" s="14" t="str">
        <x:v>平均出栏体重</x:v>
      </x:c>
      <x:c r="B18" s="149" t="n">
        <x:v>124</x:v>
      </x:c>
      <x:c r="C18" s="149" t="n">
        <x:v>124</x:v>
      </x:c>
      <x:c r="D18" s="149" t="n">
        <x:v>124</x:v>
      </x:c>
      <x:c r="E18" s="14" t="str">
        <x:v>kg/head</x:v>
      </x:c>
      <x:c r="F18" s="14" t="str">
        <x:v>分析假设</x:v>
      </x:c>
      <x:c r="G18" s="14" t="str">
        <x:v>统一假设</x:v>
      </x:c>
      <x:c r="H18" s="14" t="str">
        <x:v>保持可比口径</x:v>
      </x:c>
    </x:row>
    <x:row r="19">
      <x:c r="A19" s="14" t="str">
        <x:v>商品猪均价</x:v>
      </x:c>
      <x:c r="B19" s="72" t="n">
        <x:v>12.5</x:v>
      </x:c>
      <x:c r="C19" s="72" t="n">
        <x:v>13.5</x:v>
      </x:c>
      <x:c r="D19" s="72" t="n">
        <x:v>14.5</x:v>
      </x:c>
      <x:c r="E19" s="14" t="str">
        <x:v>RMB/kg</x:v>
      </x:c>
      <x:c r="F19" s="14" t="str">
        <x:v>分析假设</x:v>
      </x:c>
      <x:c r="G19" s="14" t="str">
        <x:v>-1.0 / 0 / +1.0</x:v>
      </x:c>
      <x:c r="H19" s="14" t="str">
        <x:v>猪价是最大变量</x:v>
      </x:c>
    </x:row>
    <x:row r="20">
      <x:c r="A20" s="14" t="str">
        <x:v>完全成本</x:v>
      </x:c>
      <x:c r="B20" s="72" t="n">
        <x:v>11.8</x:v>
      </x:c>
      <x:c r="C20" s="72" t="n">
        <x:v>11.2</x:v>
      </x:c>
      <x:c r="D20" s="72" t="n">
        <x:v>10.9</x:v>
      </x:c>
      <x:c r="E20" s="14" t="str">
        <x:v>RMB/kg</x:v>
      </x:c>
      <x:c r="F20" s="14" t="str">
        <x:v>分析假设</x:v>
      </x:c>
      <x:c r="G20" s="14" t="str">
        <x:v>-0.2 / -0.8 / -1.1</x:v>
      </x:c>
      <x:c r="H20" s="14" t="str">
        <x:v>成本下降是核心能力</x:v>
      </x:c>
    </x:row>
    <x:row r="21">
      <x:c r="A21" s="14" t="str">
        <x:v>单位价差</x:v>
      </x:c>
      <x:c r="B21" s="72" t="n">
        <x:f>B19-B20</x:f>
        <x:v>0.6999999999999993</x:v>
      </x:c>
      <x:c r="C21" s="72" t="n">
        <x:f>C19-C20</x:f>
        <x:v>2.3000000000000007</x:v>
      </x:c>
      <x:c r="D21" s="72" t="n">
        <x:f>D19-D20</x:f>
        <x:v>3.5999999999999996</x:v>
      </x:c>
      <x:c r="E21" s="14" t="str">
        <x:v>RMB/kg</x:v>
      </x:c>
      <x:c r="F21" s="14" t="str">
        <x:v>公式</x:v>
      </x:c>
      <x:c r="G21" s="14" t="str">
        <x:v>0.7 / 2.3 / 3.6</x:v>
      </x:c>
      <x:c r="H21" s="14" t="str">
        <x:v>售价减完全成本</x:v>
      </x:c>
    </x:row>
    <x:row r="22">
      <x:c r="A22" s="14" t="str">
        <x:v>价差变化利润影响</x:v>
      </x:c>
      <x:c r="B22" s="68" t="n">
        <x:f>(B21-$B$13)*B17*B18/1000</x:f>
        <x:v>-7.4400000000000075</x:v>
      </x:c>
      <x:c r="C22" s="68" t="n">
        <x:f>(C21-$B$13)*C17*C18/1000</x:f>
        <x:v>7.737600000000007</x:v>
      </x:c>
      <x:c r="D22" s="68" t="n">
        <x:f>(D21-$B$13)*D17*D18/1000</x:f>
        <x:v>21.092399999999994</x:v>
      </x:c>
      <x:c r="E22" s="14" t="str">
        <x:v>RMB bn</x:v>
      </x:c>
      <x:c r="F22" s="14" t="str">
        <x:v>公式</x:v>
      </x:c>
      <x:c r="G22" s="14" t="str">
        <x:v>相对2025利润</x:v>
      </x:c>
      <x:c r="H22" s="14" t="str">
        <x:v>销量×体重×价差变化</x:v>
      </x:c>
    </x:row>
    <x:row r="23">
      <x:c r="A23" s="14" t="str">
        <x:v>屠宰增量利润</x:v>
      </x:c>
      <x:c r="B23" s="68" t="n">
        <x:v>0.5</x:v>
      </x:c>
      <x:c r="C23" s="68" t="n">
        <x:v>1.2</x:v>
      </x:c>
      <x:c r="D23" s="68" t="n">
        <x:v>2</x:v>
      </x:c>
      <x:c r="E23" s="14" t="str">
        <x:v>RMB bn</x:v>
      </x:c>
      <x:c r="F23" s="14" t="str">
        <x:v>分析假设</x:v>
      </x:c>
      <x:c r="G23" s="14" t="str">
        <x:v>屠宰规模与结构</x:v>
      </x:c>
      <x:c r="H23" s="14" t="str">
        <x:v>分割品和利用率改善</x:v>
      </x:c>
    </x:row>
    <x:row r="24">
      <x:c r="A24" s="14" t="str">
        <x:v>融资/其他调整</x:v>
      </x:c>
      <x:c r="B24" s="68" t="n">
        <x:v>0</x:v>
      </x:c>
      <x:c r="C24" s="68" t="n">
        <x:v>0.5</x:v>
      </x:c>
      <x:c r="D24" s="68" t="n">
        <x:v>0.8</x:v>
      </x:c>
      <x:c r="E24" s="14" t="str">
        <x:v>RMB bn</x:v>
      </x:c>
      <x:c r="F24" s="14" t="str">
        <x:v>分析假设</x:v>
      </x:c>
      <x:c r="G24" s="14" t="str">
        <x:v>H股融资后利息与其他</x:v>
      </x:c>
      <x:c r="H24" s="14" t="str">
        <x:v>谨慎计入</x:v>
      </x:c>
    </x:row>
    <x:row r="25">
      <x:c r="A25" s="14" t="str">
        <x:v>归母净利润</x:v>
      </x:c>
      <x:c r="B25" s="68" t="n">
        <x:f>$B$12+B22+B23+B24</x:f>
        <x:v>8.546899999999994</x:v>
      </x:c>
      <x:c r="C25" s="68" t="n">
        <x:f>$B$12+C22+C23+C24</x:f>
        <x:v>24.924500000000005</x:v>
      </x:c>
      <x:c r="D25" s="68" t="n">
        <x:f>$B$12+D22+D23+D24</x:f>
        <x:v>39.37929999999999</x:v>
      </x:c>
      <x:c r="E25" s="14" t="str">
        <x:v>RMB bn</x:v>
      </x:c>
      <x:c r="F25" s="14" t="str">
        <x:v>公式</x:v>
      </x:c>
      <x:c r="G25" s="14" t="str">
        <x:v>不直接年化H1</x:v>
      </x:c>
      <x:c r="H25" s="14" t="str">
        <x:v>2025利润锚+三项调整</x:v>
      </x:c>
    </x:row>
    <x:row r="26">
      <x:c r="A26" s="14" t="str">
        <x:v>P/E</x:v>
      </x:c>
      <x:c r="B26" s="150" t="n">
        <x:v>9</x:v>
      </x:c>
      <x:c r="C26" s="150" t="n">
        <x:v>13</x:v>
      </x:c>
      <x:c r="D26" s="150" t="n">
        <x:v>15</x:v>
      </x:c>
      <x:c r="E26" s="14" t="str">
        <x:v>x</x:v>
      </x:c>
      <x:c r="F26" s="14" t="str">
        <x:v>分析假设</x:v>
      </x:c>
      <x:c r="G26" s="14" t="str">
        <x:v>周期折价/龙头溢价</x:v>
      </x:c>
      <x:c r="H26" s="14" t="str">
        <x:v>亏损期不用静态P/E</x:v>
      </x:c>
    </x:row>
    <x:row r="27">
      <x:c r="A27" s="16" t="str">
        <x:v>P/B</x:v>
      </x:c>
      <x:c r="B27" s="151" t="n">
        <x:v>1.8</x:v>
      </x:c>
      <x:c r="C27" s="151" t="n">
        <x:v>2.6</x:v>
      </x:c>
      <x:c r="D27" s="151" t="n">
        <x:v>3.4</x:v>
      </x:c>
      <x:c r="E27" s="16" t="str">
        <x:v>x</x:v>
      </x:c>
      <x:c r="F27" s="16" t="str">
        <x:v>分析假设</x:v>
      </x:c>
      <x:c r="G27" s="16" t="str">
        <x:v>净资产交叉验证</x:v>
      </x:c>
      <x:c r="H27" s="16" t="str">
        <x:v>资本密集与周期性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e2ff831e3df94480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60% 正常化P/E + 40% P/B 情景估值</x:v>
      </x:c>
      <x:c r="B1" s="3" t="str">
        <x:v>60% 正常化P/E + 40% P/B 情景估值</x:v>
      </x:c>
      <x:c r="C1" s="3" t="str">
        <x:v>60% 正常化P/E + 40% P/B 情景估值</x:v>
      </x:c>
      <x:c r="D1" s="3" t="str">
        <x:v>60% 正常化P/E + 40% P/B 情景估值</x:v>
      </x:c>
      <x:c r="E1" s="3" t="str">
        <x:v>60% 正常化P/E + 40% P/B 情景估值</x:v>
      </x:c>
      <x:c r="F1" s="3" t="str">
        <x:v>60% 正常化P/E + 40% P/B 情景估值</x:v>
      </x:c>
      <x:c r="G1" s="3" t="str">
        <x:v>60% 正常化P/E + 40% P/B 情景估值</x:v>
      </x:c>
      <x:c r="H1" s="3" t="str">
        <x:v>60% 正常化P/E + 40% P/B 情景估值</x:v>
      </x:c>
      <x:c r="I1" s="3" t="str">
        <x:v>60% 正常化P/E + 40% P/B 情景估值</x:v>
      </x:c>
    </x:row>
    <x:row r="3">
      <x:c r="A3" s="19" t="str">
        <x:v>情景</x:v>
      </x:c>
      <x:c r="B3" s="20" t="str">
        <x:v>2027净利润</x:v>
      </x:c>
      <x:c r="C3" s="20" t="str">
        <x:v>P/E</x:v>
      </x:c>
      <x:c r="D3" s="20" t="str">
        <x:v>P/E价值/股</x:v>
      </x:c>
      <x:c r="E3" s="20" t="str">
        <x:v>BVPS</x:v>
      </x:c>
      <x:c r="F3" s="20" t="str">
        <x:v>P/B</x:v>
      </x:c>
      <x:c r="G3" s="20" t="str">
        <x:v>P/B价值/股</x:v>
      </x:c>
      <x:c r="H3" s="20" t="str">
        <x:v>加权价值/股</x:v>
      </x:c>
      <x:c r="I3" s="21" t="str">
        <x:v>相对现价</x:v>
      </x:c>
    </x:row>
    <x:row r="5">
      <x:c r="A5" s="11" t="str">
        <x:v>Bear</x:v>
      </x:c>
      <x:c r="B5" s="165" t="n">
        <x:f>'Assumptions'!B25</x:f>
        <x:v>8.546899999999994</x:v>
      </x:c>
      <x:c r="C5" s="166" t="n">
        <x:f>'Assumptions'!B26</x:f>
        <x:v>9</x:v>
      </x:c>
      <x:c r="D5" s="137" t="n">
        <x:f>B5*C5/'Assumptions'!$B$7</x:f>
        <x:v>13.487037762004285</x:v>
      </x:c>
      <x:c r="E5" s="137" t="n">
        <x:f>'Assumptions'!$B$9/'Assumptions'!$B$7</x:f>
        <x:v>14.059417663927213</x:v>
      </x:c>
      <x:c r="F5" s="166" t="n">
        <x:f>'Assumptions'!B27</x:f>
        <x:v>1.8</x:v>
      </x:c>
      <x:c r="G5" s="137" t="n">
        <x:f>E5*F5</x:f>
        <x:v>25.306951795068986</x:v>
      </x:c>
      <x:c r="H5" s="40" t="n">
        <x:f>D5*60%+G5*40%</x:f>
        <x:v>18.215003375230168</x:v>
      </x:c>
      <x:c r="I5" s="106" t="n">
        <x:f>H5/'Assumptions'!$B$4-1</x:f>
        <x:v>-0.5857402006997915</x:v>
      </x:c>
    </x:row>
    <x:row r="6">
      <x:c r="A6" s="167" t="str">
        <x:v>Base</x:v>
      </x:c>
      <x:c r="B6" s="168" t="n">
        <x:f>'Assumptions'!C25</x:f>
        <x:v>24.924500000000005</x:v>
      </x:c>
      <x:c r="C6" s="169" t="n">
        <x:f>'Assumptions'!C26</x:f>
        <x:v>13</x:v>
      </x:c>
      <x:c r="D6" s="170" t="n">
        <x:f>B6*C6/'Assumptions'!$B$7</x:f>
        <x:v>56.811368190519886</x:v>
      </x:c>
      <x:c r="E6" s="170" t="n">
        <x:f>'Assumptions'!$B$9/'Assumptions'!$B$7</x:f>
        <x:v>14.059417663927213</x:v>
      </x:c>
      <x:c r="F6" s="169" t="n">
        <x:f>'Assumptions'!C27</x:f>
        <x:v>2.6</x:v>
      </x:c>
      <x:c r="G6" s="170" t="n">
        <x:f>E6*F6</x:f>
        <x:v>36.55448592621076</x:v>
      </x:c>
      <x:c r="H6" s="171" t="n">
        <x:f>D6*60%+G6*40%</x:f>
        <x:v>48.70861528479623</x:v>
      </x:c>
      <x:c r="I6" s="172" t="n">
        <x:f>H6/'Assumptions'!$B$4-1</x:f>
        <x:v>0.10776928098240246</x:v>
      </x:c>
    </x:row>
    <x:row r="7">
      <x:c r="A7" s="16" t="str">
        <x:v>Bull</x:v>
      </x:c>
      <x:c r="B7" s="173" t="n">
        <x:f>'Assumptions'!D25</x:f>
        <x:v>39.37929999999999</x:v>
      </x:c>
      <x:c r="C7" s="151" t="n">
        <x:f>'Assumptions'!D26</x:f>
        <x:v>15</x:v>
      </x:c>
      <x:c r="D7" s="174" t="n">
        <x:f>B7*C7/'Assumptions'!$B$7</x:f>
        <x:v>103.56778600843496</x:v>
      </x:c>
      <x:c r="E7" s="174" t="n">
        <x:f>'Assumptions'!$B$9/'Assumptions'!$B$7</x:f>
        <x:v>14.059417663927213</x:v>
      </x:c>
      <x:c r="F7" s="151" t="n">
        <x:f>'Assumptions'!D27</x:f>
        <x:v>3.4</x:v>
      </x:c>
      <x:c r="G7" s="174" t="n">
        <x:f>E7*F7</x:f>
        <x:v>47.80202005735252</x:v>
      </x:c>
      <x:c r="H7" s="175" t="n">
        <x:f>D7*60%+G7*40%</x:f>
        <x:v>81.26147962800198</x:v>
      </x:c>
      <x:c r="I7" s="176" t="n">
        <x:f>H7/'Assumptions'!$B$4-1</x:f>
        <x:v>0.848111886013236</x:v>
      </x:c>
    </x:row>
    <x:row r="11">
      <x:c r="A11" s="19" t="str">
        <x:v>Base框架敏感性：商品猪均价与完全成本（RMB/股）</x:v>
      </x:c>
      <x:c r="B11" s="20" t="str">
        <x:v>Base框架敏感性：商品猪均价与完全成本（RMB/股）</x:v>
      </x:c>
      <x:c r="C11" s="20" t="str">
        <x:v>Base框架敏感性：商品猪均价与完全成本（RMB/股）</x:v>
      </x:c>
      <x:c r="D11" s="20" t="str">
        <x:v>Base框架敏感性：商品猪均价与完全成本（RMB/股）</x:v>
      </x:c>
      <x:c r="E11" s="20" t="str">
        <x:v>Base框架敏感性：商品猪均价与完全成本（RMB/股）</x:v>
      </x:c>
      <x:c r="F11" s="20" t="str">
        <x:v>Base框架敏感性：商品猪均价与完全成本（RMB/股）</x:v>
      </x:c>
      <x:c r="G11" s="21" t="str">
        <x:v>Base框架敏感性：商品猪均价与完全成本（RMB/股）</x:v>
      </x:c>
    </x:row>
    <x:row r="12">
      <x:c r="A12" s="53" t="str">
        <x:v>成本 \ 猪价</x:v>
      </x:c>
      <x:c r="B12" s="54" t="n">
        <x:v>11.5</x:v>
      </x:c>
      <x:c r="C12" s="54" t="n">
        <x:v>12.5</x:v>
      </x:c>
      <x:c r="D12" s="54" t="n">
        <x:v>13.5</x:v>
      </x:c>
      <x:c r="E12" s="54" t="n">
        <x:v>14.5</x:v>
      </x:c>
      <x:c r="F12" s="54" t="n">
        <x:v>15.5</x:v>
      </x:c>
      <x:c r="G12" s="55" t="str">
        <x:v>说明</x:v>
      </x:c>
    </x:row>
    <x:row r="13">
      <x:c r="A13" s="148" t="n">
        <x:v>10.7</x:v>
      </x:c>
      <x:c r="B13" s="137" t="n">
        <x:f>((('Assumptions'!$B$12+((B$12-$A13)-'Assumptions'!$B$13)*'Assumptions'!$C$17*'Assumptions'!$C$18/1000+'Assumptions'!$C$23+'Assumptions'!$C$24)*'Assumptions'!$C$26/'Assumptions'!$B$7)*60%+($G$6)*40%)</x:f>
        <x:v>28.867430995248306</x:v>
      </x:c>
      <x:c r="C13" s="137" t="n">
        <x:f>((('Assumptions'!$B$12+((C$12-$A13)-'Assumptions'!$B$13)*'Assumptions'!$C$17*'Assumptions'!$C$18/1000+'Assumptions'!$C$23+'Assumptions'!$C$24)*'Assumptions'!$C$26/'Assumptions'!$B$7)*60%+($G$6)*40%)</x:f>
        <x:v>42.09488718828026</x:v>
      </x:c>
      <x:c r="D13" s="137" t="n">
        <x:f>((('Assumptions'!$B$12+((D$12-$A13)-'Assumptions'!$B$13)*'Assumptions'!$C$17*'Assumptions'!$C$18/1000+'Assumptions'!$C$23+'Assumptions'!$C$24)*'Assumptions'!$C$26/'Assumptions'!$B$7)*60%+($G$6)*40%)</x:f>
        <x:v>55.32234338131221</x:v>
      </x:c>
      <x:c r="E13" s="137" t="n">
        <x:f>((('Assumptions'!$B$12+((E$12-$A13)-'Assumptions'!$B$13)*'Assumptions'!$C$17*'Assumptions'!$C$18/1000+'Assumptions'!$C$23+'Assumptions'!$C$24)*'Assumptions'!$C$26/'Assumptions'!$B$7)*60%+($G$6)*40%)</x:f>
        <x:v>68.54979957434418</x:v>
      </x:c>
      <x:c r="F13" s="137" t="n">
        <x:f>((('Assumptions'!$B$12+((F$12-$A13)-'Assumptions'!$B$13)*'Assumptions'!$C$17*'Assumptions'!$C$18/1000+'Assumptions'!$C$23+'Assumptions'!$C$24)*'Assumptions'!$C$26/'Assumptions'!$B$7)*60%+($G$6)*40%)</x:f>
        <x:v>81.77725576737613</x:v>
      </x:c>
      <x:c r="G13" s="11" t="str">
        <x:v>极强成本</x:v>
      </x:c>
    </x:row>
    <x:row r="14">
      <x:c r="A14" s="149" t="n">
        <x:v>11.1</x:v>
      </x:c>
      <x:c r="B14" s="177" t="n">
        <x:f>((('Assumptions'!$B$12+((B$12-$A14)-'Assumptions'!$B$13)*'Assumptions'!$C$17*'Assumptions'!$C$18/1000+'Assumptions'!$C$23+'Assumptions'!$C$24)*'Assumptions'!$C$26/'Assumptions'!$B$7)*60%+($G$6)*40%)</x:f>
        <x:v>23.57644851803552</x:v>
      </x:c>
      <x:c r="C14" s="177" t="n">
        <x:f>((('Assumptions'!$B$12+((C$12-$A14)-'Assumptions'!$B$13)*'Assumptions'!$C$17*'Assumptions'!$C$18/1000+'Assumptions'!$C$23+'Assumptions'!$C$24)*'Assumptions'!$C$26/'Assumptions'!$B$7)*60%+($G$6)*40%)</x:f>
        <x:v>36.803904711067474</x:v>
      </x:c>
      <x:c r="D14" s="177" t="n">
        <x:f>((('Assumptions'!$B$12+((D$12-$A14)-'Assumptions'!$B$13)*'Assumptions'!$C$17*'Assumptions'!$C$18/1000+'Assumptions'!$C$23+'Assumptions'!$C$24)*'Assumptions'!$C$26/'Assumptions'!$B$7)*60%+($G$6)*40%)</x:f>
        <x:v>50.03136090409943</x:v>
      </x:c>
      <x:c r="E14" s="177" t="n">
        <x:f>((('Assumptions'!$B$12+((E$12-$A14)-'Assumptions'!$B$13)*'Assumptions'!$C$17*'Assumptions'!$C$18/1000+'Assumptions'!$C$23+'Assumptions'!$C$24)*'Assumptions'!$C$26/'Assumptions'!$B$7)*60%+($G$6)*40%)</x:f>
        <x:v>63.25881709713138</x:v>
      </x:c>
      <x:c r="F14" s="177" t="n">
        <x:f>((('Assumptions'!$B$12+((F$12-$A14)-'Assumptions'!$B$13)*'Assumptions'!$C$17*'Assumptions'!$C$18/1000+'Assumptions'!$C$23+'Assumptions'!$C$24)*'Assumptions'!$C$26/'Assumptions'!$B$7)*60%+($G$6)*40%)</x:f>
        <x:v>76.48627329016334</x:v>
      </x:c>
      <x:c r="G14" s="14" t="str">
        <x:v>领先</x:v>
      </x:c>
    </x:row>
    <x:row r="15">
      <x:c r="A15" s="149" t="n">
        <x:v>11.5</x:v>
      </x:c>
      <x:c r="B15" s="177" t="n">
        <x:f>((('Assumptions'!$B$12+((B$12-$A15)-'Assumptions'!$B$13)*'Assumptions'!$C$17*'Assumptions'!$C$18/1000+'Assumptions'!$C$23+'Assumptions'!$C$24)*'Assumptions'!$C$26/'Assumptions'!$B$7)*60%+($G$6)*40%)</x:f>
        <x:v>18.285466040822737</x:v>
      </x:c>
      <x:c r="C15" s="177" t="n">
        <x:f>((('Assumptions'!$B$12+((C$12-$A15)-'Assumptions'!$B$13)*'Assumptions'!$C$17*'Assumptions'!$C$18/1000+'Assumptions'!$C$23+'Assumptions'!$C$24)*'Assumptions'!$C$26/'Assumptions'!$B$7)*60%+($G$6)*40%)</x:f>
        <x:v>31.512922233854688</x:v>
      </x:c>
      <x:c r="D15" s="177" t="n">
        <x:f>((('Assumptions'!$B$12+((D$12-$A15)-'Assumptions'!$B$13)*'Assumptions'!$C$17*'Assumptions'!$C$18/1000+'Assumptions'!$C$23+'Assumptions'!$C$24)*'Assumptions'!$C$26/'Assumptions'!$B$7)*60%+($G$6)*40%)</x:f>
        <x:v>44.74037842688664</x:v>
      </x:c>
      <x:c r="E15" s="177" t="n">
        <x:f>((('Assumptions'!$B$12+((E$12-$A15)-'Assumptions'!$B$13)*'Assumptions'!$C$17*'Assumptions'!$C$18/1000+'Assumptions'!$C$23+'Assumptions'!$C$24)*'Assumptions'!$C$26/'Assumptions'!$B$7)*60%+($G$6)*40%)</x:f>
        <x:v>57.9678346199186</x:v>
      </x:c>
      <x:c r="F15" s="177" t="n">
        <x:f>((('Assumptions'!$B$12+((F$12-$A15)-'Assumptions'!$B$13)*'Assumptions'!$C$17*'Assumptions'!$C$18/1000+'Assumptions'!$C$23+'Assumptions'!$C$24)*'Assumptions'!$C$26/'Assumptions'!$B$7)*60%+($G$6)*40%)</x:f>
        <x:v>71.19529081295056</x:v>
      </x:c>
      <x:c r="G15" s="14" t="str">
        <x:v>接近当前</x:v>
      </x:c>
    </x:row>
    <x:row r="16">
      <x:c r="A16" s="149" t="n">
        <x:v>11.9</x:v>
      </x:c>
      <x:c r="B16" s="177" t="n">
        <x:f>((('Assumptions'!$B$12+((B$12-$A16)-'Assumptions'!$B$13)*'Assumptions'!$C$17*'Assumptions'!$C$18/1000+'Assumptions'!$C$23+'Assumptions'!$C$24)*'Assumptions'!$C$26/'Assumptions'!$B$7)*60%+($G$6)*40%)</x:f>
        <x:v>12.99448356360995</x:v>
      </x:c>
      <x:c r="C16" s="177" t="n">
        <x:f>((('Assumptions'!$B$12+((C$12-$A16)-'Assumptions'!$B$13)*'Assumptions'!$C$17*'Assumptions'!$C$18/1000+'Assumptions'!$C$23+'Assumptions'!$C$24)*'Assumptions'!$C$26/'Assumptions'!$B$7)*60%+($G$6)*40%)</x:f>
        <x:v>26.221939756641902</x:v>
      </x:c>
      <x:c r="D16" s="177" t="n">
        <x:f>((('Assumptions'!$B$12+((D$12-$A16)-'Assumptions'!$B$13)*'Assumptions'!$C$17*'Assumptions'!$C$18/1000+'Assumptions'!$C$23+'Assumptions'!$C$24)*'Assumptions'!$C$26/'Assumptions'!$B$7)*60%+($G$6)*40%)</x:f>
        <x:v>39.44939594967386</x:v>
      </x:c>
      <x:c r="E16" s="177" t="n">
        <x:f>((('Assumptions'!$B$12+((E$12-$A16)-'Assumptions'!$B$13)*'Assumptions'!$C$17*'Assumptions'!$C$18/1000+'Assumptions'!$C$23+'Assumptions'!$C$24)*'Assumptions'!$C$26/'Assumptions'!$B$7)*60%+($G$6)*40%)</x:f>
        <x:v>52.6768521427058</x:v>
      </x:c>
      <x:c r="F16" s="177" t="n">
        <x:f>((('Assumptions'!$B$12+((F$12-$A16)-'Assumptions'!$B$13)*'Assumptions'!$C$17*'Assumptions'!$C$18/1000+'Assumptions'!$C$23+'Assumptions'!$C$24)*'Assumptions'!$C$26/'Assumptions'!$B$7)*60%+($G$6)*40%)</x:f>
        <x:v>65.90430833573777</x:v>
      </x:c>
      <x:c r="G16" s="14" t="str">
        <x:v>回升</x:v>
      </x:c>
    </x:row>
    <x:row r="17">
      <x:c r="A17" s="178" t="n">
        <x:v>12.3</x:v>
      </x:c>
      <x:c r="B17" s="174" t="n">
        <x:f>((('Assumptions'!$B$12+((B$12-$A17)-'Assumptions'!$B$13)*'Assumptions'!$C$17*'Assumptions'!$C$18/1000+'Assumptions'!$C$23+'Assumptions'!$C$24)*'Assumptions'!$C$26/'Assumptions'!$B$7)*60%+($G$6)*40%)</x:f>
        <x:v>7.70350108639716</x:v>
      </x:c>
      <x:c r="C17" s="174" t="n">
        <x:f>((('Assumptions'!$B$12+((C$12-$A17)-'Assumptions'!$B$13)*'Assumptions'!$C$17*'Assumptions'!$C$18/1000+'Assumptions'!$C$23+'Assumptions'!$C$24)*'Assumptions'!$C$26/'Assumptions'!$B$7)*60%+($G$6)*40%)</x:f>
        <x:v>20.930957279429116</x:v>
      </x:c>
      <x:c r="D17" s="174" t="n">
        <x:f>((('Assumptions'!$B$12+((D$12-$A17)-'Assumptions'!$B$13)*'Assumptions'!$C$17*'Assumptions'!$C$18/1000+'Assumptions'!$C$23+'Assumptions'!$C$24)*'Assumptions'!$C$26/'Assumptions'!$B$7)*60%+($G$6)*40%)</x:f>
        <x:v>34.15841347246107</x:v>
      </x:c>
      <x:c r="E17" s="174" t="n">
        <x:f>((('Assumptions'!$B$12+((E$12-$A17)-'Assumptions'!$B$13)*'Assumptions'!$C$17*'Assumptions'!$C$18/1000+'Assumptions'!$C$23+'Assumptions'!$C$24)*'Assumptions'!$C$26/'Assumptions'!$B$7)*60%+($G$6)*40%)</x:f>
        <x:v>47.38586966549302</x:v>
      </x:c>
      <x:c r="F17" s="174" t="n">
        <x:f>((('Assumptions'!$B$12+((F$12-$A17)-'Assumptions'!$B$13)*'Assumptions'!$C$17*'Assumptions'!$C$18/1000+'Assumptions'!$C$23+'Assumptions'!$C$24)*'Assumptions'!$C$26/'Assumptions'!$B$7)*60%+($G$6)*40%)</x:f>
        <x:v>60.61332585852497</x:v>
      </x:c>
      <x:c r="G17" s="16" t="str">
        <x:v>压力</x:v>
      </x:c>
    </x:row>
    <x:row r="20">
      <x:c r="A20" s="19" t="str">
        <x:v>估值限制</x:v>
      </x:c>
      <x:c r="B20" s="20" t="str">
        <x:v>估值限制</x:v>
      </x:c>
      <x:c r="C20" s="20" t="str">
        <x:v>估值限制</x:v>
      </x:c>
      <x:c r="D20" s="20" t="str">
        <x:v>估值限制</x:v>
      </x:c>
      <x:c r="E20" s="20" t="str">
        <x:v>估值限制</x:v>
      </x:c>
      <x:c r="F20" s="20" t="str">
        <x:v>估值限制</x:v>
      </x:c>
      <x:c r="G20" s="20" t="str">
        <x:v>估值限制</x:v>
      </x:c>
      <x:c r="H20" s="20" t="str">
        <x:v>估值限制</x:v>
      </x:c>
      <x:c r="I20" s="21" t="str">
        <x:v>估值限制</x:v>
      </x:c>
    </x:row>
    <x:row r="21">
      <x:c r="A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B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C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D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E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F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G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H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I21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</x:row>
    <x:row r="22">
      <x:c r="A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B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C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D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E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F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G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H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I22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</x:row>
    <x:row r="23">
      <x:c r="A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B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C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D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E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F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G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H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I23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</x:row>
    <x:row r="24">
      <x:c r="A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B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C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D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E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F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G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H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I24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</x:row>
    <x:row r="25">
      <x:c r="A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B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C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D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E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F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G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H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I25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</x:row>
    <x:row r="26">
      <x:c r="A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B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C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D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E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F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G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H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  <x:c r="I26" s="50" t="str">
        <x:v>2027商品猪价格、完全成本、销量、出栏体重、屠宰增量利润及估值倍数均为分析假设，不是公司指引或一致预期。正常化利润以2025年归母净利润为锚，只调整单位价差、销量以及屠宰/融资因素；没有把2026H1亏损或7月单月价格直接年化。P/B用于资本密集型周期股交叉验证，但账面净资产也受生物资产计量、盈利周期与融资影响。</x:v>
      </x:c>
    </x:row>
  </x:sheetData>
  <x:mergeCells>
    <x:mergeCell ref="A1:I1"/>
    <x:mergeCell ref="A11:G11"/>
    <x:mergeCell ref="A20:I20"/>
    <x:mergeCell ref="A21:I26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IF(COUNTIF(F5:F16,"FAIL")=0,"OK","FAIL")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H1分部收入合计</x:v>
      </x:c>
      <x:c r="B5" s="181" t="n">
        <x:f>'Operations'!B16</x:f>
        <x:v>59.410307</x:v>
      </x:c>
      <x:c r="C5" s="181" t="n">
        <x:f>'Historical'!E4</x:f>
        <x:v>59.410306</x:v>
      </x:c>
      <x:c r="D5" s="181" t="n">
        <x:f>B5-C5</x:f>
        <x:v>0.00000100000000458067</x:v>
      </x:c>
      <x:c r="E5" s="181" t="n">
        <x:f>0.0001</x:f>
        <x:v>0.0001</x:v>
      </x:c>
      <x:c r="F5" s="11" t="str">
        <x:f>IF(ABS(D5)&lt;=E5,"OK","FAIL")</x:f>
        <x:v>OK</x:v>
      </x:c>
      <x:c r="G5" s="11" t="str">
        <x:v>分部合计等于合并收入</x:v>
      </x:c>
    </x:row>
    <x:row r="6">
      <x:c r="A6" s="14" t="str">
        <x:v>H1分部成本合计</x:v>
      </x:c>
      <x:c r="B6" s="182" t="n">
        <x:f>'Operations'!C16</x:f>
        <x:v>60.346396999999996</x:v>
      </x:c>
      <x:c r="C6" s="182" t="n">
        <x:f>'Historical'!E4-'Historical'!E10</x:f>
        <x:v>60.346396999999996</x:v>
      </x:c>
      <x:c r="D6" s="182" t="n">
        <x:f>B6-C6</x:f>
        <x:v>0</x:v>
      </x:c>
      <x:c r="E6" s="182" t="n">
        <x:f>0.0001</x:f>
        <x:v>0.0001</x:v>
      </x:c>
      <x:c r="F6" s="14" t="str">
        <x:f>IF(ABS(D6)&lt;=E6,"OK","FAIL")</x:f>
        <x:v>OK</x:v>
      </x:c>
      <x:c r="G6" s="14" t="str">
        <x:v>分部合计等于营业成本</x:v>
      </x:c>
    </x:row>
    <x:row r="7">
      <x:c r="A7" s="14" t="str">
        <x:v>H1毛利桥</x:v>
      </x:c>
      <x:c r="B7" s="182" t="n">
        <x:f>'Operations'!D16</x:f>
        <x:v>-0.936089999999993</x:v>
      </x:c>
      <x:c r="C7" s="182" t="n">
        <x:f>'Historical'!E10</x:f>
        <x:v>-0.936091</x:v>
      </x:c>
      <x:c r="D7" s="182" t="n">
        <x:f>B7-C7</x:f>
        <x:v>0.0000010000000070231607</x:v>
      </x:c>
      <x:c r="E7" s="182" t="n">
        <x:f>0.0001</x:f>
        <x:v>0.0001</x:v>
      </x:c>
      <x:c r="F7" s="14" t="str">
        <x:f>IF(ABS(D7)&lt;=E7,"OK","FAIL")</x:f>
        <x:v>OK</x:v>
      </x:c>
      <x:c r="G7" s="14" t="str">
        <x:v>分部毛利等于合并毛利</x:v>
      </x:c>
    </x:row>
    <x:row r="8">
      <x:c r="A8" s="14" t="str">
        <x:v>H1自由现金流</x:v>
      </x:c>
      <x:c r="B8" s="182" t="n">
        <x:f>'Historical'!E9</x:f>
        <x:v>-8.744668</x:v>
      </x:c>
      <x:c r="C8" s="182" t="n">
        <x:f>'Historical'!E7-'Historical'!E8</x:f>
        <x:v>-8.744668</x:v>
      </x:c>
      <x:c r="D8" s="182" t="n">
        <x:f>B8-C8</x:f>
        <x:v>0</x:v>
      </x:c>
      <x:c r="E8" s="182" t="n">
        <x:f>0.0001</x:f>
        <x:v>0.0001</x:v>
      </x:c>
      <x:c r="F8" s="14" t="str">
        <x:f>IF(ABS(D8)&lt;=E8,"OK","FAIL")</x:f>
        <x:v>OK</x:v>
      </x:c>
      <x:c r="G8" s="14" t="str">
        <x:v>CFO-Capex</x:v>
      </x:c>
    </x:row>
    <x:row r="9">
      <x:c r="A9" s="14" t="str">
        <x:v>经济股数桥</x:v>
      </x:c>
      <x:c r="B9" s="182" t="n">
        <x:f>'Assumptions'!B7</x:f>
        <x:v>5.703409552</x:v>
      </x:c>
      <x:c r="C9" s="182" t="n">
        <x:f>'Assumptions'!B5-'Assumptions'!B6</x:f>
        <x:v>5.703409552</x:v>
      </x:c>
      <x:c r="D9" s="182" t="n">
        <x:f>B9-C9</x:f>
        <x:v>0</x:v>
      </x:c>
      <x:c r="E9" s="182" t="n">
        <x:f>0.0001</x:f>
        <x:v>0.0001</x:v>
      </x:c>
      <x:c r="F9" s="14" t="str">
        <x:f>IF(ABS(D9)&lt;=E9,"OK","FAIL")</x:f>
        <x:v>OK</x:v>
      </x:c>
      <x:c r="G9" s="14" t="str">
        <x:v>总股本减库存股</x:v>
      </x:c>
    </x:row>
    <x:row r="10">
      <x:c r="A10" s="14" t="str">
        <x:v>经济市值桥</x:v>
      </x:c>
      <x:c r="B10" s="182" t="n">
        <x:f>'Assumptions'!B8</x:f>
        <x:v>250.77891800144</x:v>
      </x:c>
      <x:c r="C10" s="182" t="n">
        <x:f>'Assumptions'!B4*'Assumptions'!B7</x:f>
        <x:v>250.77891800144</x:v>
      </x:c>
      <x:c r="D10" s="182" t="n">
        <x:f>B10-C10</x:f>
        <x:v>0</x:v>
      </x:c>
      <x:c r="E10" s="182" t="n">
        <x:f>0.0001</x:f>
        <x:v>0.0001</x:v>
      </x:c>
      <x:c r="F10" s="14" t="str">
        <x:f>IF(ABS(D10)&lt;=E10,"OK","FAIL")</x:f>
        <x:v>OK</x:v>
      </x:c>
      <x:c r="G10" s="14" t="str">
        <x:v>价格×经济股数</x:v>
      </x:c>
    </x:row>
    <x:row r="11">
      <x:c r="A11" s="14" t="str">
        <x:v>当前PB桥</x:v>
      </x:c>
      <x:c r="B11" s="182" t="n">
        <x:f>'Assumptions'!B10</x:f>
        <x:v>3.127441054177906</x:v>
      </x:c>
      <x:c r="C11" s="182" t="n">
        <x:f>'Assumptions'!B8/'Assumptions'!B9</x:f>
        <x:v>3.127441054177906</x:v>
      </x:c>
      <x:c r="D11" s="182" t="n">
        <x:f>B11-C11</x:f>
        <x:v>0</x:v>
      </x:c>
      <x:c r="E11" s="182" t="n">
        <x:f>0.0001</x:f>
        <x:v>0.0001</x:v>
      </x:c>
      <x:c r="F11" s="14" t="str">
        <x:f>IF(ABS(D11)&lt;=E11,"OK","FAIL")</x:f>
        <x:v>OK</x:v>
      </x:c>
      <x:c r="G11" s="14" t="str">
        <x:v>市值/归母净资产</x:v>
      </x:c>
    </x:row>
    <x:row r="12">
      <x:c r="A12" s="14" t="str">
        <x:v>广义净债务桥</x:v>
      </x:c>
      <x:c r="B12" s="182" t="n">
        <x:f>'Assumptions'!B11</x:f>
        <x:v>57.25012800000001</x:v>
      </x:c>
      <x:c r="C12" s="182" t="n">
        <x:f>'Balance &amp; Cash'!B21</x:f>
        <x:v>57.25012800000001</x:v>
      </x:c>
      <x:c r="D12" s="182" t="n">
        <x:f>B12-C12</x:f>
        <x:v>0</x:v>
      </x:c>
      <x:c r="E12" s="182" t="n">
        <x:f>0.0001</x:f>
        <x:v>0.0001</x:v>
      </x:c>
      <x:c r="F12" s="14" t="str">
        <x:f>IF(ABS(D12)&lt;=E12,"OK","FAIL")</x:f>
        <x:v>OK</x:v>
      </x:c>
      <x:c r="G12" s="14" t="str">
        <x:v>债务桥一致</x:v>
      </x:c>
    </x:row>
    <x:row r="13">
      <x:c r="A13" s="14" t="str">
        <x:v>Base加权价值</x:v>
      </x:c>
      <x:c r="B13" s="182" t="n">
        <x:f>'Valuation'!H6</x:f>
        <x:v>48.70861528479623</x:v>
      </x:c>
      <x:c r="C13" s="182" t="n">
        <x:f>'Valuation'!D6*60%+'Valuation'!G6*40%</x:f>
        <x:v>48.70861528479623</x:v>
      </x:c>
      <x:c r="D13" s="182" t="n">
        <x:f>B13-C13</x:f>
        <x:v>0</x:v>
      </x:c>
      <x:c r="E13" s="182" t="n">
        <x:f>0.0001</x:f>
        <x:v>0.0001</x:v>
      </x:c>
      <x:c r="F13" s="14" t="str">
        <x:f>IF(ABS(D13)&lt;=E13,"OK","FAIL")</x:f>
        <x:v>OK</x:v>
      </x:c>
      <x:c r="G13" s="14" t="str">
        <x:v>60/40权重</x:v>
      </x:c>
    </x:row>
    <x:row r="14">
      <x:c r="A14" s="14" t="str">
        <x:v>估值权重</x:v>
      </x:c>
      <x:c r="B14" s="182" t="n">
        <x:f>60%+40%</x:f>
        <x:v>1</x:v>
      </x:c>
      <x:c r="C14" s="182" t="n">
        <x:f>100%</x:f>
        <x:v>1</x:v>
      </x:c>
      <x:c r="D14" s="182" t="n">
        <x:f>B14-C14</x:f>
        <x:v>0</x:v>
      </x:c>
      <x:c r="E14" s="182" t="n">
        <x:f>0.0001</x:f>
        <x:v>0.0001</x:v>
      </x:c>
      <x:c r="F14" s="14" t="str">
        <x:f>IF(ABS(D14)&lt;=E14,"OK","FAIL")</x:f>
        <x:v>OK</x:v>
      </x:c>
      <x:c r="G14" s="14" t="str">
        <x:v>权重必须100%</x:v>
      </x:c>
    </x:row>
    <x:row r="15">
      <x:c r="A15" s="14" t="str">
        <x:v>情景利润递增</x:v>
      </x:c>
      <x:c r="B15" s="182" t="n">
        <x:f>'Assumptions'!D25-'Assumptions'!B25</x:f>
        <x:v>30.8324</x:v>
      </x:c>
      <x:c r="C15" s="182" t="n">
        <x:f>0</x:f>
        <x:v>0</x:v>
      </x:c>
      <x:c r="D15" s="182" t="n">
        <x:f>B15-C15</x:f>
        <x:v>30.8324</x:v>
      </x:c>
      <x:c r="E15" s="182" t="n">
        <x:f>0</x:f>
        <x:v>0</x:v>
      </x:c>
      <x:c r="F15" s="14" t="str">
        <x:f>IF(B15&gt;C15,"OK","FAIL")</x:f>
        <x:v>OK</x:v>
      </x:c>
      <x:c r="G15" s="14" t="str">
        <x:v>Bull必须高于Bear</x:v>
      </x:c>
    </x:row>
    <x:row r="16">
      <x:c r="A16" s="16" t="str">
        <x:v>情景价值递增</x:v>
      </x:c>
      <x:c r="B16" s="183" t="n">
        <x:f>'Valuation'!H7-'Valuation'!H5</x:f>
        <x:v>63.04647625277181</x:v>
      </x:c>
      <x:c r="C16" s="183" t="n">
        <x:f>0</x:f>
        <x:v>0</x:v>
      </x:c>
      <x:c r="D16" s="183" t="n">
        <x:f>B16-C16</x:f>
        <x:v>63.04647625277181</x:v>
      </x:c>
      <x:c r="E16" s="183" t="n">
        <x:f>0</x:f>
        <x:v>0</x:v>
      </x:c>
      <x:c r="F16" s="16" t="str">
        <x:f>IF(B16&gt;C16,"OK","FAIL")</x:f>
        <x:v>OK</x:v>
      </x:c>
      <x:c r="G16" s="16" t="str">
        <x:v>Bull必须高于Bear</x:v>
      </x:c>
    </x:row>
  </x:sheetData>
  <x:mergeCells>
    <x:mergeCell ref="A1:G1"/>
    <x:mergeCell ref="A2:E2"/>
  </x:mergeCells>
  <x:conditionalFormatting sqref="F2:F16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16" hidden="0" customWidth="1"/>
    <x:col min="4" max="4" width="19" hidden="0" customWidth="1"/>
    <x:col min="5" max="5" width="16" hidden="0" customWidth="1"/>
    <x:col min="6" max="6" width="24" hidden="0" customWidth="1"/>
    <x:col min="7" max="7" width="82" hidden="0" customWidth="1"/>
    <x:col min="8" max="8" width="36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URL/本地文件</x:v>
      </x:c>
      <x:c r="H3" s="21" t="str">
        <x:v>审计说明</x:v>
      </x:c>
    </x:row>
    <x:row r="4" ht="44" customHeight="1">
      <x:c r="A4" s="11" t="str">
        <x:v>S1</x:v>
      </x:c>
      <x:c r="B4" s="190" t="str">
        <x:v>2026H1财务、分部、资产负债、股本</x:v>
      </x:c>
      <x:c r="C4" s="191"/>
      <x:c r="D4" s="190"/>
      <x:c r="E4" s="190" t="str">
        <x:v>2026H1</x:v>
      </x:c>
      <x:c r="F4" s="190" t="str">
        <x:v>公司2026中期报告</x:v>
      </x:c>
      <x:c r="G4" s="190" t="str">
        <x:v>https://www1.hkexnews.hk/listedco/listconews/sehk/2026/0820/2026082000945.pdf</x:v>
      </x:c>
      <x:c r="H4" s="190" t="str">
        <x:v>未经审计；本地已归档</x:v>
      </x:c>
    </x:row>
    <x:row r="5" ht="44" customHeight="1">
      <x:c r="A5" s="14" t="str">
        <x:v>S2</x:v>
      </x:c>
      <x:c r="B5" s="192" t="str">
        <x:v>2025年度财务、量价、成本、屠宰</x:v>
      </x:c>
      <x:c r="C5" s="193"/>
      <x:c r="D5" s="192"/>
      <x:c r="E5" s="192" t="str">
        <x:v>FY2025</x:v>
      </x:c>
      <x:c r="F5" s="192" t="str">
        <x:v>公司2025年报</x:v>
      </x:c>
      <x:c r="G5" s="192" t="str">
        <x:v>https://www1.hkexnews.hk/listedco/listconews/sehk/2026/0329/2026032900195.pdf</x:v>
      </x:c>
      <x:c r="H5" s="192" t="str">
        <x:v>经审计；本地已归档</x:v>
      </x:c>
    </x:row>
    <x:row r="6" ht="44" customHeight="1">
      <x:c r="A6" s="14" t="str">
        <x:v>S3</x:v>
      </x:c>
      <x:c r="B6" s="192" t="str">
        <x:v>2024年度及2023对比财务</x:v>
      </x:c>
      <x:c r="C6" s="193"/>
      <x:c r="D6" s="192"/>
      <x:c r="E6" s="192" t="str">
        <x:v>FY2024</x:v>
      </x:c>
      <x:c r="F6" s="192" t="str">
        <x:v>公司2024年报</x:v>
      </x:c>
      <x:c r="G6" s="192" t="str">
        <x:v>https://disc.static.szse.cn/disc/disk03/finalpage/2025-03-19/cfb0b376-43ed-4381-a8fd-cbc4958efa58.PDF</x:v>
      </x:c>
      <x:c r="H6" s="192" t="str">
        <x:v>经审计；本地已归档</x:v>
      </x:c>
    </x:row>
    <x:row r="7" ht="44" customHeight="1">
      <x:c r="A7" s="14" t="str">
        <x:v>S4</x:v>
      </x:c>
      <x:c r="B7" s="192" t="str">
        <x:v>2026年7月销量、收入与猪价</x:v>
      </x:c>
      <x:c r="C7" s="193" t="n">
        <x:v>6.66</x:v>
      </x:c>
      <x:c r="D7" s="192" t="str">
        <x:v>mn heads</x:v>
      </x:c>
      <x:c r="E7" s="192" t="str">
        <x:v>2026-07</x:v>
      </x:c>
      <x:c r="F7" s="192" t="str">
        <x:v>公司销售简报</x:v>
      </x:c>
      <x:c r="G7" s="192" t="str">
        <x:v>https://www1.hkexnews.hk/listedco/listconews/sehk/2026/0805/2026080501801.pdf</x:v>
      </x:c>
      <x:c r="H7" s="192" t="str">
        <x:v>未经审计；本地已归档</x:v>
      </x:c>
    </x:row>
    <x:row r="8" ht="44" customHeight="1">
      <x:c r="A8" s="14" t="str">
        <x:v>S5</x:v>
      </x:c>
      <x:c r="B8" s="192" t="str">
        <x:v>7月完全成本、屠宰与经营策略</x:v>
      </x:c>
      <x:c r="C8" s="193" t="n">
        <x:v>11.5</x:v>
      </x:c>
      <x:c r="D8" s="192" t="str">
        <x:v>RMB/kg</x:v>
      </x:c>
      <x:c r="E8" s="192" t="str">
        <x:v>2026-07</x:v>
      </x:c>
      <x:c r="F8" s="192" t="str">
        <x:v>公司中报交流纪要</x:v>
      </x:c>
      <x:c r="G8" s="192" t="str">
        <x:v>https://vip.stock.finance.sina.com.cn/corp/view/vCB_AllBulletinDetail.php?CompanyCode=80198868&amp;gather=1&amp;id=12513221</x:v>
      </x:c>
      <x:c r="H8" s="192" t="str">
        <x:v>公司披露镜像；本地已归档</x:v>
      </x:c>
    </x:row>
    <x:row r="9" ht="44" customHeight="1">
      <x:c r="A9" s="14" t="str">
        <x:v>I1</x:v>
      </x:c>
      <x:c r="B9" s="192" t="str">
        <x:v>全国H1生猪供给</x:v>
      </x:c>
      <x:c r="C9" s="193" t="n">
        <x:v>372.46</x:v>
      </x:c>
      <x:c r="D9" s="192" t="str">
        <x:v>mn heads</x:v>
      </x:c>
      <x:c r="E9" s="192" t="str">
        <x:v>2026H1</x:v>
      </x:c>
      <x:c r="F9" s="192" t="str">
        <x:v>国家统计局</x:v>
      </x:c>
      <x:c r="G9" s="192" t="str">
        <x:v>https://www.stats.gov.cn/xxgk/sjfb/zxfb2020/202607/t20260715_1964121.html</x:v>
      </x:c>
      <x:c r="H9" s="192" t="str">
        <x:v>官方行业数据</x:v>
      </x:c>
    </x:row>
    <x:row r="10" ht="44" customHeight="1">
      <x:c r="A10" s="14" t="str">
        <x:v>I2</x:v>
      </x:c>
      <x:c r="B10" s="192" t="str">
        <x:v>能繁母猪存栏</x:v>
      </x:c>
      <x:c r="C10" s="193" t="n">
        <x:v>37.8</x:v>
      </x:c>
      <x:c r="D10" s="192" t="str">
        <x:v>mn heads</x:v>
      </x:c>
      <x:c r="E10" s="192" t="str">
        <x:v>2026Q2末</x:v>
      </x:c>
      <x:c r="F10" s="192" t="str">
        <x:v>国家统计局解读</x:v>
      </x:c>
      <x:c r="G10" s="192" t="str">
        <x:v>https://www.stats.gov.cn/sj/zxfbhjd/202607/t20260716_1964140.html</x:v>
      </x:c>
      <x:c r="H10" s="192" t="str">
        <x:v>同比-6.5%；正常保有量100.8%</x:v>
      </x:c>
    </x:row>
    <x:row r="11" ht="44" customHeight="1">
      <x:c r="A11" s="14" t="str">
        <x:v>I3</x:v>
      </x:c>
      <x:c r="B11" s="192" t="str">
        <x:v>产能调控要求</x:v>
      </x:c>
      <x:c r="C11" s="193"/>
      <x:c r="D11" s="192"/>
      <x:c r="E11" s="192" t="str">
        <x:v>2026-06-22</x:v>
      </x:c>
      <x:c r="F11" s="192" t="str">
        <x:v>农业农村部</x:v>
      </x:c>
      <x:c r="G11" s="192" t="str">
        <x:v>https://xmsyj.moa.gov.cn/gzdt/202606/t20260622_6485180.htm</x:v>
      </x:c>
      <x:c r="H11" s="192" t="str">
        <x:v>控制产能、二育与出栏体重</x:v>
      </x:c>
    </x:row>
    <x:row r="12" ht="44" customHeight="1">
      <x:c r="A12" s="14" t="str">
        <x:v>M1</x:v>
      </x:c>
      <x:c r="B12" s="192" t="str">
        <x:v>A股收盘价</x:v>
      </x:c>
      <x:c r="C12" s="193" t="n">
        <x:v>43.97</x:v>
      </x:c>
      <x:c r="D12" s="192" t="str">
        <x:v>RMB/股</x:v>
      </x:c>
      <x:c r="E12" s="192" t="str">
        <x:v>2026-09-04</x:v>
      </x:c>
      <x:c r="F12" s="192" t="str">
        <x:v>Investing历史行情</x:v>
      </x:c>
      <x:c r="G12" s="192" t="str">
        <x:v>https://cn.investing.com/equities/muyuan-foodstuff-a-historical-data</x:v>
      </x:c>
      <x:c r="H12" s="192" t="str">
        <x:v>二级市场价格；Yahoo交叉核验</x:v>
      </x:c>
    </x:row>
    <x:row r="13" ht="44" customHeight="1">
      <x:c r="A13" s="14" t="str">
        <x:v>A1</x:v>
      </x:c>
      <x:c r="B13" s="192" t="str">
        <x:v>商品猪销量/体重/价成本</x:v>
      </x:c>
      <x:c r="C13" s="193"/>
      <x:c r="D13" s="192"/>
      <x:c r="E13" s="192" t="str">
        <x:v>2027E</x:v>
      </x:c>
      <x:c r="F13" s="192" t="str">
        <x:v>分析假设</x:v>
      </x:c>
      <x:c r="G13" s="192" t="str"/>
      <x:c r="H13" s="192" t="str">
        <x:v>不是公司指引或一致预期</x:v>
      </x:c>
    </x:row>
    <x:row r="14" ht="44" customHeight="1">
      <x:c r="A14" s="14" t="str">
        <x:v>A2</x:v>
      </x:c>
      <x:c r="B14" s="192" t="str">
        <x:v>屠宰和融资调整</x:v>
      </x:c>
      <x:c r="C14" s="193"/>
      <x:c r="D14" s="192"/>
      <x:c r="E14" s="192" t="str">
        <x:v>2027E</x:v>
      </x:c>
      <x:c r="F14" s="192" t="str">
        <x:v>分析假设</x:v>
      </x:c>
      <x:c r="G14" s="192" t="str"/>
      <x:c r="H14" s="192" t="str">
        <x:v>情景增量</x:v>
      </x:c>
    </x:row>
    <x:row r="15" ht="44" customHeight="1">
      <x:c r="A15" s="14" t="str">
        <x:v>A3</x:v>
      </x:c>
      <x:c r="B15" s="192" t="str">
        <x:v>P/E与P/B倍数</x:v>
      </x:c>
      <x:c r="C15" s="193"/>
      <x:c r="D15" s="192"/>
      <x:c r="E15" s="192" t="str">
        <x:v>2027E</x:v>
      </x:c>
      <x:c r="F15" s="192" t="str">
        <x:v>分析假设</x:v>
      </x:c>
      <x:c r="G15" s="192" t="str"/>
      <x:c r="H15" s="192" t="str">
        <x:v>60%/40%加权</x:v>
      </x:c>
    </x:row>
    <x:row r="16" ht="44" customHeight="1">
      <x:c r="A16" s="14" t="str">
        <x:v>C1</x:v>
      </x:c>
      <x:c r="B16" s="192" t="str">
        <x:v>经济股数</x:v>
      </x:c>
      <x:c r="C16" s="193" t="n">
        <x:v>5.703409552</x:v>
      </x:c>
      <x:c r="D16" s="192" t="str">
        <x:v>bn shares</x:v>
      </x:c>
      <x:c r="E16" s="192" t="str">
        <x:v>2026H1</x:v>
      </x:c>
      <x:c r="F16" s="192" t="str">
        <x:v>研究计算</x:v>
      </x:c>
      <x:c r="G16" s="192" t="str"/>
      <x:c r="H16" s="192" t="str">
        <x:v>总股本减库存股</x:v>
      </x:c>
    </x:row>
    <x:row r="17" ht="44" customHeight="1">
      <x:c r="A17" s="14" t="str">
        <x:v>C2</x:v>
      </x:c>
      <x:c r="B17" s="192" t="str">
        <x:v>广义净债务</x:v>
      </x:c>
      <x:c r="C17" s="193" t="n">
        <x:v>57.250128</x:v>
      </x:c>
      <x:c r="D17" s="192" t="str">
        <x:v>RMB bn</x:v>
      </x:c>
      <x:c r="E17" s="192" t="str">
        <x:v>2026H1</x:v>
      </x:c>
      <x:c r="F17" s="192" t="str">
        <x:v>研究计算</x:v>
      </x:c>
      <x:c r="G17" s="192" t="str"/>
      <x:c r="H17" s="192" t="str">
        <x:v>有息债务+租赁-现金-交易性金融资产</x:v>
      </x:c>
    </x:row>
    <x:row r="18" ht="44" customHeight="1">
      <x:c r="A18" s="14" t="str">
        <x:v>C3</x:v>
      </x:c>
      <x:c r="B18" s="192" t="str">
        <x:v>简化自由现金流</x:v>
      </x:c>
      <x:c r="C18" s="193" t="n">
        <x:v>-8.744668</x:v>
      </x:c>
      <x:c r="D18" s="192" t="str">
        <x:v>RMB bn</x:v>
      </x:c>
      <x:c r="E18" s="192" t="str">
        <x:v>2026H1</x:v>
      </x:c>
      <x:c r="F18" s="192" t="str">
        <x:v>研究计算</x:v>
      </x:c>
      <x:c r="G18" s="192" t="str"/>
      <x:c r="H18" s="192" t="str">
        <x:v>CFO-资本开支</x:v>
      </x:c>
    </x:row>
    <x:row r="19" ht="44" customHeight="1">
      <x:c r="A19" s="16" t="str">
        <x:v>C4</x:v>
      </x:c>
      <x:c r="B19" s="194" t="str">
        <x:v>主要关联采购</x:v>
      </x:c>
      <x:c r="C19" s="195" t="n">
        <x:v>4.44</x:v>
      </x:c>
      <x:c r="D19" s="194" t="str">
        <x:v>RMB bn</x:v>
      </x:c>
      <x:c r="E19" s="194" t="str">
        <x:v>2026H1</x:v>
      </x:c>
      <x:c r="F19" s="194" t="str">
        <x:v>研究归类</x:v>
      </x:c>
      <x:c r="G19" s="194" t="str"/>
      <x:c r="H19" s="194" t="str">
        <x:v>约占H1收入7.5%</x:v>
      </x:c>
    </x:row>
  </x:sheetData>
  <x:mergeCells>
    <x:mergeCell ref="A1:H1"/>
  </x:mergeCells>
  <x:pageMargins left="0.7" right="0.7" top="0.75" bottom="0.75" header="0.3" footer="0.3"/>
</x:worksheet>
</file>
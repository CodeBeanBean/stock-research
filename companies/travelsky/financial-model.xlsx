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72c8094c2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280ea882cdb4f9d"/>
    <x:sheet xmlns:r="http://schemas.openxmlformats.org/officeDocument/2006/relationships" name="Historical" sheetId="2" r:id="R2050060c6e8a4cde"/>
    <x:sheet xmlns:r="http://schemas.openxmlformats.org/officeDocument/2006/relationships" name="Operating Drivers" sheetId="3" r:id="R509730b7ca0a4bef"/>
    <x:sheet xmlns:r="http://schemas.openxmlformats.org/officeDocument/2006/relationships" name="Balance &amp; Cash Flow" sheetId="4" r:id="Rae373045234c42bb"/>
    <x:sheet xmlns:r="http://schemas.openxmlformats.org/officeDocument/2006/relationships" name="Assumptions" sheetId="5" r:id="Refca3e3237e14ae9"/>
    <x:sheet xmlns:r="http://schemas.openxmlformats.org/officeDocument/2006/relationships" name="Valuation" sheetId="6" r:id="R2c374decd94b4a71"/>
    <x:sheet xmlns:r="http://schemas.openxmlformats.org/officeDocument/2006/relationships" name="Checks" sheetId="7" r:id="Ra72c12bba25f4243"/>
    <x:sheet xmlns:r="http://schemas.openxmlformats.org/officeDocument/2006/relationships" name="Sources Audit" sheetId="8" r:id="R57550fc04ef54be7"/>
  </x:sheets>
</x:workbook>
</file>

<file path=xl/comments1.xml><?xml version="1.0" encoding="utf-8"?>
<x:comments xmlns:x="http://schemas.openxmlformats.org/spreadsheetml/2006/main">
  <x:authors>
    <x:author>tc={8D930E8B-08E3-E834-C9B9-C76168EF3381}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1H26 aviation information platform revenue RMB2.352bn, down 1.7% despite stable system processing volume.</x:t>
        </x:r>
      </x:text>
    </x:comment>
  </x:commentList>
</x:comments>
</file>

<file path=xl/comments2.xml><?xml version="1.0" encoding="utf-8"?>
<x:comments xmlns:x="http://schemas.openxmlformats.org/spreadsheetml/2006/main">
  <x:authors>
    <x:author>tc={7E4E3270-1B0E-E139-6662-2267EAC66532}</x:author>
  </x:authors>
  <x:commentList>
    <x:comment ref="C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Conservative net liquid assets = cash and bank balances + trading financial assets - short-term borrowings - long-term borrowings. Restricted deposits and long-term investments are excluded.</x:t>
        </x:r>
      </x:text>
    </x:comment>
  </x:commentList>
</x:comments>
</file>

<file path=xl/comments3.xml><?xml version="1.0" encoding="utf-8"?>
<x:comments xmlns:x="http://schemas.openxmlformats.org/spreadsheetml/2006/main">
  <x:authors>
    <x:author>tc={A5B4EAFD-E801-C03C-9768-ECD6E6F14942}</x:author>
    <x:author>tc={AB06482C-F4A7-DE6E-CF2E-4015923592E8}</x:author>
    <x:author>tc={0636497A-E716-3893-5B35-0E8E7BCDC422}</x:author>
    <x:author>tc={7729B936-F7DC-1B2F-7F23-EB39EE31F547}</x:author>
    <x:author>tc={4800C7BC-7A02-B63A-C674-9B08CACF6D34}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2026-08-25 close HKD8.935, the first trading day after the interim results release.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S4: total issued shares 2,926,209,589, including 932,562,000 H shares and 1,993,647,589 domestic shares. Valuation uses all shares because both classes have economic rights.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M2: 2026-08-25 central parity, HKD100 = RMB86.587.</x:t>
        </x:r>
      </x:text>
    </x:comment>
    <x:comment ref="C2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attributable profit RMB2.50bn; not consensus or company guidance.</x:t>
        </x:r>
      </x:text>
    </x:comment>
    <x:comment ref="C2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10x P/E balances critical-infrastructure moat and net liquidity against weak core-platform growth and SOE capital-allocation discount.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9">
    <x:numFmt numFmtId="200" formatCode="yyyy-mm-dd"/>
    <x:numFmt numFmtId="201" formatCode="&quot;HKD &quot;0.000"/>
    <x:numFmt numFmtId="202" formatCode="0.0&quot; bn RMB&quot;"/>
    <x:numFmt numFmtId="203" formatCode="0.0x"/>
    <x:numFmt numFmtId="204" formatCode="0.0%;[Red](0.0%);-"/>
    <x:numFmt numFmtId="205" formatCode="&quot;HKD &quot;0.00"/>
    <x:numFmt numFmtId="206" formatCode="0.00&quot; bn&quot;"/>
    <x:numFmt numFmtId="207" formatCode="0.00&quot; bn&quot;;[Red](0.00&quot; bn&quot;);-"/>
    <x:numFmt numFmtId="208" formatCode="0.0%"/>
    <x:numFmt numFmtId="209" formatCode="0.0&quot; m&quot;"/>
    <x:numFmt numFmtId="210" formatCode="0.00&quot; bn RMB&quot;"/>
    <x:numFmt numFmtId="211" formatCode="0.000&quot; bn shares&quot;"/>
    <x:numFmt numFmtId="212" formatCode="0.00000&quot; RMB/HKD&quot;"/>
    <x:numFmt numFmtId="213" formatCode="0.0&quot; bn HKD&quot;"/>
    <x:numFmt numFmtId="214" formatCode="&quot;HKD &quot;0.00000"/>
    <x:numFmt numFmtId="215" formatCode="0%"/>
    <x:numFmt numFmtId="216" formatCode="0.0&quot; bn&quot;"/>
    <x:numFmt numFmtId="217" formatCode="0.0000"/>
    <x:numFmt numFmtId="218" formatCode="0.0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4" fontId="5" fillId="0" borderId="2" xfId="0" applyNumberFormat="1" applyFont="1" applyFill="1" applyBorder="1"/>
    <x:xf numFmtId="205" fontId="5" fillId="0" borderId="2" xfId="0" applyNumberFormat="1" applyFont="1" applyFill="1" applyBorder="1"/>
    <x:xf numFmtId="204" fontId="5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4" fontId="0" fillId="4" borderId="0" xfId="0" applyNumberFormat="1" applyFont="1" applyFill="1" applyBorder="1"/>
    <x:xf numFmtId="0" fontId="3" fillId="4" borderId="0" xfId="0" applyNumberFormat="1" applyFont="1" applyFill="1" applyBorder="1"/>
    <x:xf numFmtId="204" fontId="3" fillId="4" borderId="0" xfId="0" applyNumberFormat="1" applyFont="1" applyFill="1" applyBorder="1"/>
    <x:xf numFmtId="207" fontId="0" fillId="4" borderId="0" xfId="0" applyNumberFormat="1" applyFont="1" applyFill="1" applyBorder="1"/>
    <x:xf numFmtId="203" fontId="0" fillId="4" borderId="0" xfId="0" applyNumberFormat="1" applyFont="1" applyFill="1" applyBorder="1"/>
    <x:xf numFmtId="208" fontId="0" fillId="4" borderId="0" xfId="0" applyNumberFormat="1" applyFont="1" applyFill="1" applyBorder="1"/>
    <x:xf numFmtId="207" fontId="3" fillId="4" borderId="0" xfId="0" applyNumberFormat="1" applyFont="1" applyFill="1" applyBorder="1"/>
    <x:xf numFmtId="203" fontId="3" fillId="4" borderId="0" xfId="0" applyNumberFormat="1" applyFont="1" applyFill="1" applyBorder="1"/>
    <x:xf numFmtId="208" fontId="3" fillId="4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/>
    <x:xf numFmtId="0" fontId="4" fillId="4" borderId="0" xfId="0" applyNumberFormat="1" applyFont="1" applyFill="1" applyBorder="1"/>
    <x:xf numFmtId="204" fontId="4" fillId="4" borderId="0" xfId="0" applyNumberFormat="1" applyFont="1" applyFill="1" applyBorder="1"/>
    <x:xf numFmtId="207" fontId="5" fillId="0" borderId="0" xfId="0" applyNumberFormat="1" applyFont="1" applyFill="1" applyBorder="1"/>
    <x:xf numFmtId="207" fontId="4" fillId="4" borderId="0" xfId="0" applyNumberFormat="1" applyFont="1" applyFill="1" applyBorder="1"/>
    <x:xf numFmtId="203" fontId="4" fillId="4" borderId="0" xfId="0" applyNumberFormat="1" applyFont="1" applyFill="1" applyBorder="1"/>
    <x:xf numFmtId="208" fontId="4" fillId="4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6" fontId="5" fillId="0" borderId="1" xfId="0" applyNumberFormat="1" applyFont="1" applyFill="1" applyBorder="1"/>
    <x:xf numFmtId="0" fontId="4" fillId="4" borderId="2" xfId="0" applyNumberFormat="1" applyFont="1" applyFill="1" applyBorder="1"/>
    <x:xf numFmtId="204" fontId="4" fillId="4" borderId="2" xfId="0" applyNumberFormat="1" applyFont="1" applyFill="1" applyBorder="1"/>
    <x:xf numFmtId="206" fontId="5" fillId="0" borderId="2" xfId="0" applyNumberFormat="1" applyFont="1" applyFill="1" applyBorder="1"/>
    <x:xf numFmtId="207" fontId="5" fillId="0" borderId="2" xfId="0" applyNumberFormat="1" applyFont="1" applyFill="1" applyBorder="1"/>
    <x:xf numFmtId="207" fontId="4" fillId="4" borderId="2" xfId="0" applyNumberFormat="1" applyFont="1" applyFill="1" applyBorder="1"/>
    <x:xf numFmtId="203" fontId="4" fillId="4" borderId="2" xfId="0" applyNumberFormat="1" applyFont="1" applyFill="1" applyBorder="1"/>
    <x:xf numFmtId="208" fontId="4" fillId="4" borderId="2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204" fontId="5" fillId="0" borderId="1" xfId="0" applyNumberFormat="1" applyFont="1" applyFill="1" applyBorder="1"/>
    <x:xf numFmtId="206" fontId="5" fillId="0" borderId="3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09" fontId="5" fillId="0" borderId="0" xfId="0" applyNumberFormat="1" applyFont="1" applyFill="1" applyBorder="1"/>
    <x:xf numFmtId="210" fontId="5" fillId="0" borderId="0" xfId="0" applyNumberFormat="1" applyFont="1" applyFill="1" applyBorder="1"/>
    <x:xf numFmtId="209" fontId="5" fillId="0" borderId="1" xfId="0" applyNumberFormat="1" applyFont="1" applyFill="1" applyBorder="1"/>
    <x:xf numFmtId="209" fontId="5" fillId="0" borderId="2" xfId="0" applyNumberFormat="1" applyFont="1" applyFill="1" applyBorder="1"/>
    <x:xf numFmtId="210" fontId="5" fillId="0" borderId="2" xfId="0" applyNumberFormat="1" applyFont="1" applyFill="1" applyBorder="1"/>
    <x:xf numFmtId="208" fontId="5" fillId="0" borderId="0" xfId="0" applyNumberFormat="1" applyFont="1" applyFill="1" applyBorder="1"/>
    <x:xf numFmtId="208" fontId="5" fillId="0" borderId="1" xfId="0" applyNumberFormat="1" applyFont="1" applyFill="1" applyBorder="1"/>
    <x:xf numFmtId="208" fontId="5" fillId="0" borderId="2" xfId="0" applyNumberFormat="1" applyFont="1" applyFill="1" applyBorder="1"/>
    <x:xf numFmtId="207" fontId="5" fillId="0" borderId="1" xfId="0" applyNumberFormat="1" applyFont="1" applyFill="1" applyBorder="1"/>
    <x:xf numFmtId="0" fontId="4" fillId="4" borderId="3" xfId="0" applyNumberFormat="1" applyFont="1" applyFill="1" applyBorder="1"/>
    <x:xf numFmtId="208" fontId="4" fillId="4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8" fontId="5" fillId="0" borderId="3" xfId="0" applyNumberFormat="1" applyFont="1" applyFill="1" applyBorder="1"/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11" fontId="10" fillId="0" borderId="0" xfId="0" applyNumberFormat="1" applyFont="1" applyFill="1" applyBorder="1"/>
    <x:xf numFmtId="212" fontId="10" fillId="0" borderId="0" xfId="0" applyNumberFormat="1" applyFont="1" applyFill="1" applyBorder="1"/>
    <x:xf numFmtId="213" fontId="0" fillId="0" borderId="0" xfId="0" applyNumberFormat="1" applyFont="1" applyFill="1" applyBorder="1"/>
    <x:xf numFmtId="214" fontId="0" fillId="0" borderId="0" xfId="0" applyNumberFormat="1" applyFont="1" applyFill="1" applyBorder="1"/>
    <x:xf numFmtId="211" fontId="5" fillId="0" borderId="0" xfId="0" applyNumberFormat="1" applyFont="1" applyFill="1" applyBorder="1"/>
    <x:xf numFmtId="212" fontId="5" fillId="0" borderId="0" xfId="0" applyNumberFormat="1" applyFont="1" applyFill="1" applyBorder="1"/>
    <x:xf numFmtId="213" fontId="5" fillId="0" borderId="0" xfId="0" applyNumberFormat="1" applyFont="1" applyFill="1" applyBorder="1"/>
    <x:xf numFmtId="214" fontId="5" fillId="0" borderId="0" xfId="0" applyNumberFormat="1" applyFont="1" applyFill="1" applyBorder="1"/>
    <x:xf numFmtId="211" fontId="5" fillId="0" borderId="2" xfId="0" applyNumberFormat="1" applyFont="1" applyFill="1" applyBorder="1"/>
    <x:xf numFmtId="212" fontId="5" fillId="0" borderId="2" xfId="0" applyNumberFormat="1" applyFont="1" applyFill="1" applyBorder="1"/>
    <x:xf numFmtId="213" fontId="5" fillId="0" borderId="2" xfId="0" applyNumberFormat="1" applyFont="1" applyFill="1" applyBorder="1"/>
    <x:xf numFmtId="214" fontId="5" fillId="0" borderId="2" xfId="0" applyNumberFormat="1" applyFont="1" applyFill="1" applyBorder="1"/>
    <x:xf numFmtId="206" fontId="10" fillId="0" borderId="0" xfId="0" applyNumberFormat="1" applyFont="1" applyFill="1" applyBorder="1"/>
    <x:xf numFmtId="203" fontId="10" fillId="0" borderId="0" xfId="0" applyNumberFormat="1" applyFont="1" applyFill="1" applyBorder="1"/>
    <x:xf numFmtId="215" fontId="0" fillId="0" borderId="0" xfId="0" applyNumberFormat="1" applyFont="1" applyFill="1" applyBorder="1"/>
    <x:xf numFmtId="0" fontId="0" fillId="7" borderId="0" xfId="0" applyNumberFormat="1" applyFont="1" applyFill="1" applyBorder="1"/>
    <x:xf numFmtId="206" fontId="0" fillId="7" borderId="0" xfId="0" applyNumberFormat="1" applyFont="1" applyFill="1" applyBorder="1"/>
    <x:xf numFmtId="203" fontId="0" fillId="7" borderId="0" xfId="0" applyNumberFormat="1" applyFont="1" applyFill="1" applyBorder="1"/>
    <x:xf numFmtId="205" fontId="0" fillId="7" borderId="0" xfId="0" applyNumberFormat="1" applyFont="1" applyFill="1" applyBorder="1"/>
    <x:xf numFmtId="215" fontId="0" fillId="7" borderId="0" xfId="0" applyNumberFormat="1" applyFont="1" applyFill="1" applyBorder="1"/>
    <x:xf numFmtId="204" fontId="0" fillId="7" borderId="0" xfId="0" applyNumberFormat="1" applyFont="1" applyFill="1" applyBorder="1"/>
    <x:xf numFmtId="205" fontId="3" fillId="0" borderId="0" xfId="0" applyNumberFormat="1" applyFont="1" applyFill="1" applyBorder="1"/>
    <x:xf numFmtId="205" fontId="3" fillId="7" borderId="0" xfId="0" applyNumberFormat="1" applyFont="1" applyFill="1" applyBorder="1"/>
    <x:xf numFmtId="215" fontId="5" fillId="0" borderId="0" xfId="0" applyNumberFormat="1" applyFont="1" applyFill="1" applyBorder="1"/>
    <x:xf numFmtId="205" fontId="4" fillId="0" borderId="0" xfId="0" applyNumberFormat="1" applyFont="1" applyFill="1" applyBorder="1"/>
    <x:xf numFmtId="0" fontId="5" fillId="7" borderId="0" xfId="0" applyNumberFormat="1" applyFont="1" applyFill="1" applyBorder="1"/>
    <x:xf numFmtId="206" fontId="5" fillId="7" borderId="0" xfId="0" applyNumberFormat="1" applyFont="1" applyFill="1" applyBorder="1"/>
    <x:xf numFmtId="203" fontId="5" fillId="7" borderId="0" xfId="0" applyNumberFormat="1" applyFont="1" applyFill="1" applyBorder="1"/>
    <x:xf numFmtId="205" fontId="5" fillId="7" borderId="0" xfId="0" applyNumberFormat="1" applyFont="1" applyFill="1" applyBorder="1"/>
    <x:xf numFmtId="215" fontId="5" fillId="7" borderId="0" xfId="0" applyNumberFormat="1" applyFont="1" applyFill="1" applyBorder="1"/>
    <x:xf numFmtId="205" fontId="4" fillId="7" borderId="0" xfId="0" applyNumberFormat="1" applyFont="1" applyFill="1" applyBorder="1"/>
    <x:xf numFmtId="204" fontId="5" fillId="7" borderId="0" xfId="0" applyNumberFormat="1" applyFont="1" applyFill="1" applyBorder="1"/>
    <x:xf numFmtId="203" fontId="5" fillId="0" borderId="1" xfId="0" applyNumberFormat="1" applyFont="1" applyFill="1" applyBorder="1"/>
    <x:xf numFmtId="205" fontId="5" fillId="0" borderId="1" xfId="0" applyNumberFormat="1" applyFont="1" applyFill="1" applyBorder="1"/>
    <x:xf numFmtId="215" fontId="5" fillId="0" borderId="1" xfId="0" applyNumberFormat="1" applyFont="1" applyFill="1" applyBorder="1"/>
    <x:xf numFmtId="205" fontId="4" fillId="0" borderId="1" xfId="0" applyNumberFormat="1" applyFont="1" applyFill="1" applyBorder="1"/>
    <x:xf numFmtId="0" fontId="5" fillId="7" borderId="2" xfId="0" applyNumberFormat="1" applyFont="1" applyFill="1" applyBorder="1"/>
    <x:xf numFmtId="206" fontId="5" fillId="7" borderId="2" xfId="0" applyNumberFormat="1" applyFont="1" applyFill="1" applyBorder="1"/>
    <x:xf numFmtId="203" fontId="5" fillId="7" borderId="2" xfId="0" applyNumberFormat="1" applyFont="1" applyFill="1" applyBorder="1"/>
    <x:xf numFmtId="205" fontId="5" fillId="7" borderId="2" xfId="0" applyNumberFormat="1" applyFont="1" applyFill="1" applyBorder="1"/>
    <x:xf numFmtId="215" fontId="5" fillId="7" borderId="2" xfId="0" applyNumberFormat="1" applyFont="1" applyFill="1" applyBorder="1"/>
    <x:xf numFmtId="205" fontId="4" fillId="7" borderId="2" xfId="0" applyNumberFormat="1" applyFont="1" applyFill="1" applyBorder="1"/>
    <x:xf numFmtId="204" fontId="5" fillId="7" borderId="2" xfId="0" applyNumberFormat="1" applyFont="1" applyFill="1" applyBorder="1"/>
    <x:xf numFmtId="203" fontId="5" fillId="0" borderId="3" xfId="0" applyNumberFormat="1" applyFont="1" applyFill="1" applyBorder="1"/>
    <x:xf numFmtId="205" fontId="5" fillId="0" borderId="3" xfId="0" applyNumberFormat="1" applyFont="1" applyFill="1" applyBorder="1"/>
    <x:xf numFmtId="215" fontId="5" fillId="0" borderId="3" xfId="0" applyNumberFormat="1" applyFont="1" applyFill="1" applyBorder="1"/>
    <x:xf numFmtId="205" fontId="4" fillId="0" borderId="3" xfId="0" applyNumberFormat="1" applyFont="1" applyFill="1" applyBorder="1"/>
    <x:xf numFmtId="216" fontId="0" fillId="0" borderId="0" xfId="0" applyNumberFormat="1" applyFont="1" applyFill="1" applyBorder="1"/>
    <x:xf numFmtId="216" fontId="5" fillId="0" borderId="0" xfId="0" applyNumberFormat="1" applyFont="1" applyFill="1" applyBorder="1"/>
    <x:xf numFmtId="216" fontId="5" fillId="0" borderId="1" xfId="0" applyNumberFormat="1" applyFont="1" applyFill="1" applyBorder="1"/>
    <x:xf numFmtId="216" fontId="5" fillId="0" borderId="2" xfId="0" applyNumberFormat="1" applyFont="1" applyFill="1" applyBorder="1"/>
    <x:xf numFmtId="216" fontId="5" fillId="0" borderId="3" xfId="0" applyNumberFormat="1" applyFont="1" applyFill="1" applyBorder="1"/>
    <x:xf numFmtId="217" fontId="0" fillId="0" borderId="0" xfId="0" applyNumberFormat="1" applyFont="1" applyFill="1" applyBorder="1"/>
    <x:xf numFmtId="217" fontId="5" fillId="0" borderId="0" xfId="0" applyNumberFormat="1" applyFont="1" applyFill="1" applyBorder="1"/>
    <x:xf numFmtId="217" fontId="5" fillId="0" borderId="1" xfId="0" applyNumberFormat="1" applyFont="1" applyFill="1" applyBorder="1"/>
    <x:xf numFmtId="217" fontId="5" fillId="0" borderId="2" xfId="0" applyNumberFormat="1" applyFont="1" applyFill="1" applyBorder="1"/>
    <x:xf numFmtId="217" fontId="5" fillId="0" borderId="3" xfId="0" applyNumberFormat="1" applyFont="1" applyFill="1" applyBorder="1"/>
    <x:xf numFmtId="218" fontId="0" fillId="0" borderId="0" xfId="0" applyNumberFormat="1" applyFont="1" applyFill="1" applyBorder="1"/>
    <x:xf numFmtId="0" fontId="11" fillId="0" borderId="0" xfId="0" applyNumberFormat="1" applyFont="1" applyFill="1" applyBorder="1"/>
    <x:xf numFmtId="218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15" fontId="0" fillId="0" borderId="0" xfId="0" applyNumberFormat="1" applyFont="1" applyFill="1" applyBorder="1" applyAlignment="1">
      <x:alignment wrapText="1"/>
    </x:xf>
    <x:xf numFmtId="218" fontId="5" fillId="0" borderId="0" xfId="0" applyNumberFormat="1" applyFont="1" applyFill="1" applyBorder="1" applyAlignment="1">
      <x:alignment wrapText="1"/>
    </x:xf>
    <x:xf numFmtId="208" fontId="5" fillId="0" borderId="0" xfId="0" applyNumberFormat="1" applyFont="1" applyFill="1" applyBorder="1" applyAlignment="1">
      <x:alignment wrapText="1"/>
    </x:xf>
    <x:xf numFmtId="215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18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18" fontId="5" fillId="0" borderId="2" xfId="0" applyNumberFormat="1" applyFont="1" applyFill="1" applyBorder="1" applyAlignment="1">
      <x:alignment wrapText="1"/>
    </x:xf>
    <x:xf numFmtId="208" fontId="5" fillId="0" borderId="2" xfId="0" applyNumberFormat="1" applyFont="1" applyFill="1" applyBorder="1" applyAlignment="1">
      <x:alignment wrapText="1"/>
    </x:xf>
    <x:xf numFmtId="215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a25d623a048d7" /><Relationship Type="http://schemas.openxmlformats.org/officeDocument/2006/relationships/theme" Target="/xl/theme/theme1.xml" Id="R866748ef9f44473e" /><Relationship Type="http://schemas.openxmlformats.org/officeDocument/2006/relationships/sharedStrings" Target="/xl/sharedStrings.xml" Id="R4110a19f5cb04e42" /><Relationship Type="http://schemas.openxmlformats.org/officeDocument/2006/relationships/worksheet" Target="/xl/worksheets/sheet1.xml" Id="R6280ea882cdb4f9d" /><Relationship Type="http://schemas.openxmlformats.org/officeDocument/2006/relationships/worksheet" Target="/xl/worksheets/sheet2.xml" Id="R2050060c6e8a4cde" /><Relationship Type="http://schemas.openxmlformats.org/officeDocument/2006/relationships/worksheet" Target="/xl/worksheets/sheet3.xml" Id="R509730b7ca0a4bef" /><Relationship Type="http://schemas.openxmlformats.org/officeDocument/2006/relationships/worksheet" Target="/xl/worksheets/sheet4.xml" Id="Rae373045234c42bb" /><Relationship Type="http://schemas.openxmlformats.org/officeDocument/2006/relationships/worksheet" Target="/xl/worksheets/sheet5.xml" Id="Refca3e3237e14ae9" /><Relationship Type="http://schemas.openxmlformats.org/officeDocument/2006/relationships/worksheet" Target="/xl/worksheets/sheet6.xml" Id="R2c374decd94b4a71" /><Relationship Type="http://schemas.openxmlformats.org/officeDocument/2006/relationships/worksheet" Target="/xl/worksheets/sheet7.xml" Id="Ra72c12bba25f4243" /><Relationship Type="http://schemas.openxmlformats.org/officeDocument/2006/relationships/worksheet" Target="/xl/worksheets/sheet8.xml" Id="R57550fc04ef54be7" /><Relationship Type="http://schemas.microsoft.com/office/2017/10/relationships/person" Target="/xl/persons/person.xml" Id="R76280a4a58434d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1288a657af4386" /><Relationship Type="http://schemas.openxmlformats.org/officeDocument/2006/relationships/chart" Target="/xl/drawings/charts/chart2.xml" Id="R47fe505f9f9443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2026H1收入结构（RMB bn）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1H26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'Operating Drivers'!$A$4:$A$9</c:f>
              <c:strCache>
                <c:ptCount val="0"/>
              </c:strCache>
            </c:strRef>
          </c:cat>
          <c:val>
            <c:numRef>
              <c:f>'Operating Drivers'!$B$4:$B$9</c:f>
              <c:numCache>
                <c:formatCode>0.0" bn"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.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 bn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情景价值与当前股价（HKD/股）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"HKD "0.0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"HKD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1288a657af4386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fe505f9f9443f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esearch" id="{51BEE194-83DF-4F23-996C-AB417C00FFF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26T03:39:00.999" personId="{51BEE194-83DF-4F23-996C-AB417C00FFF6}" id="{8D930E8B-08E3-E834-C9B9-C76168EF3381}">
    <xltc:text>Source S1: 1H26 aviation information platform revenue RMB2.352bn, down 1.7% despite stable system processing volume.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18" dT="2026-08-26T03:39:00.999" personId="{51BEE194-83DF-4F23-996C-AB417C00FFF6}" id="{7E4E3270-1B0E-E139-6662-2267EAC66532}">
    <xltc:text>Conservative net liquid assets = cash and bank balances + trading financial assets - short-term borrowings - long-term borrowings. Restricted deposits and long-term investments are excluded.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08-26T03:39:00.998" personId="{51BEE194-83DF-4F23-996C-AB417C00FFF6}" id="{A5B4EAFD-E801-C03C-9768-ECD6E6F14942}">
    <xltc:text>Source M1: 2026-08-25 close HKD8.935, the first trading day after the interim results release.</xltc:text>
  </xltc:threadedComment>
  <xltc:threadedComment ref="B5" dT="2026-08-26T03:39:00.999" personId="{51BEE194-83DF-4F23-996C-AB417C00FFF6}" id="{AB06482C-F4A7-DE6E-CF2E-4015923592E8}">
    <xltc:text>Source S4: total issued shares 2,926,209,589, including 932,562,000 H shares and 1,993,647,589 domestic shares. Valuation uses all shares because both classes have economic rights.</xltc:text>
  </xltc:threadedComment>
  <xltc:threadedComment ref="B6" dT="2026-08-26T03:39:00.999" personId="{51BEE194-83DF-4F23-996C-AB417C00FFF6}" id="{0636497A-E716-3893-5B35-0E8E7BCDC422}">
    <xltc:text>Source M2: 2026-08-25 central parity, HKD100 = RMB86.587.</xltc:text>
  </xltc:threadedComment>
  <xltc:threadedComment ref="C24" dT="2026-08-26T03:39:00.999" personId="{51BEE194-83DF-4F23-996C-AB417C00FFF6}" id="{7729B936-F7DC-1B2F-7F23-EB39EE31F547}">
    <xltc:text>Analyst assumption: base normalized attributable profit RMB2.50bn; not consensus or company guidance.</xltc:text>
  </xltc:threadedComment>
  <xltc:threadedComment ref="C25" dT="2026-08-26T03:39:00.999" personId="{51BEE194-83DF-4F23-996C-AB417C00FFF6}" id="{4800C7BC-7A02-B63A-C674-9B08CACF6D34}">
    <xltc:text>Analyst assumption: 10x P/E balances critical-infrastructure moat and net liquidity against weak core-platform growth and SOE capital-allocation discount.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7f5a51ca424a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4321a00695e4ffa" /><Relationship Type="http://schemas.openxmlformats.org/officeDocument/2006/relationships/vmlDrawing" Target="/xl/drawings/vmldrawing.vml" Id="R9accd13e35ee4ef1" /><Relationship Type="http://schemas.microsoft.com/office/2017/10/relationships/threadedComment" Target="/xl/threadedcomments/threadedcomment.xml" Id="Rdca1081e4eb64d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5aa1abbd7b4d411c" /><Relationship Type="http://schemas.openxmlformats.org/officeDocument/2006/relationships/vmlDrawing" Target="/xl/drawings/vmldrawing2.vml" Id="R3805ca656caa4668" /><Relationship Type="http://schemas.microsoft.com/office/2017/10/relationships/threadedComment" Target="/xl/threadedcomments/threadedcomment2.xml" Id="R70f4b8639b904e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a05fa3e07476468a" /><Relationship Type="http://schemas.openxmlformats.org/officeDocument/2006/relationships/vmlDrawing" Target="/xl/drawings/vmldrawing3.vml" Id="Re2735c1ea1ac4d97" /><Relationship Type="http://schemas.microsoft.com/office/2017/10/relationships/threadedComment" Target="/xl/threadedcomments/threadedcomment3.xml" Id="R9aa4c81fd13f42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4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中国民航信息网络（00696.HK）基本面与估值模型</x:v>
      </x:c>
      <x:c r="B1" s="3" t="str">
        <x:v>中国民航信息网络（00696.HK）基本面与估值模型</x:v>
      </x:c>
      <x:c r="C1" s="3" t="str">
        <x:v>中国民航信息网络（00696.HK）基本面与估值模型</x:v>
      </x:c>
      <x:c r="D1" s="3" t="str">
        <x:v>中国民航信息网络（00696.HK）基本面与估值模型</x:v>
      </x:c>
      <x:c r="E1" s="3" t="str">
        <x:v>中国民航信息网络（00696.HK）基本面与估值模型</x:v>
      </x:c>
      <x:c r="F1" s="3" t="str">
        <x:v>中国民航信息网络（00696.HK）基本面与估值模型</x:v>
      </x:c>
      <x:c r="G1" s="3" t="str">
        <x:v>中国民航信息网络（00696.HK）基本面与估值模型</x:v>
      </x:c>
      <x:c r="H1" s="3" t="str">
        <x:v>中国民航信息网络（00696.HK）基本面与估值模型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中国民航信息网络股份有限公司</x:v>
      </x:c>
      <x:c r="J3" t="n">
        <x:f>'Assumptions'!B4</x:f>
        <x:v>8.935</x:v>
      </x:c>
    </x:row>
    <x:row r="4">
      <x:c r="A4" s="12" t="str">
        <x:v>价格基准</x:v>
      </x:c>
      <x:c r="B4" s="13" t="n">
        <x:v>46259</x:v>
      </x:c>
      <x:c r="J4" t="n">
        <x:f>'Assumptions'!B4</x:f>
        <x:v>8.935</x:v>
      </x:c>
    </x:row>
    <x:row r="5">
      <x:c r="A5" s="12" t="str">
        <x:v>资料截止</x:v>
      </x:c>
      <x:c r="B5" s="14" t="str">
        <x:v>2026-08-26</x:v>
      </x:c>
      <x:c r="J5" t="n">
        <x:f>'Assumptions'!B4</x:f>
        <x:v>8.935</x:v>
      </x:c>
    </x:row>
    <x:row r="6">
      <x:c r="A6" s="12" t="str">
        <x:v>报告货币</x:v>
      </x:c>
      <x:c r="B6" s="14" t="str">
        <x:v>人民币十亿元；每股价值为港元</x:v>
      </x:c>
    </x:row>
    <x:row r="7">
      <x:c r="A7" s="12" t="str">
        <x:v>模型版本</x:v>
      </x:c>
      <x:c r="B7" s="14" t="str">
        <x:v>首次建档 / 2026中期业绩 v1.0</x:v>
      </x:c>
    </x:row>
    <x:row r="8">
      <x:c r="A8" s="12" t="str">
        <x:v>估值框架</x:v>
      </x:c>
      <x:c r="B8" s="14" t="str">
        <x:v>70%正常化P/E + 30%P/B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5" t="str">
        <x:v>用途</x:v>
      </x:c>
      <x:c r="B10" s="16" t="str">
        <x:v>研究与情景分析；不构成个性化投资建议</x:v>
      </x:c>
    </x:row>
    <x:row r="12">
      <x:c r="A12" s="19" t="str">
        <x:v>关键输出</x:v>
      </x:c>
      <x:c r="B12" s="20" t="str">
        <x:v>数值</x:v>
      </x:c>
      <x:c r="C12" s="21" t="str">
        <x:v>说明</x:v>
      </x:c>
    </x:row>
    <x:row r="13">
      <x:c r="A13" s="11" t="str">
        <x:v>当前股价</x:v>
      </x:c>
      <x:c r="B13" s="37" t="n">
        <x:f>'Assumptions'!B4</x:f>
        <x:v>8.935</x:v>
      </x:c>
      <x:c r="C13" s="11" t="str">
        <x:v>2026-08-25收盘；已反映中报次日交易</x:v>
      </x:c>
    </x:row>
    <x:row r="14">
      <x:c r="A14" s="14" t="str">
        <x:v>人民币总市值</x:v>
      </x:c>
      <x:c r="B14" s="38" t="n">
        <x:f>'Assumptions'!B8</x:f>
        <x:v>22.63876226015309</x:v>
      </x:c>
      <x:c r="C14" s="14" t="str">
        <x:v>全部已发行股份×股价×汇率</x:v>
      </x:c>
    </x:row>
    <x:row r="15">
      <x:c r="A15" s="14" t="str">
        <x:v>滚动P/E</x:v>
      </x:c>
      <x:c r="B15" s="39" t="n">
        <x:f>'Assumptions'!B10</x:f>
        <x:v>9.289904047013872</x:v>
      </x:c>
      <x:c r="C15" s="14" t="str">
        <x:v>2025A-H1'25+H1'26</x:v>
      </x:c>
    </x:row>
    <x:row r="16">
      <x:c r="A16" s="14" t="str">
        <x:v>当前P/B</x:v>
      </x:c>
      <x:c r="B16" s="39" t="n">
        <x:f>'Assumptions'!B12</x:f>
        <x:v>0.9044634700293036</x:v>
      </x:c>
      <x:c r="C16" s="14" t="str">
        <x:v>按2026H1归母权益</x:v>
      </x:c>
    </x:row>
    <x:row r="17">
      <x:c r="A17" s="14" t="str">
        <x:v>核心平台收入同比</x:v>
      </x:c>
      <x:c r="B17" s="40" t="n">
        <x:f>'Operating Drivers'!D4</x:f>
        <x:v>-0.017167335348431734</x:v>
      </x:c>
      <x:c r="C17" s="14" t="str">
        <x:v>2026H1</x:v>
      </x:c>
    </x:row>
    <x:row r="18">
      <x:c r="A18" s="14" t="str">
        <x:v>归母净利率</x:v>
      </x:c>
      <x:c r="B18" s="40" t="n">
        <x:f>'Historical'!F8</x:f>
        <x:v>0.3752343071366525</x:v>
      </x:c>
      <x:c r="C18" s="14" t="str">
        <x:v>2026H1</x:v>
      </x:c>
    </x:row>
    <x:row r="19">
      <x:c r="A19" s="14" t="str">
        <x:v>保守净流动资产/市值</x:v>
      </x:c>
      <x:c r="B19" s="40" t="n">
        <x:f>'Assumptions'!B16</x:f>
        <x:v>0.6132774327701302</x:v>
      </x:c>
      <x:c r="C19" s="14" t="str">
        <x:v>现金+交易性金融资产-借款</x:v>
      </x:c>
    </x:row>
    <x:row r="20">
      <x:c r="A20" s="14" t="str">
        <x:v>Bear综合价值</x:v>
      </x:c>
      <x:c r="B20" s="41" t="n">
        <x:f>'Valuation'!H5</x:f>
        <x:v>6.715946970285993</x:v>
      </x:c>
      <x:c r="C20" s="14" t="str">
        <x:v>平台继续弱、估值折价</x:v>
      </x:c>
    </x:row>
    <x:row r="21">
      <x:c r="A21" s="14" t="str">
        <x:v>Base综合价值</x:v>
      </x:c>
      <x:c r="B21" s="41" t="n">
        <x:f>'Valuation'!H6</x:f>
        <x:v>9.870483895504671</x:v>
      </x:c>
      <x:c r="C21" s="14" t="str">
        <x:v>平台企稳、项目业务正常化</x:v>
      </x:c>
    </x:row>
    <x:row r="22">
      <x:c r="A22" s="14" t="str">
        <x:v>Bull综合价值</x:v>
      </x:c>
      <x:c r="B22" s="41" t="n">
        <x:f>'Valuation'!H7</x:f>
        <x:v>13.170695576781224</x:v>
      </x:c>
      <x:c r="C22" s="14" t="str">
        <x:v>平台恢复、数字化扩张</x:v>
      </x:c>
    </x:row>
    <x:row r="23">
      <x:c r="A23" s="16" t="str">
        <x:v>Base相对现价</x:v>
      </x:c>
      <x:c r="B23" s="42" t="n">
        <x:f>'Valuation'!I6</x:f>
        <x:v>0.10469881315105445</x:v>
      </x:c>
      <x:c r="C23" s="16" t="str">
        <x:v>情景差异，不是收益保证</x:v>
      </x:c>
    </x:row>
    <x:row r="26">
      <x:c r="A26" s="19" t="str">
        <x:v>研究结论</x:v>
      </x:c>
      <x:c r="B26" s="20" t="str">
        <x:v>研究结论</x:v>
      </x:c>
      <x:c r="C26" s="20" t="str">
        <x:v>研究结论</x:v>
      </x:c>
      <x:c r="D26" s="20" t="str">
        <x:v>研究结论</x:v>
      </x:c>
      <x:c r="E26" s="20" t="str">
        <x:v>研究结论</x:v>
      </x:c>
      <x:c r="F26" s="20" t="str">
        <x:v>研究结论</x:v>
      </x:c>
      <x:c r="G26" s="20" t="str">
        <x:v>研究结论</x:v>
      </x:c>
      <x:c r="H26" s="21" t="str">
        <x:v>研究结论</x:v>
      </x:c>
    </x:row>
    <x:row r="27" ht="24" customHeight="1">
      <x:c r="A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B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C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D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E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F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G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H27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</x:row>
    <x:row r="28" ht="24" customHeight="1">
      <x:c r="A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B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C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D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E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F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G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H28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</x:row>
    <x:row r="29" ht="24" customHeight="1">
      <x:c r="A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B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C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D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E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F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G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H29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</x:row>
    <x:row r="30" ht="24" customHeight="1">
      <x:c r="A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B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C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D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E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F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G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H30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</x:row>
    <x:row r="31" ht="24" customHeight="1">
      <x:c r="A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B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C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D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E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F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G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H31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</x:row>
    <x:row r="32" ht="24" customHeight="1">
      <x:c r="A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B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C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D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E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F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G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  <x:c r="H32" s="45" t="str">
        <x:v>2026H1收入增长5.6%、归母利润增长6.6%，但核心航空信息平台收入下降1.7%，增量主要来自机场数字化项目验收和航旅智能产品。毛利率升至61.6%，同时人工成本增长9.3%；利润增速还受益于重点软件企业税收返还。公司拥有行业关键基础设施护城河和大额流动资产，但核心业务量价偏弱、项目收入波动、应收账款减值与国企资本配置折价仍需跟踪。按8.935港元计，滚动P/E约9.3倍、P/B约0.9倍；基准价值约9.87港元，仅有约10%上行，结论为中性偏积极、等待更厚安全边际。</x:v>
      </x:c>
    </x:row>
  </x:sheetData>
  <x:mergeCells>
    <x:mergeCell ref="A1:H1"/>
    <x:mergeCell ref="A26:H26"/>
    <x:mergeCell ref="A27:H32"/>
  </x:mergeCells>
  <x:pageMargins left="0.7" right="0.7" top="0.75" bottom="0.75" header="0.3" footer="0.3"/>
  <x:drawing xmlns:r="http://schemas.openxmlformats.org/officeDocument/2006/relationships" r:id="R617f5a51ca424ae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</x:row>
    <x:row r="3">
      <x:c r="A3" s="48" t="str">
        <x:v>指标（RMB bn，除注明外）</x:v>
      </x:c>
      <x:c r="B3" s="49" t="str">
        <x:v>2023A</x:v>
      </x:c>
      <x:c r="C3" s="49" t="str">
        <x:v>2024A</x:v>
      </x:c>
      <x:c r="D3" s="49" t="str">
        <x:v>2025A</x:v>
      </x:c>
      <x:c r="E3" s="49" t="str">
        <x:v>1H25</x:v>
      </x:c>
      <x:c r="F3" s="50" t="str">
        <x:v>1H26</x:v>
      </x:c>
    </x:row>
    <x:row r="4">
      <x:c r="A4" s="11" t="str">
        <x:v>营业收入</x:v>
      </x:c>
      <x:c r="B4" s="74" t="n">
        <x:v>6.983847</x:v>
      </x:c>
      <x:c r="C4" s="74" t="n">
        <x:v>8.823023</x:v>
      </x:c>
      <x:c r="D4" s="74" t="n">
        <x:v>8.76584</x:v>
      </x:c>
      <x:c r="E4" s="74" t="n">
        <x:v>3.8945</x:v>
      </x:c>
      <x:c r="F4" s="74" t="n">
        <x:v>4.112124</x:v>
      </x:c>
    </x:row>
    <x:row r="5">
      <x:c r="A5" s="75" t="str">
        <x:v>收入同比</x:v>
      </x:c>
      <x:c r="B5" s="76"/>
      <x:c r="C5" s="76" t="n">
        <x:f>C4/B4-1</x:f>
        <x:v>0.26334712086332934</x:v>
      </x:c>
      <x:c r="D5" s="76" t="n">
        <x:f>D4/C4-1</x:f>
        <x:v>-0.006481111972619691</x:v>
      </x:c>
      <x:c r="E5" s="76"/>
      <x:c r="F5" s="76" t="n">
        <x:f>F4/E4-1</x:f>
        <x:v>0.05587983053023482</x:v>
      </x:c>
    </x:row>
    <x:row r="6">
      <x:c r="A6" s="14" t="str">
        <x:v>归母净利润</x:v>
      </x:c>
      <x:c r="B6" s="77" t="n">
        <x:v>1.398952</x:v>
      </x:c>
      <x:c r="C6" s="77" t="n">
        <x:v>2.074273</x:v>
      </x:c>
      <x:c r="D6" s="77" t="n">
        <x:v>2.341562</x:v>
      </x:c>
      <x:c r="E6" s="77" t="n">
        <x:v>1.447651</x:v>
      </x:c>
      <x:c r="F6" s="77" t="n">
        <x:v>1.54301</x:v>
      </x:c>
    </x:row>
    <x:row r="7">
      <x:c r="A7" s="75" t="str">
        <x:v>归母净利润同比</x:v>
      </x:c>
      <x:c r="B7" s="76"/>
      <x:c r="C7" s="76" t="n">
        <x:f>C6/B6-1</x:f>
        <x:v>0.48273350336537635</x:v>
      </x:c>
      <x:c r="D7" s="76" t="n">
        <x:f>D6/C6-1</x:f>
        <x:v>0.12885912317231152</x:v>
      </x:c>
      <x:c r="E7" s="76"/>
      <x:c r="F7" s="76" t="n">
        <x:f>F6/E6-1</x:f>
        <x:v>0.06587153948016478</x:v>
      </x:c>
    </x:row>
    <x:row r="8">
      <x:c r="A8" s="75" t="str">
        <x:v>归母净利率</x:v>
      </x:c>
      <x:c r="B8" s="76" t="n">
        <x:f>B6/B4</x:f>
        <x:v>0.20031252116491097</x:v>
      </x:c>
      <x:c r="C8" s="76" t="n">
        <x:f>C6/C4</x:f>
        <x:v>0.23509776637780497</x:v>
      </x:c>
      <x:c r="D8" s="76" t="n">
        <x:f>D6/D4</x:f>
        <x:v>0.26712351582962957</x:v>
      </x:c>
      <x:c r="E8" s="76" t="n">
        <x:f>E6/E4</x:f>
        <x:v>0.371716780074464</x:v>
      </x:c>
      <x:c r="F8" s="76" t="n">
        <x:f>F6/F4</x:f>
        <x:v>0.3752343071366525</x:v>
      </x:c>
    </x:row>
    <x:row r="9">
      <x:c r="A9" s="14" t="str">
        <x:v>经营现金流</x:v>
      </x:c>
      <x:c r="B9" s="78"/>
      <x:c r="C9" s="78" t="n">
        <x:v>2.525945</x:v>
      </x:c>
      <x:c r="D9" s="78" t="n">
        <x:v>2.923538</x:v>
      </x:c>
      <x:c r="E9" s="78" t="n">
        <x:v>1.3148</x:v>
      </x:c>
      <x:c r="F9" s="78" t="n">
        <x:v>2.4357</x:v>
      </x:c>
    </x:row>
    <x:row r="10">
      <x:c r="A10" s="14" t="str">
        <x:v>资本开支</x:v>
      </x:c>
      <x:c r="B10" s="78"/>
      <x:c r="C10" s="78" t="n">
        <x:v>0.353479</x:v>
      </x:c>
      <x:c r="D10" s="78" t="n">
        <x:v>0.842793</x:v>
      </x:c>
      <x:c r="E10" s="78" t="n">
        <x:v>0.1338</x:v>
      </x:c>
      <x:c r="F10" s="78" t="n">
        <x:v>0.2833</x:v>
      </x:c>
    </x:row>
    <x:row r="11">
      <x:c r="A11" s="75" t="str">
        <x:v>简化自由现金流</x:v>
      </x:c>
      <x:c r="B11" s="79"/>
      <x:c r="C11" s="79" t="n">
        <x:f>C9-C10</x:f>
        <x:v>2.172466</x:v>
      </x:c>
      <x:c r="D11" s="79" t="n">
        <x:f>D9-D10</x:f>
        <x:v>2.0807450000000003</x:v>
      </x:c>
      <x:c r="E11" s="79" t="n">
        <x:f>E9-E10</x:f>
        <x:v>1.181</x:v>
      </x:c>
      <x:c r="F11" s="79" t="n">
        <x:f>F9-F10</x:f>
        <x:v>2.1524</x:v>
      </x:c>
    </x:row>
    <x:row r="12">
      <x:c r="A12" s="75" t="str">
        <x:v>CFO/归母净利润</x:v>
      </x:c>
      <x:c r="B12" s="80"/>
      <x:c r="C12" s="80" t="n">
        <x:f>C9/C6</x:f>
        <x:v>1.2177495440571229</x:v>
      </x:c>
      <x:c r="D12" s="80" t="n">
        <x:f>D9/D6</x:f>
        <x:v>1.2485417853552458</x:v>
      </x:c>
      <x:c r="E12" s="80" t="n">
        <x:f>E9/E6</x:f>
        <x:v>0.9082299532138616</x:v>
      </x:c>
      <x:c r="F12" s="80" t="n">
        <x:f>F9/F6</x:f>
        <x:v>1.5785380522485273</x:v>
      </x:c>
    </x:row>
    <x:row r="13">
      <x:c r="A13" s="75" t="str">
        <x:v>自由现金流率</x:v>
      </x:c>
      <x:c r="B13" s="81"/>
      <x:c r="C13" s="81" t="n">
        <x:f>C11/C4</x:f>
        <x:v>0.24622694511847018</x:v>
      </x:c>
      <x:c r="D13" s="81" t="n">
        <x:f>D11/D4</x:f>
        <x:v>0.23736972155549269</x:v>
      </x:c>
      <x:c r="E13" s="81" t="n">
        <x:f>E11/E4</x:f>
        <x:v>0.30324817049685454</x:v>
      </x:c>
      <x:c r="F13" s="81" t="n">
        <x:f>F11/F4</x:f>
        <x:v>0.5234277954653119</x:v>
      </x:c>
    </x:row>
    <x:row r="14">
      <x:c r="A14" s="14" t="str">
        <x:v>总资产</x:v>
      </x:c>
      <x:c r="B14" s="77" t="n">
        <x:v>27.500129</x:v>
      </x:c>
      <x:c r="C14" s="77" t="n">
        <x:v>29.694646</x:v>
      </x:c>
      <x:c r="D14" s="77" t="n">
        <x:v>33.190595</x:v>
      </x:c>
      <x:c r="E14" s="77"/>
      <x:c r="F14" s="77" t="n">
        <x:v>34.952822</x:v>
      </x:c>
    </x:row>
    <x:row r="15">
      <x:c r="A15" s="14" t="str">
        <x:v>总负债</x:v>
      </x:c>
      <x:c r="B15" s="77" t="n">
        <x:v>6.481535</x:v>
      </x:c>
      <x:c r="C15" s="77" t="n">
        <x:v>6.79766</x:v>
      </x:c>
      <x:c r="D15" s="77" t="n">
        <x:v>8.565368</x:v>
      </x:c>
      <x:c r="E15" s="77"/>
      <x:c r="F15" s="77" t="n">
        <x:v>9.263637</x:v>
      </x:c>
    </x:row>
    <x:row r="16">
      <x:c r="A16" s="14" t="str">
        <x:v>总权益</x:v>
      </x:c>
      <x:c r="B16" s="77" t="n">
        <x:v>21.018594</x:v>
      </x:c>
      <x:c r="C16" s="77" t="n">
        <x:v>22.896986</x:v>
      </x:c>
      <x:c r="D16" s="77" t="n">
        <x:v>24.625228</x:v>
      </x:c>
      <x:c r="E16" s="77"/>
      <x:c r="F16" s="77" t="n">
        <x:v>25.689185</x:v>
      </x:c>
    </x:row>
    <x:row r="17">
      <x:c r="A17" s="82" t="str">
        <x:v>资料口径</x:v>
      </x:c>
      <x:c r="B17" s="82" t="str">
        <x:v>经审计年报</x:v>
      </x:c>
      <x:c r="C17" s="82" t="str">
        <x:v>经审计年报</x:v>
      </x:c>
      <x:c r="D17" s="82" t="str">
        <x:v>经审计年报</x:v>
      </x:c>
      <x:c r="E17" s="82" t="str">
        <x:v>未经审计</x:v>
      </x:c>
      <x:c r="F17" s="82" t="str">
        <x:v>未经审计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28" hidden="0" customWidth="1"/>
  </x:cols>
  <x:sheetData>
    <x:row r="1" ht="30" customHeight="1">
      <x:c r="A1" s="3" t="str">
        <x:v>2026年上半年业务驱动与成本结构</x:v>
      </x:c>
      <x:c r="B1" s="3" t="str">
        <x:v>2026年上半年业务驱动与成本结构</x:v>
      </x:c>
      <x:c r="C1" s="3" t="str">
        <x:v>2026年上半年业务驱动与成本结构</x:v>
      </x:c>
      <x:c r="D1" s="3" t="str">
        <x:v>2026年上半年业务驱动与成本结构</x:v>
      </x:c>
      <x:c r="E1" s="3" t="str">
        <x:v>2026年上半年业务驱动与成本结构</x:v>
      </x:c>
      <x:c r="F1" s="3" t="str">
        <x:v>2026年上半年业务驱动与成本结构</x:v>
      </x:c>
      <x:c r="G1" s="3" t="str">
        <x:v>2026年上半年业务驱动与成本结构</x:v>
      </x:c>
      <x:c r="H1" s="3" t="str">
        <x:v>2026年上半年业务驱动与成本结构</x:v>
      </x:c>
    </x:row>
    <x:row r="3">
      <x:c r="A3" s="19" t="str">
        <x:v>收入分部</x:v>
      </x:c>
      <x:c r="B3" s="20" t="str">
        <x:v>1H26（RMB bn）</x:v>
      </x:c>
      <x:c r="C3" s="20" t="str">
        <x:v>1H25（RMB bn）</x:v>
      </x:c>
      <x:c r="D3" s="20" t="str">
        <x:v>同比</x:v>
      </x:c>
      <x:c r="E3" s="21" t="str">
        <x:v>1H26占比</x:v>
      </x:c>
      <x:c r="F3" s="19" t="str">
        <x:v>运营指标</x:v>
      </x:c>
      <x:c r="G3" s="20" t="str">
        <x:v>1H26</x:v>
      </x:c>
      <x:c r="H3" s="21" t="str">
        <x:v>同比/覆盖</x:v>
      </x:c>
    </x:row>
    <x:row r="4">
      <x:c r="A4" s="11" t="str">
        <x:v>航空信息平台</x:v>
      </x:c>
      <x:c r="B4" s="74" t="n">
        <x:v>2.35218</x:v>
      </x:c>
      <x:c r="C4" s="74" t="n">
        <x:v>2.393266</x:v>
      </x:c>
      <x:c r="D4" s="83" t="n">
        <x:f>B4/C4-1</x:f>
        <x:v>-0.017167335348431734</x:v>
      </x:c>
      <x:c r="E4" s="83" t="n">
        <x:f>B4/SUM($B$4:$B$9)</x:f>
        <x:v>0.5720109607589654</x:v>
      </x:c>
      <x:c r="F4" s="11" t="str">
        <x:v>系统旅客处理量</x:v>
      </x:c>
      <x:c r="G4" s="89" t="n">
        <x:v>371.9</x:v>
      </x:c>
      <x:c r="H4" s="11" t="str">
        <x:v>+0.3%</x:v>
      </x:c>
    </x:row>
    <x:row r="5">
      <x:c r="A5" s="14" t="str">
        <x:v>结算清算</x:v>
      </x:c>
      <x:c r="B5" s="77" t="n">
        <x:v>0.453631</x:v>
      </x:c>
      <x:c r="C5" s="77" t="n">
        <x:v>0.407075</x:v>
      </x:c>
      <x:c r="D5" s="40" t="n">
        <x:f>B5/C5-1</x:f>
        <x:v>0.11436713136399912</x:v>
      </x:c>
      <x:c r="E5" s="40" t="n">
        <x:f>B5/SUM($B$4:$B$9)</x:f>
        <x:v>0.1103154963225817</x:v>
      </x:c>
      <x:c r="F5" s="14" t="str">
        <x:v>结算处理交易</x:v>
      </x:c>
      <x:c r="G5" s="90" t="n">
        <x:v>651.2</x:v>
      </x:c>
      <x:c r="H5" s="14" t="str">
        <x:v>+3.6%</x:v>
      </x:c>
    </x:row>
    <x:row r="6">
      <x:c r="A6" s="14" t="str">
        <x:v>机场数字化</x:v>
      </x:c>
      <x:c r="B6" s="77" t="n">
        <x:v>0.600391</x:v>
      </x:c>
      <x:c r="C6" s="77" t="n">
        <x:v>0.418355</x:v>
      </x:c>
      <x:c r="D6" s="40" t="n">
        <x:f>B6/C6-1</x:f>
        <x:v>0.43512328046754556</x:v>
      </x:c>
      <x:c r="E6" s="40" t="n">
        <x:f>B6/SUM($B$4:$B$9)</x:f>
        <x:v>0.14600508155882458</x:v>
      </x:c>
      <x:c r="F6" s="14" t="str">
        <x:v>结算金额</x:v>
      </x:c>
      <x:c r="G6" s="91" t="n">
        <x:v>36.7</x:v>
      </x:c>
      <x:c r="H6" s="14" t="str">
        <x:v>+3.1%</x:v>
      </x:c>
    </x:row>
    <x:row r="7">
      <x:c r="A7" s="14" t="str">
        <x:v>航旅智能产品</x:v>
      </x:c>
      <x:c r="B7" s="77" t="n">
        <x:v>0.442186</x:v>
      </x:c>
      <x:c r="C7" s="77" t="n">
        <x:v>0.384961</x:v>
      </x:c>
      <x:c r="D7" s="40" t="n">
        <x:f>B7/C7-1</x:f>
        <x:v>0.1486514218323416</x:v>
      </x:c>
      <x:c r="E7" s="40" t="n">
        <x:f>B7/SUM($B$4:$B$9)</x:f>
        <x:v>0.1075322631321429</x:v>
      </x:c>
      <x:c r="F7" s="14" t="str">
        <x:v>国内航空公司客户</x:v>
      </x:c>
      <x:c r="G7" s="14" t="n">
        <x:v>41</x:v>
      </x:c>
      <x:c r="H7" s="14" t="str">
        <x:v>ETD服务</x:v>
      </x:c>
    </x:row>
    <x:row r="8">
      <x:c r="A8" s="14" t="str">
        <x:v>信息网络/数字基建</x:v>
      </x:c>
      <x:c r="B8" s="77" t="n">
        <x:v>0.256528</x:v>
      </x:c>
      <x:c r="C8" s="77" t="n">
        <x:v>0.281577</x:v>
      </x:c>
      <x:c r="D8" s="40" t="n">
        <x:f>B8/C8-1</x:f>
        <x:v>-0.08895968065573556</x:v>
      </x:c>
      <x:c r="E8" s="40" t="n">
        <x:f>B8/SUM($B$4:$B$9)</x:f>
        <x:v>0.06238333279833</x:v>
      </x:c>
      <x:c r="F8" s="14" t="str">
        <x:v>境外/地区航空公司</x:v>
      </x:c>
      <x:c r="G8" s="14" t="n">
        <x:v>400</x:v>
      </x:c>
      <x:c r="H8" s="14" t="str">
        <x:v>超过400家</x:v>
      </x:c>
    </x:row>
    <x:row r="9">
      <x:c r="A9" s="16" t="str">
        <x:v>其他</x:v>
      </x:c>
      <x:c r="B9" s="84" t="n">
        <x:v>0.007208</x:v>
      </x:c>
      <x:c r="C9" s="84" t="n">
        <x:v>0.009266</x:v>
      </x:c>
      <x:c r="D9" s="42" t="n">
        <x:f>B9/C9-1</x:f>
        <x:v>-0.22210230951867038</x:v>
      </x:c>
      <x:c r="E9" s="42" t="n">
        <x:f>B9/SUM($B$4:$B$9)</x:f>
        <x:v>0.0017528654291553462</x:v>
      </x:c>
      <x:c r="F9" s="14" t="str">
        <x:v>千万级机场中台</x:v>
      </x:c>
      <x:c r="G9" s="14" t="n">
        <x:v>19</x:v>
      </x:c>
      <x:c r="H9" s="14" t="str">
        <x:v>已推广</x:v>
      </x:c>
    </x:row>
    <x:row r="10">
      <x:c r="F10" s="14" t="str">
        <x:v>人脸识别智慧出行</x:v>
      </x:c>
      <x:c r="G10" s="14" t="n">
        <x:v>53</x:v>
      </x:c>
      <x:c r="H10" s="14" t="str">
        <x:v>机场</x:v>
      </x:c>
    </x:row>
    <x:row r="11">
      <x:c r="F11" s="14" t="str">
        <x:v>RFID行李跟踪</x:v>
      </x:c>
      <x:c r="G11" s="14" t="n">
        <x:v>119</x:v>
      </x:c>
      <x:c r="H11" s="14" t="str">
        <x:v>机场</x:v>
      </x:c>
    </x:row>
    <x:row r="12">
      <x:c r="A12" s="19" t="str">
        <x:v>成本项目</x:v>
      </x:c>
      <x:c r="B12" s="20" t="str">
        <x:v>1H26（RMB bn）</x:v>
      </x:c>
      <x:c r="C12" s="20" t="str">
        <x:v>1H25（RMB bn）</x:v>
      </x:c>
      <x:c r="D12" s="20" t="str">
        <x:v>同比</x:v>
      </x:c>
      <x:c r="E12" s="21" t="str">
        <x:v>占总运营费用</x:v>
      </x:c>
      <x:c r="F12" s="14" t="str">
        <x:v>中转平台</x:v>
      </x:c>
      <x:c r="G12" s="14" t="n">
        <x:v>161</x:v>
      </x:c>
      <x:c r="H12" s="14" t="str">
        <x:v>机场</x:v>
      </x:c>
    </x:row>
    <x:row r="13">
      <x:c r="A13" s="11" t="str">
        <x:v>人工成本</x:v>
      </x:c>
      <x:c r="B13" s="74" t="n">
        <x:v>1.058188</x:v>
      </x:c>
      <x:c r="C13" s="74" t="n">
        <x:v>0.968206</x:v>
      </x:c>
      <x:c r="D13" s="83" t="n">
        <x:f>B13/C13-1</x:f>
        <x:v>0.09293683369035088</x:v>
      </x:c>
      <x:c r="E13" s="83" t="n">
        <x:f>B13/SUM($B$13:$B$19)</x:f>
        <x:v>0.440273270424551</x:v>
      </x:c>
      <x:c r="F13" s="16" t="str">
        <x:v>境外网络</x:v>
      </x:c>
      <x:c r="G13" s="16" t="n">
        <x:v>33</x:v>
      </x:c>
      <x:c r="H13" s="16" t="str">
        <x:v>国家和地区</x:v>
      </x:c>
    </x:row>
    <x:row r="14">
      <x:c r="A14" s="14" t="str">
        <x:v>折旧摊销</x:v>
      </x:c>
      <x:c r="B14" s="77" t="n">
        <x:v>0.461049</x:v>
      </x:c>
      <x:c r="C14" s="77" t="n">
        <x:v>0.438094</x:v>
      </x:c>
      <x:c r="D14" s="40" t="n">
        <x:f>B14/C14-1</x:f>
        <x:v>0.05239743068839098</x:v>
      </x:c>
      <x:c r="E14" s="40" t="n">
        <x:f>B14/SUM($B$13:$B$19)</x:f>
        <x:v>0.19182560287583003</x:v>
      </x:c>
    </x:row>
    <x:row r="15">
      <x:c r="A15" s="14" t="str">
        <x:v>机场数字化软硬件</x:v>
      </x:c>
      <x:c r="B15" s="77" t="n">
        <x:v>0.103039</x:v>
      </x:c>
      <x:c r="C15" s="77" t="n">
        <x:v>0.200792</x:v>
      </x:c>
      <x:c r="D15" s="40" t="n">
        <x:f>B15/C15-1</x:f>
        <x:v>-0.48683712498505916</x:v>
      </x:c>
      <x:c r="E15" s="40" t="n">
        <x:f>B15/SUM($B$13:$B$19)</x:f>
        <x:v>0.04287075407326044</x:v>
      </x:c>
    </x:row>
    <x:row r="16">
      <x:c r="A16" s="14" t="str">
        <x:v>技术支持维护</x:v>
      </x:c>
      <x:c r="B16" s="77" t="n">
        <x:v>0.262586</x:v>
      </x:c>
      <x:c r="C16" s="77" t="n">
        <x:v>0.285498</x:v>
      </x:c>
      <x:c r="D16" s="40" t="n">
        <x:f>B16/C16-1</x:f>
        <x:v>-0.08025275133275889</x:v>
      </x:c>
      <x:c r="E16" s="40" t="n">
        <x:f>B16/SUM($B$13:$B$19)</x:f>
        <x:v>0.10925241732820742</x:v>
      </x:c>
      <x:c r="F16" s="19" t="str">
        <x:v>利润质量</x:v>
      </x:c>
      <x:c r="G16" s="20" t="str">
        <x:v>1H26</x:v>
      </x:c>
      <x:c r="H16" s="21" t="str">
        <x:v>1H25/说明</x:v>
      </x:c>
    </x:row>
    <x:row r="17">
      <x:c r="A17" s="14" t="str">
        <x:v>佣金推广</x:v>
      </x:c>
      <x:c r="B17" s="77" t="n">
        <x:v>0.281311</x:v>
      </x:c>
      <x:c r="C17" s="77" t="n">
        <x:v>0.307218</x:v>
      </x:c>
      <x:c r="D17" s="40" t="n">
        <x:f>B17/C17-1</x:f>
        <x:v>-0.08432774121307995</x:v>
      </x:c>
      <x:c r="E17" s="40" t="n">
        <x:f>B17/SUM($B$13:$B$19)</x:f>
        <x:v>0.11704320402083644</x:v>
      </x:c>
      <x:c r="F17" s="11" t="str">
        <x:v>毛利率</x:v>
      </x:c>
      <x:c r="G17" s="93" t="n">
        <x:f>('Historical'!F4-1.579305)/'Historical'!F4</x:f>
        <x:v>0.6159393539688979</x:v>
      </x:c>
      <x:c r="H17" s="11" t="str">
        <x:v>1H25 58.75%</x:v>
      </x:c>
    </x:row>
    <x:row r="18">
      <x:c r="A18" s="14" t="str">
        <x:v>互联网使用费</x:v>
      </x:c>
      <x:c r="B18" s="77" t="n">
        <x:v>0.058734</x:v>
      </x:c>
      <x:c r="C18" s="77" t="n">
        <x:v>0.042631</x:v>
      </x:c>
      <x:c r="D18" s="40" t="n">
        <x:f>B18/C18-1</x:f>
        <x:v>0.3777298210222608</x:v>
      </x:c>
      <x:c r="E18" s="40" t="n">
        <x:f>B18/SUM($B$13:$B$19)</x:f>
        <x:v>0.0244370662539318</x:v>
      </x:c>
      <x:c r="F18" s="14" t="str">
        <x:v>营业利润率</x:v>
      </x:c>
      <x:c r="G18" s="94" t="n">
        <x:f>1.739399/'Historical'!F4</x:f>
        <x:v>0.42299283776461993</x:v>
      </x:c>
      <x:c r="H18" s="14" t="str">
        <x:v>1H25 43.39%</x:v>
      </x:c>
    </x:row>
    <x:row r="19">
      <x:c r="A19" s="16" t="str">
        <x:v>其他运营成本</x:v>
      </x:c>
      <x:c r="B19" s="84" t="n">
        <x:v>0.178573</x:v>
      </x:c>
      <x:c r="C19" s="84" t="n">
        <x:v>0.196526</x:v>
      </x:c>
      <x:c r="D19" s="42" t="n">
        <x:f>B19/C19-1</x:f>
        <x:v>-0.09135178042599956</x:v>
      </x:c>
      <x:c r="E19" s="42" t="n">
        <x:f>B19/SUM($B$13:$B$19)</x:f>
        <x:v>0.07429768502338277</x:v>
      </x:c>
      <x:c r="F19" s="14" t="str">
        <x:v>归母净利率</x:v>
      </x:c>
      <x:c r="G19" s="94" t="n">
        <x:f>'Historical'!F8</x:f>
        <x:v>0.3752343071366525</x:v>
      </x:c>
      <x:c r="H19" s="14" t="str">
        <x:v>1H25 37.17%</x:v>
      </x:c>
    </x:row>
    <x:row r="20">
      <x:c r="F20" s="14" t="str">
        <x:v>研发费用</x:v>
      </x:c>
      <x:c r="G20" s="77" t="n">
        <x:v>0.19165</x:v>
      </x:c>
      <x:c r="H20" s="14" t="str">
        <x:v>+15.2%</x:v>
      </x:c>
    </x:row>
    <x:row r="21">
      <x:c r="F21" s="14" t="str">
        <x:v>实际所得税率</x:v>
      </x:c>
      <x:c r="G21" s="94" t="n">
        <x:f>0.178633/1.739318</x:f>
        <x:v>0.1027028984923976</x:v>
      </x:c>
      <x:c r="H21" s="14" t="str">
        <x:v>1H25 13.66%</x:v>
      </x:c>
    </x:row>
    <x:row r="22">
      <x:c r="F22" s="14" t="str">
        <x:v>信用减值净转回</x:v>
      </x:c>
      <x:c r="G22" s="77" t="n">
        <x:v>0.015995</x:v>
      </x:c>
      <x:c r="H22" s="14" t="str">
        <x:v>1H25 0.176545bn</x:v>
      </x:c>
    </x:row>
    <x:row r="23">
      <x:c r="F23" s="14" t="str">
        <x:v>合同负债</x:v>
      </x:c>
      <x:c r="G23" s="77" t="n">
        <x:v>1.251585</x:v>
      </x:c>
      <x:c r="H23" s="14" t="str">
        <x:v>较年末+19.2%</x:v>
      </x:c>
    </x:row>
    <x:row r="24">
      <x:c r="F24" s="14" t="str">
        <x:v>员工人数</x:v>
      </x:c>
      <x:c r="G24" s="14" t="n">
        <x:v>6822</x:v>
      </x:c>
      <x:c r="H24" s="14" t="str">
        <x:v>2025年末6,901</x:v>
      </x:c>
    </x:row>
    <x:row r="25">
      <x:c r="F25" s="16" t="str">
        <x:v>资本开支承诺</x:v>
      </x:c>
      <x:c r="G25" s="84" t="n">
        <x:v>1.7331</x:v>
      </x:c>
      <x:c r="H25" s="16" t="str">
        <x:v>截至2026-06-30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9accd13e35ee4ef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28" hidden="0" customWidth="1"/>
    <x:col min="7" max="7" width="32" hidden="0" customWidth="1"/>
  </x:cols>
  <x:sheetData>
    <x:row r="1" ht="30" customHeight="1">
      <x:c r="A1" s="3" t="str">
        <x:v>资产负债表、现金流与风险桥</x:v>
      </x:c>
      <x:c r="B1" s="3" t="str">
        <x:v>资产负债表、现金流与风险桥</x:v>
      </x:c>
      <x:c r="C1" s="3" t="str">
        <x:v>资产负债表、现金流与风险桥</x:v>
      </x:c>
      <x:c r="D1" s="3" t="str">
        <x:v>资产负债表、现金流与风险桥</x:v>
      </x:c>
      <x:c r="E1" s="3" t="str">
        <x:v>资产负债表、现金流与风险桥</x:v>
      </x:c>
      <x:c r="F1" s="3" t="str">
        <x:v>资产负债表、现金流与风险桥</x:v>
      </x:c>
      <x:c r="G1" s="3" t="str">
        <x:v>资产负债表、现金流与风险桥</x:v>
      </x:c>
    </x:row>
    <x:row r="3">
      <x:c r="A3" s="19" t="str">
        <x:v>资产负债项目（RMB bn）</x:v>
      </x:c>
      <x:c r="B3" s="20" t="str">
        <x:v>2025-12-31</x:v>
      </x:c>
      <x:c r="C3" s="20" t="str">
        <x:v>2026-06-30</x:v>
      </x:c>
      <x:c r="D3" s="21" t="str">
        <x:v>变化</x:v>
      </x:c>
      <x:c r="F3" s="19" t="str">
        <x:v>现金流（RMB bn）</x:v>
      </x:c>
      <x:c r="G3" s="21" t="str">
        <x:v>1H26</x:v>
      </x:c>
    </x:row>
    <x:row r="4">
      <x:c r="A4" s="11" t="str">
        <x:v>现金及银行存款</x:v>
      </x:c>
      <x:c r="B4" s="95" t="n">
        <x:v>10.059017</x:v>
      </x:c>
      <x:c r="C4" s="95" t="n">
        <x:v>8.860035</x:v>
      </x:c>
      <x:c r="D4" s="83" t="n">
        <x:f>C4/B4-1</x:f>
        <x:v>-0.11919474835364141</x:v>
      </x:c>
      <x:c r="F4" s="11" t="str">
        <x:v>经营现金流</x:v>
      </x:c>
      <x:c r="G4" s="74" t="n">
        <x:f>'Historical'!F9</x:f>
        <x:v>2.4357</x:v>
      </x:c>
    </x:row>
    <x:row r="5">
      <x:c r="A5" s="14" t="str">
        <x:v>交易性金融资产</x:v>
      </x:c>
      <x:c r="B5" s="78" t="n">
        <x:v>3.414508</x:v>
      </x:c>
      <x:c r="C5" s="78" t="n">
        <x:v>6.019541</x:v>
      </x:c>
      <x:c r="D5" s="40" t="n">
        <x:f>C5/B5-1</x:f>
        <x:v>0.762930706268663</x:v>
      </x:c>
      <x:c r="F5" s="14" t="str">
        <x:v>资本开支</x:v>
      </x:c>
      <x:c r="G5" s="77" t="n">
        <x:f>'Historical'!F10</x:f>
        <x:v>0.2833</x:v>
      </x:c>
    </x:row>
    <x:row r="6">
      <x:c r="A6" s="14" t="str">
        <x:v>应收账款净额</x:v>
      </x:c>
      <x:c r="B6" s="78" t="n">
        <x:v>5.106913</x:v>
      </x:c>
      <x:c r="C6" s="78" t="n">
        <x:v>4.479655</x:v>
      </x:c>
      <x:c r="D6" s="40" t="n">
        <x:f>C6/B6-1</x:f>
        <x:v>-0.12282527624809736</x:v>
      </x:c>
      <x:c r="F6" s="14" t="str">
        <x:v>简化自由现金流</x:v>
      </x:c>
      <x:c r="G6" s="77" t="n">
        <x:f>G4-G5</x:f>
        <x:v>2.1524</x:v>
      </x:c>
    </x:row>
    <x:row r="7">
      <x:c r="A7" s="14" t="str">
        <x:v>应收账款总额</x:v>
      </x:c>
      <x:c r="B7" s="78" t="n">
        <x:v>6.179475</x:v>
      </x:c>
      <x:c r="C7" s="78" t="n">
        <x:v>5.533024</x:v>
      </x:c>
      <x:c r="D7" s="40" t="n">
        <x:f>C7/B7-1</x:f>
        <x:v>-0.1046126086763034</x:v>
      </x:c>
      <x:c r="F7" s="14" t="str">
        <x:v>CFO/归母净利润</x:v>
      </x:c>
      <x:c r="G7" s="39" t="n">
        <x:f>G4/'Historical'!F6</x:f>
        <x:v>1.5785380522485273</x:v>
      </x:c>
    </x:row>
    <x:row r="8">
      <x:c r="A8" s="14" t="str">
        <x:v>坏账准备</x:v>
      </x:c>
      <x:c r="B8" s="78" t="n">
        <x:v>1.072562</x:v>
      </x:c>
      <x:c r="C8" s="78" t="n">
        <x:v>1.053369</x:v>
      </x:c>
      <x:c r="D8" s="40" t="n">
        <x:f>C8/B8-1</x:f>
        <x:v>-0.017894536632847347</x:v>
      </x:c>
      <x:c r="F8" s="14" t="str">
        <x:v>自由现金流率</x:v>
      </x:c>
      <x:c r="G8" s="94" t="n">
        <x:f>G6/'Historical'!F4</x:f>
        <x:v>0.5234277954653119</x:v>
      </x:c>
    </x:row>
    <x:row r="9">
      <x:c r="A9" s="14" t="str">
        <x:v>合同负债</x:v>
      </x:c>
      <x:c r="B9" s="78" t="n">
        <x:v>1.050431</x:v>
      </x:c>
      <x:c r="C9" s="78" t="n">
        <x:v>1.251585</x:v>
      </x:c>
      <x:c r="D9" s="40" t="n">
        <x:f>C9/B9-1</x:f>
        <x:v>0.19149663328671762</x:v>
      </x:c>
      <x:c r="F9" s="14" t="str">
        <x:v>应收账款较年末减少</x:v>
      </x:c>
      <x:c r="G9" s="77" t="n">
        <x:v>0.627258</x:v>
      </x:c>
    </x:row>
    <x:row r="10">
      <x:c r="A10" s="14" t="str">
        <x:v>流动资产</x:v>
      </x:c>
      <x:c r="B10" s="78" t="n">
        <x:v>23.888062</x:v>
      </x:c>
      <x:c r="C10" s="78" t="n">
        <x:v>25.464109</x:v>
      </x:c>
      <x:c r="D10" s="40" t="n">
        <x:f>C10/B10-1</x:f>
        <x:v>0.06597634416722453</x:v>
      </x:c>
      <x:c r="F10" s="14" t="str">
        <x:v>其他应付款较年末增加</x:v>
      </x:c>
      <x:c r="G10" s="77" t="n">
        <x:v>1.436196</x:v>
      </x:c>
    </x:row>
    <x:row r="11">
      <x:c r="A11" s="14" t="str">
        <x:v>总资产</x:v>
      </x:c>
      <x:c r="B11" s="78" t="n">
        <x:v>33.190595</x:v>
      </x:c>
      <x:c r="C11" s="78" t="n">
        <x:v>34.952822</x:v>
      </x:c>
      <x:c r="D11" s="40" t="n">
        <x:f>C11/B11-1</x:f>
        <x:v>0.053094167188024066</x:v>
      </x:c>
      <x:c r="F11" s="14" t="str">
        <x:v>资本开支承诺</x:v>
      </x:c>
      <x:c r="G11" s="77" t="n">
        <x:v>1.7331</x:v>
      </x:c>
    </x:row>
    <x:row r="12">
      <x:c r="A12" s="14" t="str">
        <x:v>短期借款</x:v>
      </x:c>
      <x:c r="B12" s="78" t="n">
        <x:v>1.288402</x:v>
      </x:c>
      <x:c r="C12" s="78" t="n">
        <x:v>0.512757</x:v>
      </x:c>
      <x:c r="D12" s="40" t="n">
        <x:f>C12/B12-1</x:f>
        <x:v>-0.6020209530876233</x:v>
      </x:c>
      <x:c r="F12" s="16" t="str">
        <x:v>现金流质量判断</x:v>
      </x:c>
      <x:c r="G12" s="100" t="str">
        <x:v>强，但明显受营运资金时点支持</x:v>
      </x:c>
    </x:row>
    <x:row r="13">
      <x:c r="A13" s="14" t="str">
        <x:v>长期借款</x:v>
      </x:c>
      <x:c r="B13" s="78" t="n">
        <x:v>0.4712</x:v>
      </x:c>
      <x:c r="C13" s="78" t="n">
        <x:v>0.482977</x:v>
      </x:c>
      <x:c r="D13" s="40" t="n">
        <x:f>C13/B13-1</x:f>
        <x:v>0.0249936332767402</x:v>
      </x:c>
    </x:row>
    <x:row r="14">
      <x:c r="A14" s="14" t="str">
        <x:v>总负债</x:v>
      </x:c>
      <x:c r="B14" s="78" t="n">
        <x:v>8.565368</x:v>
      </x:c>
      <x:c r="C14" s="78" t="n">
        <x:v>9.263637</x:v>
      </x:c>
      <x:c r="D14" s="40" t="n">
        <x:f>C14/B14-1</x:f>
        <x:v>0.08152235840888555</x:v>
      </x:c>
    </x:row>
    <x:row r="15">
      <x:c r="A15" s="14" t="str">
        <x:v>归母权益</x:v>
      </x:c>
      <x:c r="B15" s="78" t="n">
        <x:v>23.983764</x:v>
      </x:c>
      <x:c r="C15" s="78" t="n">
        <x:v>25.030046</x:v>
      </x:c>
      <x:c r="D15" s="40" t="n">
        <x:f>C15/B15-1</x:f>
        <x:v>0.04362459537210239</x:v>
      </x:c>
      <x:c r="F15" s="19" t="str">
        <x:v>应收账款拆分（1H26）</x:v>
      </x:c>
      <x:c r="G15" s="21" t="str">
        <x:v>RMB bn/比例</x:v>
      </x:c>
    </x:row>
    <x:row r="16">
      <x:c r="A16" s="14" t="str">
        <x:v>受限存款</x:v>
      </x:c>
      <x:c r="B16" s="78" t="n">
        <x:v>1.5696</x:v>
      </x:c>
      <x:c r="C16" s="78" t="n">
        <x:v>2.0102</x:v>
      </x:c>
      <x:c r="D16" s="40" t="n">
        <x:f>C16/B16-1</x:f>
        <x:v>0.2807084607543324</x:v>
      </x:c>
      <x:c r="F16" s="11" t="str">
        <x:v>单项计提余额</x:v>
      </x:c>
      <x:c r="G16" s="74" t="n">
        <x:v>0.868209</x:v>
      </x:c>
    </x:row>
    <x:row r="17">
      <x:c r="A17" s="14" t="str">
        <x:v>客户备付金</x:v>
      </x:c>
      <x:c r="B17" s="78" t="n">
        <x:v>1.5285</x:v>
      </x:c>
      <x:c r="C17" s="78" t="n">
        <x:v>1.9799</x:v>
      </x:c>
      <x:c r="D17" s="40" t="n">
        <x:f>C17/B17-1</x:f>
        <x:v>0.29532221131828584</x:v>
      </x:c>
      <x:c r="F17" s="14" t="str">
        <x:v>单项计提比例</x:v>
      </x:c>
      <x:c r="G17" s="94" t="n">
        <x:v>0.6322</x:v>
      </x:c>
    </x:row>
    <x:row r="18">
      <x:c r="A18" s="75" t="str">
        <x:v>保守净流动资产</x:v>
      </x:c>
      <x:c r="B18" s="79" t="n">
        <x:f>B4+B5-B12-B13</x:f>
        <x:v>11.713923000000001</x:v>
      </x:c>
      <x:c r="C18" s="79" t="n">
        <x:f>C4+C5-C12-C13</x:f>
        <x:v>13.883842</x:v>
      </x:c>
      <x:c r="D18" s="76" t="n">
        <x:f>C18/B18-1</x:f>
        <x:v>0.18524272355213522</x:v>
      </x:c>
      <x:c r="F18" s="14" t="str">
        <x:v>第三方组合余额</x:v>
      </x:c>
      <x:c r="G18" s="77" t="n">
        <x:v>1.99365</x:v>
      </x:c>
    </x:row>
    <x:row r="19">
      <x:c r="A19" s="96" t="str">
        <x:v>应收坏账覆盖率</x:v>
      </x:c>
      <x:c r="B19" s="97" t="n">
        <x:f>B8/B7</x:f>
        <x:v>0.1735684665768532</x:v>
      </x:c>
      <x:c r="C19" s="97" t="n">
        <x:f>C8/C7</x:f>
        <x:v>0.19037853441445401</x:v>
      </x:c>
      <x:c r="D19" s="97" t="n">
        <x:f>C19-B19</x:f>
        <x:v>0.016810067837600806</x:v>
      </x:c>
      <x:c r="F19" s="14" t="str">
        <x:v>第三方计提比例</x:v>
      </x:c>
      <x:c r="G19" s="94" t="n">
        <x:v>0.253</x:v>
      </x:c>
    </x:row>
    <x:row r="20">
      <x:c r="F20" s="14" t="str">
        <x:v>关联方组合余额</x:v>
      </x:c>
      <x:c r="G20" s="77" t="n">
        <x:v>2.671165</x:v>
      </x:c>
    </x:row>
    <x:row r="21">
      <x:c r="F21" s="16" t="str">
        <x:v>关联方计提比例</x:v>
      </x:c>
      <x:c r="G21" s="101" t="n">
        <x:v>0</x:v>
      </x:c>
    </x:row>
  </x:sheetData>
  <x:mergeCells>
    <x:mergeCell ref="A1:G1"/>
  </x:mergeCells>
  <x:pageMargins left="0.7" right="0.7" top="0.75" bottom="0.75" header="0.3" footer="0.3"/>
  <x:legacyDrawing xmlns:r="http://schemas.openxmlformats.org/officeDocument/2006/relationships" r:id="R3805ca656caa466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32" hidden="0" customWidth="1"/>
  </x:cols>
  <x:sheetData>
    <x:row r="1" ht="30" customHeight="1">
      <x:c r="A1" s="3" t="str">
        <x:v>市场输入与估值假设</x:v>
      </x:c>
      <x:c r="B1" s="3" t="str">
        <x:v>市场输入与估值假设</x:v>
      </x:c>
      <x:c r="C1" s="3" t="str">
        <x:v>市场输入与估值假设</x:v>
      </x:c>
      <x:c r="D1" s="3" t="str">
        <x:v>市场输入与估值假设</x:v>
      </x:c>
      <x:c r="E1" s="3" t="str">
        <x:v>市场输入与估值假设</x:v>
      </x:c>
      <x:c r="F1" s="3" t="str">
        <x:v>市场输入与估值假设</x:v>
      </x:c>
    </x:row>
    <x:row r="3">
      <x:c r="A3" s="19" t="str">
        <x:v>市场/财务输入</x:v>
      </x:c>
      <x:c r="B3" s="21" t="str">
        <x:v>数值</x:v>
      </x:c>
    </x:row>
    <x:row r="4">
      <x:c r="A4" s="11" t="str">
        <x:v>港股价格（HKD/股）</x:v>
      </x:c>
      <x:c r="B4" s="37" t="n">
        <x:v>8.935</x:v>
      </x:c>
    </x:row>
    <x:row r="5">
      <x:c r="A5" s="14" t="str">
        <x:v>总已发行股份（bn）</x:v>
      </x:c>
      <x:c r="B5" s="112" t="n">
        <x:v>2.926209589</x:v>
      </x:c>
    </x:row>
    <x:row r="6">
      <x:c r="A6" s="14" t="str">
        <x:v>HKD兑RMB</x:v>
      </x:c>
      <x:c r="B6" s="113" t="n">
        <x:v>0.86587</x:v>
      </x:c>
    </x:row>
    <x:row r="7">
      <x:c r="A7" s="14" t="str">
        <x:v>港币总市值（HKD bn）</x:v>
      </x:c>
      <x:c r="B7" s="114" t="n">
        <x:f>B4*B5</x:f>
        <x:v>26.145682677715</x:v>
      </x:c>
    </x:row>
    <x:row r="8">
      <x:c r="A8" s="14" t="str">
        <x:v>人民币总市值（RMB bn）</x:v>
      </x:c>
      <x:c r="B8" s="91" t="n">
        <x:f>B7*B6</x:f>
        <x:v>22.63876226015309</x:v>
      </x:c>
    </x:row>
    <x:row r="9">
      <x:c r="A9" s="14" t="str">
        <x:v>滚动归母利润（RMB bn）</x:v>
      </x:c>
      <x:c r="B9" s="91" t="n">
        <x:f>'Historical'!D6-'Historical'!E6+'Historical'!F6</x:f>
        <x:v>2.436921</x:v>
      </x:c>
    </x:row>
    <x:row r="10">
      <x:c r="A10" s="14" t="str">
        <x:v>滚动P/E</x:v>
      </x:c>
      <x:c r="B10" s="39" t="n">
        <x:f>B8/B9</x:f>
        <x:v>9.289904047013872</x:v>
      </x:c>
    </x:row>
    <x:row r="11">
      <x:c r="A11" s="14" t="str">
        <x:v>1H26归母权益（RMB bn）</x:v>
      </x:c>
      <x:c r="B11" s="91" t="n">
        <x:f>'Balance &amp; Cash Flow'!C15</x:f>
        <x:v>25.030046</x:v>
      </x:c>
    </x:row>
    <x:row r="12">
      <x:c r="A12" s="14" t="str">
        <x:v>当前P/B</x:v>
      </x:c>
      <x:c r="B12" s="39" t="n">
        <x:f>B8/B11</x:f>
        <x:v>0.9044634700293036</x:v>
      </x:c>
    </x:row>
    <x:row r="13">
      <x:c r="A13" s="14" t="str">
        <x:v>现金+交易性金融资产</x:v>
      </x:c>
      <x:c r="B13" s="91" t="n">
        <x:f>'Balance &amp; Cash Flow'!C4+'Balance &amp; Cash Flow'!C5</x:f>
        <x:v>14.879576</x:v>
      </x:c>
    </x:row>
    <x:row r="14">
      <x:c r="A14" s="14" t="str">
        <x:v>总借款</x:v>
      </x:c>
      <x:c r="B14" s="91" t="n">
        <x:f>'Balance &amp; Cash Flow'!C12+'Balance &amp; Cash Flow'!C13</x:f>
        <x:v>0.995734</x:v>
      </x:c>
    </x:row>
    <x:row r="15">
      <x:c r="A15" s="14" t="str">
        <x:v>保守净流动资产</x:v>
      </x:c>
      <x:c r="B15" s="91" t="n">
        <x:f>B13-B14</x:f>
        <x:v>13.883842</x:v>
      </x:c>
    </x:row>
    <x:row r="16">
      <x:c r="A16" s="14" t="str">
        <x:v>保守净流动资产/市值</x:v>
      </x:c>
      <x:c r="B16" s="94" t="n">
        <x:f>B15/B8</x:f>
        <x:v>0.6132774327701302</x:v>
      </x:c>
    </x:row>
    <x:row r="17">
      <x:c r="A17" s="14" t="str">
        <x:v>2025每股股息（HKD）</x:v>
      </x:c>
      <x:c r="B17" s="115" t="n">
        <x:v>0.31734</x:v>
      </x:c>
    </x:row>
    <x:row r="18">
      <x:c r="A18" s="14" t="str">
        <x:v>静态股息率</x:v>
      </x:c>
      <x:c r="B18" s="94" t="n">
        <x:f>B17/B4</x:f>
        <x:v>0.0355165081141578</x:v>
      </x:c>
    </x:row>
    <x:row r="19">
      <x:c r="A19" s="14" t="str">
        <x:v>P/E法权重</x:v>
      </x:c>
      <x:c r="B19" s="94" t="n">
        <x:v>0.7</x:v>
      </x:c>
    </x:row>
    <x:row r="20">
      <x:c r="A20" s="16" t="str">
        <x:v>P/B法权重</x:v>
      </x:c>
      <x:c r="B20" s="101" t="n">
        <x:v>0.3</x:v>
      </x:c>
    </x:row>
    <x:row r="23">
      <x:c r="A23" s="19" t="str">
        <x:v>情景驱动</x:v>
      </x:c>
      <x:c r="B23" s="20" t="str">
        <x:v>Bear</x:v>
      </x:c>
      <x:c r="C23" s="20" t="str">
        <x:v>Base</x:v>
      </x:c>
      <x:c r="D23" s="20" t="str">
        <x:v>Bull</x:v>
      </x:c>
      <x:c r="E23" s="20" t="str">
        <x:v>单位</x:v>
      </x:c>
      <x:c r="F23" s="21" t="str">
        <x:v>逻辑</x:v>
      </x:c>
    </x:row>
    <x:row r="24">
      <x:c r="A24" s="11" t="str">
        <x:v>正常化归母利润</x:v>
      </x:c>
      <x:c r="B24" s="74" t="n">
        <x:v>2.1</x:v>
      </x:c>
      <x:c r="C24" s="74" t="n">
        <x:v>2.5</x:v>
      </x:c>
      <x:c r="D24" s="74" t="n">
        <x:v>2.9</x:v>
      </x:c>
      <x:c r="E24" s="11" t="str">
        <x:v>RMB bn</x:v>
      </x:c>
      <x:c r="F24" s="11" t="str">
        <x:v>低于滚动利润</x:v>
      </x:c>
    </x:row>
    <x:row r="25">
      <x:c r="A25" s="14" t="str">
        <x:v>P/E</x:v>
      </x:c>
      <x:c r="B25" s="39" t="n">
        <x:v>8</x:v>
      </x:c>
      <x:c r="C25" s="39" t="n">
        <x:v>10</x:v>
      </x:c>
      <x:c r="D25" s="39" t="n">
        <x:v>12</x:v>
      </x:c>
      <x:c r="E25" s="14" t="str">
        <x:v>x</x:v>
      </x:c>
      <x:c r="F25" s="14" t="str">
        <x:v>现金多但资本配置折价</x:v>
      </x:c>
    </x:row>
    <x:row r="26">
      <x:c r="A26" s="14" t="str">
        <x:v>P/B</x:v>
      </x:c>
      <x:c r="B26" s="39" t="n">
        <x:v>0.7</x:v>
      </x:c>
      <x:c r="C26" s="39" t="n">
        <x:v>1</x:v>
      </x:c>
      <x:c r="D26" s="39" t="n">
        <x:v>1.2</x:v>
      </x:c>
      <x:c r="E26" s="14" t="str">
        <x:v>x</x:v>
      </x:c>
      <x:c r="F26" s="14" t="str">
        <x:v>以中期归母权益计</x:v>
      </x:c>
    </x:row>
    <x:row r="27">
      <x:c r="A27" s="16" t="str">
        <x:v>经营逻辑</x:v>
      </x:c>
      <x:c r="B27" s="100" t="str">
        <x:v>平台量价承压、项目回落</x:v>
      </x:c>
      <x:c r="C27" s="100" t="str">
        <x:v>平台企稳、项目正常化</x:v>
      </x:c>
      <x:c r="D27" s="100" t="str">
        <x:v>平台恢复、产品扩张</x:v>
      </x:c>
      <x:c r="E27" s="100"/>
      <x:c r="F27" s="100" t="str">
        <x:v>分析假设，不是一致预期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e2735c1ea1ac4d9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0" customHeight="1">
      <x:c r="A1" s="3" t="str">
        <x:v>正常化P/E + P/B交叉估值</x:v>
      </x:c>
      <x:c r="B1" s="3" t="str">
        <x:v>正常化P/E + P/B交叉估值</x:v>
      </x:c>
      <x:c r="C1" s="3" t="str">
        <x:v>正常化P/E + P/B交叉估值</x:v>
      </x:c>
      <x:c r="D1" s="3" t="str">
        <x:v>正常化P/E + P/B交叉估值</x:v>
      </x:c>
      <x:c r="E1" s="3" t="str">
        <x:v>正常化P/E + P/B交叉估值</x:v>
      </x:c>
      <x:c r="F1" s="3" t="str">
        <x:v>正常化P/E + P/B交叉估值</x:v>
      </x:c>
      <x:c r="G1" s="3" t="str">
        <x:v>正常化P/E + P/B交叉估值</x:v>
      </x:c>
      <x:c r="H1" s="3" t="str">
        <x:v>正常化P/E + P/B交叉估值</x:v>
      </x:c>
      <x:c r="I1" s="3" t="str">
        <x:v>正常化P/E + P/B交叉估值</x:v>
      </x:c>
    </x:row>
    <x:row r="3">
      <x:c r="A3" s="19" t="str">
        <x:v>情景</x:v>
      </x:c>
      <x:c r="B3" s="20" t="str">
        <x:v>正常化利润</x:v>
      </x:c>
      <x:c r="C3" s="20" t="str">
        <x:v>P/E</x:v>
      </x:c>
      <x:c r="D3" s="20" t="str">
        <x:v>P/E价值/股</x:v>
      </x:c>
      <x:c r="E3" s="20" t="str">
        <x:v>P/B</x:v>
      </x:c>
      <x:c r="F3" s="20" t="str">
        <x:v>P/B价值/股</x:v>
      </x:c>
      <x:c r="G3" s="20" t="str">
        <x:v>P/E权重</x:v>
      </x:c>
      <x:c r="H3" s="20" t="str">
        <x:v>综合价值/股</x:v>
      </x:c>
      <x:c r="I3" s="21" t="str">
        <x:v>相对当前价格</x:v>
      </x:c>
    </x:row>
    <x:row r="5">
      <x:c r="A5" s="11" t="str">
        <x:v>Bear</x:v>
      </x:c>
      <x:c r="B5" s="74" t="n">
        <x:f>'Assumptions'!B24</x:f>
        <x:v>2.1</x:v>
      </x:c>
      <x:c r="C5" s="136" t="n">
        <x:f>'Assumptions'!B25</x:f>
        <x:v>8</x:v>
      </x:c>
      <x:c r="D5" s="137" t="n">
        <x:f>B5*C5/'Assumptions'!$B$5/'Assumptions'!$B$6</x:f>
        <x:v>6.630574510878094</x:v>
      </x:c>
      <x:c r="E5" s="136" t="n">
        <x:f>'Assumptions'!B26</x:f>
        <x:v>0.7</x:v>
      </x:c>
      <x:c r="F5" s="137" t="n">
        <x:f>'Assumptions'!$B$11*E5/'Assumptions'!$B$5/'Assumptions'!$B$6</x:f>
        <x:v>6.915149375571089</x:v>
      </x:c>
      <x:c r="G5" s="138" t="n">
        <x:f>'Assumptions'!$B$19</x:f>
        <x:v>0.7</x:v>
      </x:c>
      <x:c r="H5" s="139" t="n">
        <x:f>D5*G5+F5*(1-G5)</x:f>
        <x:v>6.715946970285993</x:v>
      </x:c>
      <x:c r="I5" s="83" t="n">
        <x:f>H5/'Assumptions'!$B$4-1</x:f>
        <x:v>-0.24835512363894885</x:v>
      </x:c>
    </x:row>
    <x:row r="6">
      <x:c r="A6" s="140" t="str">
        <x:v>Base</x:v>
      </x:c>
      <x:c r="B6" s="141" t="n">
        <x:f>'Assumptions'!C24</x:f>
        <x:v>2.5</x:v>
      </x:c>
      <x:c r="C6" s="142" t="n">
        <x:f>'Assumptions'!C25</x:f>
        <x:v>10</x:v>
      </x:c>
      <x:c r="D6" s="143" t="n">
        <x:f>B6*C6/'Assumptions'!$B$5/'Assumptions'!$B$6</x:f>
        <x:v>9.866926355473353</x:v>
      </x:c>
      <x:c r="E6" s="142" t="n">
        <x:f>'Assumptions'!C26</x:f>
        <x:v>1</x:v>
      </x:c>
      <x:c r="F6" s="143" t="n">
        <x:f>'Assumptions'!$B$11*E6/'Assumptions'!$B$5/'Assumptions'!$B$6</x:f>
        <x:v>9.878784822244414</x:v>
      </x:c>
      <x:c r="G6" s="144" t="n">
        <x:f>'Assumptions'!$B$19</x:f>
        <x:v>0.7</x:v>
      </x:c>
      <x:c r="H6" s="145" t="n">
        <x:f>D6*G6+F6*(1-G6)</x:f>
        <x:v>9.870483895504671</x:v>
      </x:c>
      <x:c r="I6" s="146" t="n">
        <x:f>H6/'Assumptions'!$B$4-1</x:f>
        <x:v>0.10469881315105445</x:v>
      </x:c>
    </x:row>
    <x:row r="7">
      <x:c r="A7" s="16" t="str">
        <x:v>Bull</x:v>
      </x:c>
      <x:c r="B7" s="84" t="n">
        <x:f>'Assumptions'!D24</x:f>
        <x:v>2.9</x:v>
      </x:c>
      <x:c r="C7" s="147" t="n">
        <x:f>'Assumptions'!D25</x:f>
        <x:v>12</x:v>
      </x:c>
      <x:c r="D7" s="148" t="n">
        <x:f>B7*C7/'Assumptions'!$B$5/'Assumptions'!$B$6</x:f>
        <x:v>13.734761486818908</x:v>
      </x:c>
      <x:c r="E7" s="147" t="n">
        <x:f>'Assumptions'!D26</x:f>
        <x:v>1.2</x:v>
      </x:c>
      <x:c r="F7" s="148" t="n">
        <x:f>'Assumptions'!$B$11*E7/'Assumptions'!$B$5/'Assumptions'!$B$6</x:f>
        <x:v>11.854541786693298</x:v>
      </x:c>
      <x:c r="G7" s="149" t="n">
        <x:f>'Assumptions'!$B$19</x:f>
        <x:v>0.7</x:v>
      </x:c>
      <x:c r="H7" s="150" t="n">
        <x:f>D7*G7+F7*(1-G7)</x:f>
        <x:v>13.170695576781224</x:v>
      </x:c>
      <x:c r="I7" s="42" t="n">
        <x:f>H7/'Assumptions'!$B$4-1</x:f>
        <x:v>0.4740565838591184</x:v>
      </x:c>
    </x:row>
    <x:row r="11">
      <x:c r="A11" s="19" t="str">
        <x:v>P/E敏感性：正常化利润与倍数（HKD/股）</x:v>
      </x:c>
      <x:c r="B11" s="20" t="str">
        <x:v>P/E敏感性：正常化利润与倍数（HKD/股）</x:v>
      </x:c>
      <x:c r="C11" s="20" t="str">
        <x:v>P/E敏感性：正常化利润与倍数（HKD/股）</x:v>
      </x:c>
      <x:c r="D11" s="20" t="str">
        <x:v>P/E敏感性：正常化利润与倍数（HKD/股）</x:v>
      </x:c>
      <x:c r="E11" s="20" t="str">
        <x:v>P/E敏感性：正常化利润与倍数（HKD/股）</x:v>
      </x:c>
      <x:c r="F11" s="20" t="str">
        <x:v>P/E敏感性：正常化利润与倍数（HKD/股）</x:v>
      </x:c>
      <x:c r="G11" s="21" t="str">
        <x:v>P/E敏感性：正常化利润与倍数（HKD/股）</x:v>
      </x:c>
    </x:row>
    <x:row r="12">
      <x:c r="A12" s="48" t="str">
        <x:v>利润 \ P/E</x:v>
      </x:c>
      <x:c r="B12" s="49" t="n">
        <x:v>8</x:v>
      </x:c>
      <x:c r="C12" s="49" t="n">
        <x:v>9</x:v>
      </x:c>
      <x:c r="D12" s="49" t="n">
        <x:v>10</x:v>
      </x:c>
      <x:c r="E12" s="49" t="n">
        <x:v>11</x:v>
      </x:c>
      <x:c r="F12" s="49" t="n">
        <x:v>12</x:v>
      </x:c>
      <x:c r="G12" s="50" t="str">
        <x:v>说明</x:v>
      </x:c>
    </x:row>
    <x:row r="13">
      <x:c r="A13" s="153" t="n">
        <x:v>2.1</x:v>
      </x:c>
      <x:c r="B13" s="137" t="n">
        <x:f>$A13*B$12/'Assumptions'!$B$5/'Assumptions'!$B$6</x:f>
        <x:v>6.630574510878094</x:v>
      </x:c>
      <x:c r="C13" s="137" t="n">
        <x:f>$A13*C$12/'Assumptions'!$B$5/'Assumptions'!$B$6</x:f>
        <x:v>7.459396324737855</x:v>
      </x:c>
      <x:c r="D13" s="137" t="n">
        <x:f>$A13*D$12/'Assumptions'!$B$5/'Assumptions'!$B$6</x:f>
        <x:v>8.288218138597617</x:v>
      </x:c>
      <x:c r="E13" s="137" t="n">
        <x:f>$A13*E$12/'Assumptions'!$B$5/'Assumptions'!$B$6</x:f>
        <x:v>9.117039952457379</x:v>
      </x:c>
      <x:c r="F13" s="137" t="n">
        <x:f>$A13*F$12/'Assumptions'!$B$5/'Assumptions'!$B$6</x:f>
        <x:v>9.94586176631714</x:v>
      </x:c>
      <x:c r="G13" s="11" t="str">
        <x:v>Bear利润</x:v>
      </x:c>
    </x:row>
    <x:row r="14">
      <x:c r="A14" s="154" t="n">
        <x:v>2.3</x:v>
      </x:c>
      <x:c r="B14" s="41" t="n">
        <x:f>$A14*B$12/'Assumptions'!$B$5/'Assumptions'!$B$6</x:f>
        <x:v>7.262057797628387</x:v>
      </x:c>
      <x:c r="C14" s="41" t="n">
        <x:f>$A14*C$12/'Assumptions'!$B$5/'Assumptions'!$B$6</x:f>
        <x:v>8.169815022331935</x:v>
      </x:c>
      <x:c r="D14" s="41" t="n">
        <x:f>$A14*D$12/'Assumptions'!$B$5/'Assumptions'!$B$6</x:f>
        <x:v>9.077572247035485</x:v>
      </x:c>
      <x:c r="E14" s="41" t="n">
        <x:f>$A14*E$12/'Assumptions'!$B$5/'Assumptions'!$B$6</x:f>
        <x:v>9.985329471739034</x:v>
      </x:c>
      <x:c r="F14" s="41" t="n">
        <x:f>$A14*F$12/'Assumptions'!$B$5/'Assumptions'!$B$6</x:f>
        <x:v>10.893086696442582</x:v>
      </x:c>
      <x:c r="G14" s="14" t="str">
        <x:v>偏弱</x:v>
      </x:c>
    </x:row>
    <x:row r="15">
      <x:c r="A15" s="154" t="n">
        <x:v>2.5</x:v>
      </x:c>
      <x:c r="B15" s="41" t="n">
        <x:f>$A15*B$12/'Assumptions'!$B$5/'Assumptions'!$B$6</x:f>
        <x:v>7.893541084378683</x:v>
      </x:c>
      <x:c r="C15" s="41" t="n">
        <x:f>$A15*C$12/'Assumptions'!$B$5/'Assumptions'!$B$6</x:f>
        <x:v>8.880233719926018</x:v>
      </x:c>
      <x:c r="D15" s="41" t="n">
        <x:f>$A15*D$12/'Assumptions'!$B$5/'Assumptions'!$B$6</x:f>
        <x:v>9.866926355473353</x:v>
      </x:c>
      <x:c r="E15" s="41" t="n">
        <x:f>$A15*E$12/'Assumptions'!$B$5/'Assumptions'!$B$6</x:f>
        <x:v>10.853618991020689</x:v>
      </x:c>
      <x:c r="F15" s="41" t="n">
        <x:f>$A15*F$12/'Assumptions'!$B$5/'Assumptions'!$B$6</x:f>
        <x:v>11.840311626568026</x:v>
      </x:c>
      <x:c r="G15" s="14" t="str">
        <x:v>Base利润</x:v>
      </x:c>
    </x:row>
    <x:row r="16">
      <x:c r="A16" s="154" t="n">
        <x:v>2.7</x:v>
      </x:c>
      <x:c r="B16" s="41" t="n">
        <x:f>$A16*B$12/'Assumptions'!$B$5/'Assumptions'!$B$6</x:f>
        <x:v>8.525024371128978</x:v>
      </x:c>
      <x:c r="C16" s="41" t="n">
        <x:f>$A16*C$12/'Assumptions'!$B$5/'Assumptions'!$B$6</x:f>
        <x:v>9.5906524175201</x:v>
      </x:c>
      <x:c r="D16" s="41" t="n">
        <x:f>$A16*D$12/'Assumptions'!$B$5/'Assumptions'!$B$6</x:f>
        <x:v>10.656280463911221</x:v>
      </x:c>
      <x:c r="E16" s="41" t="n">
        <x:f>$A16*E$12/'Assumptions'!$B$5/'Assumptions'!$B$6</x:f>
        <x:v>11.721908510302345</x:v>
      </x:c>
      <x:c r="F16" s="41" t="n">
        <x:f>$A16*F$12/'Assumptions'!$B$5/'Assumptions'!$B$6</x:f>
        <x:v>12.787536556693468</x:v>
      </x:c>
      <x:c r="G16" s="14" t="str">
        <x:v>偏强</x:v>
      </x:c>
    </x:row>
    <x:row r="17">
      <x:c r="A17" s="155" t="n">
        <x:v>2.9</x:v>
      </x:c>
      <x:c r="B17" s="148" t="n">
        <x:f>$A17*B$12/'Assumptions'!$B$5/'Assumptions'!$B$6</x:f>
        <x:v>9.156507657879272</x:v>
      </x:c>
      <x:c r="C17" s="148" t="n">
        <x:f>$A17*C$12/'Assumptions'!$B$5/'Assumptions'!$B$6</x:f>
        <x:v>10.301071115114182</x:v>
      </x:c>
      <x:c r="D17" s="148" t="n">
        <x:f>$A17*D$12/'Assumptions'!$B$5/'Assumptions'!$B$6</x:f>
        <x:v>11.44563457234909</x:v>
      </x:c>
      <x:c r="E17" s="148" t="n">
        <x:f>$A17*E$12/'Assumptions'!$B$5/'Assumptions'!$B$6</x:f>
        <x:v>12.590198029583998</x:v>
      </x:c>
      <x:c r="F17" s="148" t="n">
        <x:f>$A17*F$12/'Assumptions'!$B$5/'Assumptions'!$B$6</x:f>
        <x:v>13.734761486818908</x:v>
      </x:c>
      <x:c r="G17" s="16" t="str">
        <x:v>Bull利润</x:v>
      </x:c>
    </x:row>
    <x:row r="20">
      <x:c r="A20" s="19" t="str">
        <x:v>估值限制</x:v>
      </x:c>
      <x:c r="B20" s="20" t="str">
        <x:v>估值限制</x:v>
      </x:c>
      <x:c r="C20" s="20" t="str">
        <x:v>估值限制</x:v>
      </x:c>
      <x:c r="D20" s="20" t="str">
        <x:v>估值限制</x:v>
      </x:c>
      <x:c r="E20" s="20" t="str">
        <x:v>估值限制</x:v>
      </x:c>
      <x:c r="F20" s="20" t="str">
        <x:v>估值限制</x:v>
      </x:c>
      <x:c r="G20" s="20" t="str">
        <x:v>估值限制</x:v>
      </x:c>
      <x:c r="H20" s="20" t="str">
        <x:v>估值限制</x:v>
      </x:c>
      <x:c r="I20" s="21" t="str">
        <x:v>估值限制</x:v>
      </x:c>
    </x:row>
    <x:row r="21">
      <x:c r="A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B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C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D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E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F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G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H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I21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</x:row>
    <x:row r="22">
      <x:c r="A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B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C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D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E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F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G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H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I22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</x:row>
    <x:row r="23">
      <x:c r="A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B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C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D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E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F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G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H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I23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</x:row>
    <x:row r="24">
      <x:c r="A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B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C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D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E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F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G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H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I24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</x:row>
    <x:row r="25">
      <x:c r="A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B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C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D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E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F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G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H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I25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</x:row>
    <x:row r="26">
      <x:c r="A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B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C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D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E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F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G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H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  <x:c r="I26" s="45" t="str">
        <x:v>正常化利润和估值倍数均为分析假设，不是公司指引或市场一致预期。P/E已经包含现金和理财收益，P/B又以账面权益为基础，因此不再把净流动资产额外加到估值中。当前总市值采用全部29.262亿股，而二级市场常见的“流通市值”只计算H股。公司大额现金可能长期承担行业基础设施、结算备付及国企战略任务，不能按100%自由分配现金理解。</x:v>
      </x:c>
    </x:row>
  </x:sheetData>
  <x:mergeCells>
    <x:mergeCell ref="A1:I1"/>
    <x:mergeCell ref="A11:G11"/>
    <x:mergeCell ref="A20:I20"/>
    <x:mergeCell ref="A21:I26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IF(COUNTIF(F5:F15,"FAIL")=0,"OK","FAIL")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估值权重合计</x:v>
      </x:c>
      <x:c r="B5" s="158" t="n">
        <x:f>'Assumptions'!B19+'Assumptions'!B20</x:f>
        <x:v>1</x:v>
      </x:c>
      <x:c r="C5" s="158" t="n">
        <x:f>1</x:f>
        <x:v>1</x:v>
      </x:c>
      <x:c r="D5" s="158" t="n">
        <x:f>B5-C5</x:f>
        <x:v>0</x:v>
      </x:c>
      <x:c r="E5" s="158" t="n">
        <x:f>0.0001</x:f>
        <x:v>0.0001</x:v>
      </x:c>
      <x:c r="F5" s="11" t="str">
        <x:f>IF(ABS(D5)&lt;=E5,"OK","FAIL")</x:f>
        <x:v>OK</x:v>
      </x:c>
      <x:c r="G5" s="11" t="str">
        <x:v>P/E与P/B权重应为100%</x:v>
      </x:c>
    </x:row>
    <x:row r="6">
      <x:c r="A6" s="14" t="str">
        <x:v>市值换算</x:v>
      </x:c>
      <x:c r="B6" s="159" t="n">
        <x:f>'Assumptions'!B8</x:f>
        <x:v>22.63876226015309</x:v>
      </x:c>
      <x:c r="C6" s="159" t="n">
        <x:f>'Assumptions'!B4*'Assumptions'!B5*'Assumptions'!B6</x:f>
        <x:v>22.63876226015309</x:v>
      </x:c>
      <x:c r="D6" s="159" t="n">
        <x:f>B6-C6</x:f>
        <x:v>0</x:v>
      </x:c>
      <x:c r="E6" s="159" t="n">
        <x:f>0.0001</x:f>
        <x:v>0.0001</x:v>
      </x:c>
      <x:c r="F6" s="14" t="str">
        <x:f>IF(ABS(D6)&lt;=E6,"OK","FAIL")</x:f>
        <x:v>OK</x:v>
      </x:c>
      <x:c r="G6" s="14" t="str">
        <x:v>股价×总股本×汇率</x:v>
      </x:c>
    </x:row>
    <x:row r="7">
      <x:c r="A7" s="14" t="str">
        <x:v>滚动利润桥</x:v>
      </x:c>
      <x:c r="B7" s="159" t="n">
        <x:f>'Assumptions'!B9</x:f>
        <x:v>2.436921</x:v>
      </x:c>
      <x:c r="C7" s="159" t="n">
        <x:f>'Historical'!D6-'Historical'!E6+'Historical'!F6</x:f>
        <x:v>2.436921</x:v>
      </x:c>
      <x:c r="D7" s="159" t="n">
        <x:f>B7-C7</x:f>
        <x:v>0</x:v>
      </x:c>
      <x:c r="E7" s="159" t="n">
        <x:f>0.0001</x:f>
        <x:v>0.0001</x:v>
      </x:c>
      <x:c r="F7" s="14" t="str">
        <x:f>IF(ABS(D7)&lt;=E7,"OK","FAIL")</x:f>
        <x:v>OK</x:v>
      </x:c>
      <x:c r="G7" s="14" t="str">
        <x:v>2025A-H1'25+H1'26</x:v>
      </x:c>
    </x:row>
    <x:row r="8">
      <x:c r="A8" s="14" t="str">
        <x:v>滚动P/E桥</x:v>
      </x:c>
      <x:c r="B8" s="159" t="n">
        <x:f>'Assumptions'!B10</x:f>
        <x:v>9.289904047013872</x:v>
      </x:c>
      <x:c r="C8" s="159" t="n">
        <x:f>'Assumptions'!B8/'Assumptions'!B9</x:f>
        <x:v>9.289904047013872</x:v>
      </x:c>
      <x:c r="D8" s="159" t="n">
        <x:f>B8-C8</x:f>
        <x:v>0</x:v>
      </x:c>
      <x:c r="E8" s="159" t="n">
        <x:f>0.0001</x:f>
        <x:v>0.0001</x:v>
      </x:c>
      <x:c r="F8" s="14" t="str">
        <x:f>IF(ABS(D8)&lt;=E8,"OK","FAIL")</x:f>
        <x:v>OK</x:v>
      </x:c>
      <x:c r="G8" s="14" t="str">
        <x:v>人民币市值/滚动利润</x:v>
      </x:c>
    </x:row>
    <x:row r="9">
      <x:c r="A9" s="14" t="str">
        <x:v>净流动资产桥</x:v>
      </x:c>
      <x:c r="B9" s="159" t="n">
        <x:f>'Balance &amp; Cash Flow'!C18</x:f>
        <x:v>13.883842</x:v>
      </x:c>
      <x:c r="C9" s="159" t="n">
        <x:f>'Assumptions'!B13-'Assumptions'!B14</x:f>
        <x:v>13.883842</x:v>
      </x:c>
      <x:c r="D9" s="159" t="n">
        <x:f>B9-C9</x:f>
        <x:v>0</x:v>
      </x:c>
      <x:c r="E9" s="159" t="n">
        <x:f>0.0001</x:f>
        <x:v>0.0001</x:v>
      </x:c>
      <x:c r="F9" s="14" t="str">
        <x:f>IF(ABS(D9)&lt;=E9,"OK","FAIL")</x:f>
        <x:v>OK</x:v>
      </x:c>
      <x:c r="G9" s="14" t="str">
        <x:v>现金+交易性金融资产-借款</x:v>
      </x:c>
    </x:row>
    <x:row r="10">
      <x:c r="A10" s="14" t="str">
        <x:v>收入分部合计</x:v>
      </x:c>
      <x:c r="B10" s="159" t="n">
        <x:f>SUM('Operating Drivers'!B4:B9)</x:f>
        <x:v>4.112124000000001</x:v>
      </x:c>
      <x:c r="C10" s="159" t="n">
        <x:f>'Historical'!F4</x:f>
        <x:v>4.112124</x:v>
      </x:c>
      <x:c r="D10" s="159" t="n">
        <x:f>B10-C10</x:f>
        <x:v>8.881784197001252e-16</x:v>
      </x:c>
      <x:c r="E10" s="159" t="n">
        <x:f>0.0001</x:f>
        <x:v>0.0001</x:v>
      </x:c>
      <x:c r="F10" s="14" t="str">
        <x:f>IF(ABS(D10)&lt;=E10,"OK","FAIL")</x:f>
        <x:v>OK</x:v>
      </x:c>
      <x:c r="G10" s="14" t="str">
        <x:v>六个收入分部等于总收入</x:v>
      </x:c>
    </x:row>
    <x:row r="11">
      <x:c r="A11" s="14" t="str">
        <x:v>毛利率桥</x:v>
      </x:c>
      <x:c r="B11" s="159" t="n">
        <x:f>'Operating Drivers'!G17</x:f>
        <x:v>0.6159393539688979</x:v>
      </x:c>
      <x:c r="C11" s="159" t="n">
        <x:f>('Historical'!F4-1.579305)/'Historical'!F4</x:f>
        <x:v>0.6159393539688979</x:v>
      </x:c>
      <x:c r="D11" s="159" t="n">
        <x:f>B11-C11</x:f>
        <x:v>0</x:v>
      </x:c>
      <x:c r="E11" s="159" t="n">
        <x:f>0.0001</x:f>
        <x:v>0.0001</x:v>
      </x:c>
      <x:c r="F11" s="14" t="str">
        <x:f>IF(ABS(D11)&lt;=E11,"OK","FAIL")</x:f>
        <x:v>OK</x:v>
      </x:c>
      <x:c r="G11" s="14" t="str">
        <x:v>收入减营业成本</x:v>
      </x:c>
    </x:row>
    <x:row r="12">
      <x:c r="A12" s="14" t="str">
        <x:v>资产负债表平衡</x:v>
      </x:c>
      <x:c r="B12" s="159" t="n">
        <x:f>'Historical'!F15+'Historical'!F16</x:f>
        <x:v>34.952822</x:v>
      </x:c>
      <x:c r="C12" s="159" t="n">
        <x:f>'Historical'!F14</x:f>
        <x:v>34.952822</x:v>
      </x:c>
      <x:c r="D12" s="159" t="n">
        <x:f>B12-C12</x:f>
        <x:v>0</x:v>
      </x:c>
      <x:c r="E12" s="159" t="n">
        <x:f>0.0001</x:f>
        <x:v>0.0001</x:v>
      </x:c>
      <x:c r="F12" s="14" t="str">
        <x:f>IF(ABS(D12)&lt;=E12,"OK","FAIL")</x:f>
        <x:v>OK</x:v>
      </x:c>
      <x:c r="G12" s="14" t="str">
        <x:v>负债+总权益=总资产</x:v>
      </x:c>
    </x:row>
    <x:row r="13">
      <x:c r="A13" s="14" t="str">
        <x:v>股本为正</x:v>
      </x:c>
      <x:c r="B13" s="159" t="n">
        <x:f>'Assumptions'!B5</x:f>
        <x:v>2.926209589</x:v>
      </x:c>
      <x:c r="C13" s="159" t="n">
        <x:f>0</x:f>
        <x:v>0</x:v>
      </x:c>
      <x:c r="D13" s="159" t="n">
        <x:f>B13-C13</x:f>
        <x:v>2.926209589</x:v>
      </x:c>
      <x:c r="E13" s="159" t="n">
        <x:f>0</x:f>
        <x:v>0</x:v>
      </x:c>
      <x:c r="F13" s="14" t="str">
        <x:f>IF(B13&gt;C13,"OK","FAIL")</x:f>
        <x:v>OK</x:v>
      </x:c>
      <x:c r="G13" s="14" t="str">
        <x:v>总股本必须大于0</x:v>
      </x:c>
    </x:row>
    <x:row r="14">
      <x:c r="A14" s="14" t="str">
        <x:v>当前价格为正</x:v>
      </x:c>
      <x:c r="B14" s="159" t="n">
        <x:f>'Assumptions'!B4</x:f>
        <x:v>8.935</x:v>
      </x:c>
      <x:c r="C14" s="159" t="n">
        <x:f>0</x:f>
        <x:v>0</x:v>
      </x:c>
      <x:c r="D14" s="159" t="n">
        <x:f>B14-C14</x:f>
        <x:v>8.935</x:v>
      </x:c>
      <x:c r="E14" s="159" t="n">
        <x:f>0</x:f>
        <x:v>0</x:v>
      </x:c>
      <x:c r="F14" s="14" t="str">
        <x:f>IF(B14&gt;C14,"OK","FAIL")</x:f>
        <x:v>OK</x:v>
      </x:c>
      <x:c r="G14" s="14" t="str">
        <x:v>价格输入必须大于0</x:v>
      </x:c>
    </x:row>
    <x:row r="15">
      <x:c r="A15" s="16" t="str">
        <x:v>情景价值递增</x:v>
      </x:c>
      <x:c r="B15" s="160" t="n">
        <x:f>'Valuation'!H7-'Valuation'!H5</x:f>
        <x:v>6.454748606495231</x:v>
      </x:c>
      <x:c r="C15" s="160" t="n">
        <x:f>0</x:f>
        <x:v>0</x:v>
      </x:c>
      <x:c r="D15" s="160" t="n">
        <x:f>B15-C15</x:f>
        <x:v>6.454748606495231</x:v>
      </x:c>
      <x:c r="E15" s="160" t="n">
        <x:f>0</x:f>
        <x:v>0</x:v>
      </x:c>
      <x:c r="F15" s="16" t="str">
        <x:f>IF(B15&gt;C15,"OK","FAIL")</x:f>
        <x:v>OK</x:v>
      </x:c>
      <x:c r="G15" s="16" t="str">
        <x:v>Bull必须高于Bear</x:v>
      </x:c>
    </x:row>
  </x:sheetData>
  <x:mergeCells>
    <x:mergeCell ref="A1:G1"/>
    <x:mergeCell ref="A2:E2"/>
  </x:mergeCells>
  <x:conditionalFormatting sqref="F2:F15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16" hidden="0" customWidth="1"/>
    <x:col min="4" max="4" width="16" hidden="0" customWidth="1"/>
    <x:col min="5" max="5" width="15" hidden="0" customWidth="1"/>
    <x:col min="6" max="6" width="28" hidden="0" customWidth="1"/>
    <x:col min="7" max="7" width="74" hidden="0" customWidth="1"/>
    <x:col min="8" max="8" width="34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5" customHeight="1">
      <x:c r="A4" s="11" t="str">
        <x:v>S1</x:v>
      </x:c>
      <x:c r="B4" s="170" t="str">
        <x:v>2026H1财务、业务、现金流</x:v>
      </x:c>
      <x:c r="C4" s="171"/>
      <x:c r="D4" s="170"/>
      <x:c r="E4" s="170" t="str">
        <x:v>1H26</x:v>
      </x:c>
      <x:c r="F4" s="170" t="str">
        <x:v>中国民航信息网络中期业绩公告</x:v>
      </x:c>
      <x:c r="G4" s="170" t="str">
        <x:v>https://www1.hkexnews.hk/listedco/listconews/sehk/2026/0824/2026082400836.pdf</x:v>
      </x:c>
      <x:c r="H4" s="170" t="str">
        <x:v>未经审计；CASBE</x:v>
      </x:c>
    </x:row>
    <x:row r="5" ht="45" customHeight="1">
      <x:c r="A5" s="14" t="str">
        <x:v>S2</x:v>
      </x:c>
      <x:c r="B5" s="172" t="str">
        <x:v>2025年度财务、审计、股东</x:v>
      </x:c>
      <x:c r="C5" s="173"/>
      <x:c r="D5" s="172"/>
      <x:c r="E5" s="172" t="str">
        <x:v>FY2025</x:v>
      </x:c>
      <x:c r="F5" s="172" t="str">
        <x:v>2025年年度报告</x:v>
      </x:c>
      <x:c r="G5" s="172" t="str">
        <x:v>https://www1.hkexnews.hk/listedco/listconews/sehk/2026/0422/2026042200654.pdf</x:v>
      </x:c>
      <x:c r="H5" s="172" t="str">
        <x:v>BDO审计；标准无保留意见</x:v>
      </x:c>
    </x:row>
    <x:row r="6" ht="45" customHeight="1">
      <x:c r="A6" s="14" t="str">
        <x:v>S3</x:v>
      </x:c>
      <x:c r="B6" s="172" t="str">
        <x:v>2025H1比较</x:v>
      </x:c>
      <x:c r="C6" s="173"/>
      <x:c r="D6" s="172"/>
      <x:c r="E6" s="172" t="str">
        <x:v>1H25</x:v>
      </x:c>
      <x:c r="F6" s="172" t="str">
        <x:v>2025年中期报告</x:v>
      </x:c>
      <x:c r="G6" s="172" t="str">
        <x:v>https://www1.hkexnews.hk/listedco/listconews/sehk/2025/0912/2025091200772.pdf</x:v>
      </x:c>
      <x:c r="H6" s="172" t="str">
        <x:v>未经审计</x:v>
      </x:c>
    </x:row>
    <x:row r="7" ht="45" customHeight="1">
      <x:c r="A7" s="14" t="str">
        <x:v>S4</x:v>
      </x:c>
      <x:c r="B7" s="172" t="str">
        <x:v>总股本与H股数量</x:v>
      </x:c>
      <x:c r="C7" s="173" t="n">
        <x:v>2.926209589</x:v>
      </x:c>
      <x:c r="D7" s="172" t="str">
        <x:v>bn shares</x:v>
      </x:c>
      <x:c r="E7" s="172" t="str">
        <x:v>2026-07-31</x:v>
      </x:c>
      <x:c r="F7" s="172" t="str">
        <x:v>股份月报</x:v>
      </x:c>
      <x:c r="G7" s="172" t="str">
        <x:v>https://www1.hkexnews.hk/listedco/listconews/sehk/2026/0731/2026073101753.pdf</x:v>
      </x:c>
      <x:c r="H7" s="172" t="str">
        <x:v>无库存股</x:v>
      </x:c>
    </x:row>
    <x:row r="8" ht="45" customHeight="1">
      <x:c r="A8" s="14" t="str">
        <x:v>S5</x:v>
      </x:c>
      <x:c r="B8" s="172" t="str">
        <x:v>总经理退休</x:v>
      </x:c>
      <x:c r="C8" s="173"/>
      <x:c r="D8" s="172"/>
      <x:c r="E8" s="172" t="str">
        <x:v>2026-04-13</x:v>
      </x:c>
      <x:c r="F8" s="172" t="str">
        <x:v>管理层变更公告</x:v>
      </x:c>
      <x:c r="G8" s="172" t="str">
        <x:v>https://www1.hkexnews.hk/listedco/listconews/sehk/2026/0413/2026041300358.pdf</x:v>
      </x:c>
      <x:c r="H8" s="172" t="str">
        <x:v>新总经理待任命</x:v>
      </x:c>
    </x:row>
    <x:row r="9" ht="45" customHeight="1">
      <x:c r="A9" s="14" t="str">
        <x:v>S6</x:v>
      </x:c>
      <x:c r="B9" s="172" t="str">
        <x:v>审计师轮换</x:v>
      </x:c>
      <x:c r="C9" s="173"/>
      <x:c r="D9" s="172"/>
      <x:c r="E9" s="172" t="str">
        <x:v>2026-06-01</x:v>
      </x:c>
      <x:c r="F9" s="172" t="str">
        <x:v>建议变更审计师公告</x:v>
      </x:c>
      <x:c r="G9" s="172" t="str">
        <x:v>https://www1.hkexnews.hk/listedco/listconews/sehk/2026/0601/2026060103065.pdf</x:v>
      </x:c>
      <x:c r="H9" s="172" t="str">
        <x:v>BDO任职8年后轮换；无分歧</x:v>
      </x:c>
    </x:row>
    <x:row r="10" ht="45" customHeight="1">
      <x:c r="A10" s="14" t="str">
        <x:v>S7</x:v>
      </x:c>
      <x:c r="B10" s="172" t="str">
        <x:v>审计师获股东批准</x:v>
      </x:c>
      <x:c r="C10" s="173"/>
      <x:c r="D10" s="172"/>
      <x:c r="E10" s="172" t="str">
        <x:v>2026-06-26</x:v>
      </x:c>
      <x:c r="F10" s="172" t="str">
        <x:v>股东周年大会结果</x:v>
      </x:c>
      <x:c r="G10" s="172" t="str">
        <x:v>https://www1.hkexnews.hk/listedco/listconews/sehk/2026/0626/2026062601449.pdf</x:v>
      </x:c>
      <x:c r="H10" s="172" t="str">
        <x:v>大信会计师事务所</x:v>
      </x:c>
    </x:row>
    <x:row r="11" ht="45" customHeight="1">
      <x:c r="A11" s="14" t="str">
        <x:v>M1</x:v>
      </x:c>
      <x:c r="B11" s="172" t="str">
        <x:v>港股收盘价</x:v>
      </x:c>
      <x:c r="C11" s="173" t="n">
        <x:v>8.935</x:v>
      </x:c>
      <x:c r="D11" s="172" t="str">
        <x:v>HKD/股</x:v>
      </x:c>
      <x:c r="E11" s="172" t="str">
        <x:v>2026-08-25</x:v>
      </x:c>
      <x:c r="F11" s="172" t="str">
        <x:v>Webull/经济通收盘快照</x:v>
      </x:c>
      <x:c r="G11" s="172" t="str">
        <x:v>https://www.webull.hk/quote/HKG-00696</x:v>
      </x:c>
      <x:c r="H11" s="172" t="str">
        <x:v>二级市场来源；绩后首个交易日</x:v>
      </x:c>
    </x:row>
    <x:row r="12" ht="45" customHeight="1">
      <x:c r="A12" s="14" t="str">
        <x:v>M2</x:v>
      </x:c>
      <x:c r="B12" s="172" t="str">
        <x:v>HKD兑RMB</x:v>
      </x:c>
      <x:c r="C12" s="173" t="n">
        <x:v>0.86587</x:v>
      </x:c>
      <x:c r="D12" s="172" t="str">
        <x:v>RMB/HKD</x:v>
      </x:c>
      <x:c r="E12" s="172" t="str">
        <x:v>2026-08-25</x:v>
      </x:c>
      <x:c r="F12" s="172" t="str">
        <x:v>新华社汇率中间价</x:v>
      </x:c>
      <x:c r="G12" s="172" t="str">
        <x:v>https://www3.xinhuanet.com/20260825/fe315eed4ea54f22a05585a8c897b451/c.html</x:v>
      </x:c>
      <x:c r="H12" s="172" t="str">
        <x:v>100港元=86.587人民币</x:v>
      </x:c>
    </x:row>
    <x:row r="13" ht="45" customHeight="1">
      <x:c r="A13" s="14" t="str">
        <x:v>I1</x:v>
      </x:c>
      <x:c r="B13" s="172" t="str">
        <x:v>行业旅客运输量</x:v>
      </x:c>
      <x:c r="C13" s="174" t="n">
        <x:v>0.01</x:v>
      </x:c>
      <x:c r="D13" s="172" t="str">
        <x:v>同比</x:v>
      </x:c>
      <x:c r="E13" s="172" t="str">
        <x:v>1H26</x:v>
      </x:c>
      <x:c r="F13" s="172" t="str">
        <x:v>中国民航局</x:v>
      </x:c>
      <x:c r="G13" s="172" t="str">
        <x:v>https://www.caac.gov.cn/PHONE/XWZX/MHYW/202607/t20260715_231267.html</x:v>
      </x:c>
      <x:c r="H13" s="172" t="str">
        <x:v>行业总量</x:v>
      </x:c>
    </x:row>
    <x:row r="14" ht="45" customHeight="1">
      <x:c r="A14" s="14" t="str">
        <x:v>I2</x:v>
      </x:c>
      <x:c r="B14" s="172" t="str">
        <x:v>行业总周转量</x:v>
      </x:c>
      <x:c r="C14" s="174" t="n">
        <x:v>0.064</x:v>
      </x:c>
      <x:c r="D14" s="172" t="str">
        <x:v>同比</x:v>
      </x:c>
      <x:c r="E14" s="172" t="str">
        <x:v>1H26</x:v>
      </x:c>
      <x:c r="F14" s="172" t="str">
        <x:v>中国民航局</x:v>
      </x:c>
      <x:c r="G14" s="172" t="str">
        <x:v>https://www.caac.gov.cn/PHONE/XWZX/MHYW/202607/t20260715_231267.html</x:v>
      </x:c>
      <x:c r="H14" s="172" t="str">
        <x:v>行业总量</x:v>
      </x:c>
    </x:row>
    <x:row r="15" ht="45" customHeight="1">
      <x:c r="A15" s="14" t="str">
        <x:v>A1</x:v>
      </x:c>
      <x:c r="B15" s="172" t="str">
        <x:v>Bear正常化利润</x:v>
      </x:c>
      <x:c r="C15" s="173" t="n">
        <x:v>2.1</x:v>
      </x:c>
      <x:c r="D15" s="172" t="str">
        <x:v>RMB bn</x:v>
      </x:c>
      <x:c r="E15" s="172" t="str">
        <x:v>Bear</x:v>
      </x:c>
      <x:c r="F15" s="172" t="str">
        <x:v>分析假设</x:v>
      </x:c>
      <x:c r="G15" s="172" t="str"/>
      <x:c r="H15" s="172" t="str">
        <x:v>不是一致预期</x:v>
      </x:c>
    </x:row>
    <x:row r="16" ht="45" customHeight="1">
      <x:c r="A16" s="14" t="str">
        <x:v>A2</x:v>
      </x:c>
      <x:c r="B16" s="172" t="str">
        <x:v>Base正常化利润</x:v>
      </x:c>
      <x:c r="C16" s="173" t="n">
        <x:v>2.5</x:v>
      </x:c>
      <x:c r="D16" s="172" t="str">
        <x:v>RMB bn</x:v>
      </x:c>
      <x:c r="E16" s="172" t="str">
        <x:v>Base</x:v>
      </x:c>
      <x:c r="F16" s="172" t="str">
        <x:v>分析假设</x:v>
      </x:c>
      <x:c r="G16" s="172" t="str"/>
      <x:c r="H16" s="172" t="str">
        <x:v>略高于滚动利润</x:v>
      </x:c>
    </x:row>
    <x:row r="17" ht="45" customHeight="1">
      <x:c r="A17" s="14" t="str">
        <x:v>A3</x:v>
      </x:c>
      <x:c r="B17" s="172" t="str">
        <x:v>Bull正常化利润</x:v>
      </x:c>
      <x:c r="C17" s="173" t="n">
        <x:v>2.9</x:v>
      </x:c>
      <x:c r="D17" s="172" t="str">
        <x:v>RMB bn</x:v>
      </x:c>
      <x:c r="E17" s="172" t="str">
        <x:v>Bull</x:v>
      </x:c>
      <x:c r="F17" s="172" t="str">
        <x:v>分析假设</x:v>
      </x:c>
      <x:c r="G17" s="172" t="str"/>
      <x:c r="H17" s="172" t="str">
        <x:v>需核心平台恢复</x:v>
      </x:c>
    </x:row>
    <x:row r="18" ht="45" customHeight="1">
      <x:c r="A18" s="14" t="str">
        <x:v>A4</x:v>
      </x:c>
      <x:c r="B18" s="172" t="str">
        <x:v>Base P/E</x:v>
      </x:c>
      <x:c r="C18" s="173" t="n">
        <x:v>10</x:v>
      </x:c>
      <x:c r="D18" s="172" t="str">
        <x:v>x</x:v>
      </x:c>
      <x:c r="E18" s="172" t="str">
        <x:v>Base</x:v>
      </x:c>
      <x:c r="F18" s="172" t="str">
        <x:v>分析假设</x:v>
      </x:c>
      <x:c r="G18" s="172" t="str"/>
      <x:c r="H18" s="172" t="str">
        <x:v>考虑护城河与国企折价</x:v>
      </x:c>
    </x:row>
    <x:row r="19" ht="45" customHeight="1">
      <x:c r="A19" s="14" t="str">
        <x:v>A5</x:v>
      </x:c>
      <x:c r="B19" s="172" t="str">
        <x:v>Base P/B</x:v>
      </x:c>
      <x:c r="C19" s="173" t="n">
        <x:v>1</x:v>
      </x:c>
      <x:c r="D19" s="172" t="str">
        <x:v>x</x:v>
      </x:c>
      <x:c r="E19" s="172" t="str">
        <x:v>Base</x:v>
      </x:c>
      <x:c r="F19" s="172" t="str">
        <x:v>分析假设</x:v>
      </x:c>
      <x:c r="G19" s="172" t="str"/>
      <x:c r="H19" s="172" t="str">
        <x:v>现金型资产负债表交叉验证</x:v>
      </x:c>
    </x:row>
    <x:row r="20" ht="45" customHeight="1">
      <x:c r="A20" s="16" t="str">
        <x:v>A6</x:v>
      </x:c>
      <x:c r="B20" s="100" t="str">
        <x:v>估值权重</x:v>
      </x:c>
      <x:c r="C20" s="175" t="n">
        <x:v>0.7</x:v>
      </x:c>
      <x:c r="D20" s="100" t="str">
        <x:v>P/E</x:v>
      </x:c>
      <x:c r="E20" s="100" t="str">
        <x:v>全部情景</x:v>
      </x:c>
      <x:c r="F20" s="100" t="str">
        <x:v>分析假设</x:v>
      </x:c>
      <x:c r="G20" s="100" t="str"/>
      <x:c r="H20" s="100" t="str">
        <x:v>P/B权重30%</x:v>
      </x:c>
    </x:row>
  </x:sheetData>
  <x:mergeCells>
    <x:mergeCell ref="A1:H1"/>
  </x:mergeCells>
  <x:pageMargins left="0.7" right="0.7" top="0.75" bottom="0.75" header="0.3" footer="0.3"/>
</x:worksheet>
</file>
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4dba9be0134407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ver" sheetId="1" r:id="Rb533712284274f4f"/>
    <x:sheet xmlns:r="http://schemas.openxmlformats.org/officeDocument/2006/relationships" name="Valuation" sheetId="2" r:id="Rda40d3c4e9f644f3"/>
    <x:sheet xmlns:r="http://schemas.openxmlformats.org/officeDocument/2006/relationships" name="Assumptions" sheetId="3" r:id="R430af6b3b87a4d07"/>
    <x:sheet xmlns:r="http://schemas.openxmlformats.org/officeDocument/2006/relationships" name="Earnings" sheetId="4" r:id="R9af3581232444921"/>
    <x:sheet xmlns:r="http://schemas.openxmlformats.org/officeDocument/2006/relationships" name="Cash" sheetId="5" r:id="Rfb8c4a06ee8b40cd"/>
    <x:sheet xmlns:r="http://schemas.openxmlformats.org/officeDocument/2006/relationships" name="Deal" sheetId="6" r:id="Rde0f35d50ee647b3"/>
    <x:sheet xmlns:r="http://schemas.openxmlformats.org/officeDocument/2006/relationships" name="Sources Checks" sheetId="7" r:id="R77d6aa95528a4e1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.00;(#,##0.00);&quot;-&quot;"/>
    <x:numFmt numFmtId="201" formatCode="0.0%;(0.0%);&quot;-&quot;"/>
    <x:numFmt numFmtId="202" formatCode="0"/>
    <x:numFmt numFmtId="203" formatCode="0.00;(0.00);0.00"/>
  </x:numFmts>
  <x:fonts count="11">
    <x:font>
      <x:sz val="11"/>
      <x:name val="Carlito"/>
    </x:font>
    <x:font>
      <x:sz val="10"/>
      <x:color rgb="FF172B3A"/>
      <x:name val="Microsoft YaHei"/>
    </x:font>
    <x:font>
      <x:b/>
      <x:sz val="16"/>
      <x:color rgb="FF172B3A"/>
      <x:name val="Microsoft YaHei"/>
    </x:font>
    <x:font>
      <x:i/>
      <x:sz val="10"/>
      <x:color rgb="FF667085"/>
      <x:name val="Microsoft YaHei"/>
    </x:font>
    <x:font>
      <x:b/>
      <x:sz val="10"/>
      <x:color rgb="FFFFFFFF"/>
      <x:name val="Microsoft YaHei"/>
    </x:font>
    <x:font>
      <x:sz val="10"/>
      <x:color rgb="FF008000"/>
      <x:name val="Microsoft YaHei"/>
    </x:font>
    <x:font>
      <x:sz val="10"/>
      <x:color rgb="FF000000"/>
      <x:name val="Microsoft YaHei"/>
    </x:font>
    <x:font>
      <x:sz val="10"/>
      <x:color rgb="FF0000FF"/>
      <x:name val="Microsoft YaHei"/>
    </x:font>
    <x:font>
      <x:sz val="10"/>
      <x:color rgb="FF667085"/>
      <x:name val="Microsoft YaHei"/>
    </x:font>
    <x:font>
      <x:b/>
      <x:sz val="10"/>
      <x:color rgb="FF243C55"/>
      <x:name val="Microsoft YaHei"/>
    </x:font>
    <x:font>
      <x:sz val="10"/>
      <x:color rgb="FF243C55"/>
      <x:name val="Microsoft YaHei"/>
    </x:font>
  </x:fonts>
  <x:fills count="4">
    <x:fill>
      <x:patternFill patternType="none"/>
    </x:fill>
    <x:fill>
      <x:patternFill patternType="gray125"/>
    </x:fill>
    <x:fill>
      <x:patternFill patternType="solid">
        <x:fgColor rgb="FF243C55"/>
      </x:patternFill>
    </x:fill>
    <x:fill>
      <x:patternFill patternType="solid">
        <x:fgColor rgb="FFEDF1F5"/>
      </x:patternFill>
    </x:fill>
  </x:fills>
  <x:borders count="2">
    <x:border>
      <x:left/>
      <x:right/>
      <x:top/>
      <x:bottom/>
      <x:diagonal/>
    </x:border>
    <x:border>
      <x:left/>
      <x:right/>
      <x:top/>
      <x:bottom style="thin">
        <x:color rgb="FF243C55"/>
      </x:bottom>
      <x:diagonal/>
    </x:border>
  </x:borders>
  <x:cellStyleXfs count="1">
    <x:xf numFmtId="0" fontId="0" fillId="0" borderId="0"/>
  </x:cellStyleXfs>
  <x:cellXfs count="31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horizontal="center" vertical="center"/>
    </x:xf>
    <x:xf numFmtId="0" fontId="5" fillId="0" borderId="0" xfId="0" applyNumberFormat="1" applyFont="1" applyFill="1" applyBorder="1" applyAlignment="1">
      <x:alignment vertical="center"/>
    </x:xf>
    <x:xf numFmtId="0" fontId="6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  <x:xf numFmtId="200" fontId="5" fillId="0" borderId="0" xfId="0" applyNumberFormat="1" applyFont="1" applyFill="1" applyBorder="1" applyAlignment="1">
      <x:alignment vertical="center"/>
    </x:xf>
    <x:xf numFmtId="200" fontId="6" fillId="0" borderId="0" xfId="0" applyNumberFormat="1" applyFont="1" applyFill="1" applyBorder="1" applyAlignment="1">
      <x:alignment vertical="center"/>
    </x:xf>
    <x:xf numFmtId="201" fontId="6" fillId="0" borderId="0" xfId="0" applyNumberFormat="1" applyFont="1" applyFill="1" applyBorder="1" applyAlignment="1">
      <x:alignment vertical="center"/>
    </x:xf>
    <x:xf numFmtId="200" fontId="7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0" fontId="8" fillId="0" borderId="0" xfId="0" applyNumberFormat="1" applyFont="1" applyFill="1" applyBorder="1" applyAlignment="1">
      <x:alignment vertical="center"/>
    </x:xf>
    <x:xf numFmtId="0" fontId="8" fillId="0" borderId="0" xfId="0" applyNumberFormat="1" applyFont="1" applyFill="1" applyBorder="1" applyAlignment="1">
      <x:alignment vertical="center" wrapText="1"/>
    </x:xf>
    <x:xf numFmtId="0" fontId="7" fillId="0" borderId="0" xfId="0" applyNumberFormat="1" applyFont="1" applyFill="1" applyBorder="1" applyAlignment="1">
      <x:alignment vertical="center"/>
    </x:xf>
    <x:xf numFmtId="202" fontId="7" fillId="0" borderId="0" xfId="0" applyNumberFormat="1" applyFont="1" applyFill="1" applyBorder="1" applyAlignment="1">
      <x:alignment vertical="center"/>
    </x:xf>
    <x:xf numFmtId="201" fontId="7" fillId="0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  <x:xf numFmtId="200" fontId="6" fillId="3" borderId="0" xfId="0" applyNumberFormat="1" applyFont="1" applyFill="1" applyBorder="1" applyAlignment="1">
      <x:alignment vertical="center"/>
    </x:xf>
    <x:xf numFmtId="201" fontId="6" fillId="3" borderId="0" xfId="0" applyNumberFormat="1" applyFont="1" applyFill="1" applyBorder="1" applyAlignment="1">
      <x:alignment vertical="center"/>
    </x:xf>
    <x:xf numFmtId="201" fontId="5" fillId="0" borderId="0" xfId="0" applyNumberFormat="1" applyFont="1" applyFill="1" applyBorder="1" applyAlignment="1">
      <x:alignment vertical="center"/>
    </x:xf>
    <x:xf numFmtId="200" fontId="9" fillId="0" borderId="0" xfId="0" applyNumberFormat="1" applyFont="1" applyFill="1" applyBorder="1" applyAlignment="1">
      <x:alignment vertical="center"/>
    </x:xf>
    <x:xf numFmtId="201" fontId="9" fillId="0" borderId="0" xfId="0" applyNumberFormat="1" applyFont="1" applyFill="1" applyBorder="1" applyAlignment="1">
      <x:alignment vertical="center"/>
    </x:xf>
    <x:xf numFmtId="200" fontId="10" fillId="0" borderId="0" xfId="0" applyNumberFormat="1" applyFont="1" applyFill="1" applyBorder="1" applyAlignment="1">
      <x:alignment vertical="center"/>
    </x:xf>
    <x:xf numFmtId="203" fontId="5" fillId="0" borderId="0" xfId="0" applyNumberFormat="1" applyFont="1" applyFill="1" applyBorder="1" applyAlignment="1">
      <x:alignment vertical="center"/>
    </x:xf>
    <x:xf numFmtId="203" fontId="1" fillId="0" borderId="0" xfId="0" applyNumberFormat="1" applyFont="1" applyFill="1" applyBorder="1" applyAlignment="1">
      <x:alignment vertical="center"/>
    </x:xf>
  </x:cellXfs>
  <x:cellStyles count="1">
    <x:cellStyle name="Normal" xfId="0"/>
  </x:cellStyles>
  <x:dxfs count="1">
    <x:dxf>
      <x:font>
        <x:b/>
        <x:color rgb="FFB42318"/>
      </x:font>
      <x:fill>
        <x:patternFill patternType="solid">
          <x:bgColor rgb="FFFEE4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c7a362234fb4146" /><Relationship Type="http://schemas.openxmlformats.org/officeDocument/2006/relationships/theme" Target="/xl/theme/theme1.xml" Id="Rfee5773d8e704604" /><Relationship Type="http://schemas.openxmlformats.org/officeDocument/2006/relationships/sharedStrings" Target="/xl/sharedStrings.xml" Id="Ra71cf9b75b2e4a37" /><Relationship Type="http://schemas.openxmlformats.org/officeDocument/2006/relationships/worksheet" Target="/xl/worksheets/sheet1.xml" Id="Rb533712284274f4f" /><Relationship Type="http://schemas.openxmlformats.org/officeDocument/2006/relationships/worksheet" Target="/xl/worksheets/sheet2.xml" Id="Rda40d3c4e9f644f3" /><Relationship Type="http://schemas.openxmlformats.org/officeDocument/2006/relationships/worksheet" Target="/xl/worksheets/sheet3.xml" Id="R430af6b3b87a4d07" /><Relationship Type="http://schemas.openxmlformats.org/officeDocument/2006/relationships/worksheet" Target="/xl/worksheets/sheet4.xml" Id="R9af3581232444921" /><Relationship Type="http://schemas.openxmlformats.org/officeDocument/2006/relationships/worksheet" Target="/xl/worksheets/sheet5.xml" Id="Rfb8c4a06ee8b40cd" /><Relationship Type="http://schemas.openxmlformats.org/officeDocument/2006/relationships/worksheet" Target="/xl/worksheets/sheet6.xml" Id="Rde0f35d50ee647b3" /><Relationship Type="http://schemas.openxmlformats.org/officeDocument/2006/relationships/worksheet" Target="/xl/worksheets/sheet7.xml" Id="R77d6aa95528a4e15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141fe942cb7b4618" /><Relationship Type="http://schemas.openxmlformats.org/officeDocument/2006/relationships/chart" Target="/xl/drawings/charts/chart2.xml" Id="R51ee6be53c6d4992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75">
                <a:latin typeface="Microsoft YaHei"/>
                <a:ea typeface="Microsoft YaHei"/>
                <a:cs typeface="Microsoft YaHei"/>
              </a:rPr>
              <a:t>情景价值与参考价（元）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75">
              <a:latin typeface="Microsoft YaHei"/>
              <a:ea typeface="Microsoft YaHei"/>
              <a:cs typeface="Microsoft YaHei"/>
            </a:defRPr>
          </a:pPr>
        </a:p>
      </c:txPr>
    </c:title>
    <c:plotArea>
      <c:barChart>
        <c:barDir val="col"/>
        <c:varyColors val="0"/>
        <c:ser>
          <c:idx val="0"/>
          <c:order val="0"/>
          <c:tx>
            <c:v>每股价值</c:v>
          </c:tx>
          <c:spPr>
            <a:solidFill xmlns:a="http://schemas.openxmlformats.org/drawingml/2006/main">
              <a:srgbClr val="243C55"/>
            </a:solidFill>
          </c:spPr>
          <c:invertIfNegative val="0"/>
          <c:cat>
            <c:strRef>
              <c:f>'Cover'!$C$15:$C$17</c:f>
              <c:strCache>
                <c:ptCount val="0"/>
              </c:strCache>
            </c:strRef>
          </c:cat>
          <c:val>
            <c:numRef>
              <c:f>'Cover'!$D$15:$D$17</c:f>
              <c:numCache>
                <c:formatCode>#,##0.00;(#,##0.00);"-"</c:formatCode>
                <c:ptCount val="0"/>
              </c:numCache>
            </c:numRef>
          </c:val>
        </c:ser>
        <c:ser>
          <c:idx val="1"/>
          <c:order val="1"/>
          <c:tx>
            <c:v>参考价</c:v>
          </c:tx>
          <c:spPr>
            <a:solidFill xmlns:a="http://schemas.openxmlformats.org/drawingml/2006/main">
              <a:srgbClr val="A9BAC7"/>
            </a:solidFill>
          </c:spPr>
          <c:invertIfNegative val="0"/>
          <c:cat>
            <c:strRef>
              <c:f>'Cover'!$C$15:$C$17</c:f>
              <c:strCache>
                <c:ptCount val="0"/>
              </c:strCache>
            </c:strRef>
          </c:cat>
          <c:val>
            <c:numRef>
              <c:f>'Cover'!$E$15:$E$17</c:f>
              <c:numCache>
                <c:formatCode>#,##0.00;(#,##0.00);"-"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>
                <a:latin typeface="Microsoft YaHei"/>
                <a:ea typeface="Microsoft YaHei"/>
                <a:cs typeface="Microsoft YaHei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.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>
                <a:latin typeface="Microsoft YaHei"/>
                <a:ea typeface="Microsoft YaHei"/>
                <a:cs typeface="Microsoft YaHei"/>
              </a:defRPr>
            </a:pPr>
          </a:p>
        </c:txPr>
        <c:crossAx val="48650112"/>
        <c:crossBetween val="between"/>
      </c:valAx>
    </c:plotArea>
    <c:legend>
      <c:legendPos val="t"/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750">
              <a:latin typeface="Microsoft YaHei"/>
              <a:ea typeface="Microsoft YaHei"/>
              <a:cs typeface="Microsoft YaHei"/>
            </a:defRPr>
          </a:pPr>
        </a:p>
      </c:txPr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75">
                <a:latin typeface="Microsoft YaHei"/>
                <a:ea typeface="Microsoft YaHei"/>
                <a:cs typeface="Microsoft YaHei"/>
              </a:rPr>
              <a:t>利润与租赁付款后现金（百万元）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75">
              <a:latin typeface="Microsoft YaHei"/>
              <a:ea typeface="Microsoft YaHei"/>
              <a:cs typeface="Microsoft YaHei"/>
            </a:defRPr>
          </a:pPr>
        </a:p>
      </c:txPr>
    </c:title>
    <c:plotArea>
      <c:barChart>
        <c:barDir val="col"/>
        <c:varyColors val="0"/>
        <c:ser>
          <c:idx val="0"/>
          <c:order val="0"/>
          <c:tx>
            <c:v>扣非利润</c:v>
          </c:tx>
          <c:spPr>
            <a:solidFill xmlns:a="http://schemas.openxmlformats.org/drawingml/2006/main">
              <a:srgbClr val="243C55"/>
            </a:solidFill>
          </c:spPr>
          <c:invertIfNegative val="0"/>
          <c:cat>
            <c:strRef>
              <c:f>'Cover'!$C$22:$C$23</c:f>
              <c:strCache>
                <c:ptCount val="0"/>
              </c:strCache>
            </c:strRef>
          </c:cat>
          <c:val>
            <c:numRef>
              <c:f>'Cover'!$D$22:$D$23</c:f>
              <c:numCache>
                <c:formatCode>#,##0.00;(#,##0.00);"-"</c:formatCode>
                <c:ptCount val="0"/>
              </c:numCache>
            </c:numRef>
          </c:val>
        </c:ser>
        <c:ser>
          <c:idx val="1"/>
          <c:order val="1"/>
          <c:tx>
            <c:v>租赁付款后现金</c:v>
          </c:tx>
          <c:spPr>
            <a:solidFill xmlns:a="http://schemas.openxmlformats.org/drawingml/2006/main">
              <a:srgbClr val="A9BAC7"/>
            </a:solidFill>
          </c:spPr>
          <c:invertIfNegative val="0"/>
          <c:cat>
            <c:strRef>
              <c:f>'Cover'!$C$22:$C$23</c:f>
              <c:strCache>
                <c:ptCount val="0"/>
              </c:strCache>
            </c:strRef>
          </c:cat>
          <c:val>
            <c:numRef>
              <c:f>'Cover'!$E$22:$E$23</c:f>
              <c:numCache>
                <c:formatCode>#,##0.00;(#,##0.00);"-"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>
                <a:latin typeface="Microsoft YaHei"/>
                <a:ea typeface="Microsoft YaHei"/>
                <a:cs typeface="Microsoft YaHei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.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>
                <a:latin typeface="Microsoft YaHei"/>
                <a:ea typeface="Microsoft YaHei"/>
                <a:cs typeface="Microsoft YaHei"/>
              </a:defRPr>
            </a:pPr>
          </a:p>
        </c:txPr>
        <c:crossAx val="48650112"/>
        <c:crossBetween val="between"/>
      </c:valAx>
    </c:plotArea>
    <c:legend>
      <c:legendPos val="t"/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750">
              <a:latin typeface="Microsoft YaHei"/>
              <a:ea typeface="Microsoft YaHei"/>
              <a:cs typeface="Microsoft YaHei"/>
            </a:defRPr>
          </a:pPr>
        </a:p>
      </c:txPr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5</xdr:col>
      <xdr:colOff>0</xdr:colOff>
      <xdr:row>5</xdr:row>
      <xdr:rowOff>0</xdr:rowOff>
    </xdr:from>
    <xdr:to>
      <xdr:col>12</xdr:col>
      <xdr:colOff>0</xdr:colOff>
      <xdr:row>19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141fe942cb7b4618"/>
        </a:graphicData>
      </a:graphic>
    </xdr:graphicFrame>
    <xdr:clientData/>
  </xdr:twoCellAnchor>
  <xdr:twoCellAnchor>
    <xdr:from>
      <xdr:col>5</xdr:col>
      <xdr:colOff>0</xdr:colOff>
      <xdr:row>20</xdr:row>
      <xdr:rowOff>0</xdr:rowOff>
    </xdr:from>
    <xdr:to>
      <xdr:col>12</xdr:col>
      <xdr:colOff>0</xdr:colOff>
      <xdr:row>34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51ee6be53c6d499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8437ab3d120b4500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" hidden="0" customWidth="1"/>
    <x:col min="2" max="2" width="3" hidden="0" customWidth="1"/>
    <x:col min="3" max="3" width="36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</x:cols>
  <x:sheetData>
    <x:row r="1" ht="24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</x:row>
    <x:row r="2" ht="24" customHeight="1">
      <x:c r="A2" s="2"/>
      <x:c r="B2" s="2"/>
      <x:c r="C2" s="3" t="str">
        <x:v>分众传媒 | 财务与估值</x:v>
      </x:c>
      <x:c r="D2" s="2"/>
      <x:c r="E2" s="2"/>
      <x:c r="F2" s="2"/>
      <x:c r="G2" s="2"/>
      <x:c r="H2" s="2"/>
      <x:c r="I2" s="2"/>
      <x:c r="J2" s="2"/>
      <x:c r="K2" s="2"/>
      <x:c r="L2" s="2"/>
    </x:row>
    <x:row r="3" ht="24" customHeight="1">
      <x:c r="A3" s="2"/>
      <x:c r="B3" s="2"/>
      <x:c r="C3" s="4"/>
      <x:c r="D3" s="4"/>
      <x:c r="E3" s="4"/>
      <x:c r="F3" s="4"/>
      <x:c r="G3" s="4"/>
      <x:c r="H3" s="4"/>
      <x:c r="I3" s="4"/>
      <x:c r="J3" s="4"/>
      <x:c r="K3" s="4"/>
      <x:c r="L3" s="4"/>
    </x:row>
    <x:row r="4" ht="24" customHeight="1">
      <x:c r="A4" s="2"/>
      <x:c r="B4" s="2"/>
      <x:c r="C4" s="5" t="str">
        <x:v>002027.SZ；研究截止2026-10-12；价格基准2026-10-09收盘</x:v>
      </x:c>
      <x:c r="D4" s="2"/>
      <x:c r="E4" s="2"/>
      <x:c r="F4" s="2"/>
      <x:c r="G4" s="2"/>
      <x:c r="H4" s="2"/>
      <x:c r="I4" s="2"/>
      <x:c r="J4" s="2"/>
      <x:c r="K4" s="2"/>
      <x:c r="L4" s="2"/>
    </x:row>
    <x:row r="5" ht="24" customHeight="1">
      <x:c r="A5" s="2"/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</x:row>
    <x:row r="6" ht="24" customHeight="1">
      <x:c r="A6" s="2"/>
      <x:c r="B6" s="2"/>
      <x:c r="C6" s="2" t="str">
        <x:v>当前判断</x:v>
      </x:c>
      <x:c r="D6" s="2" t="str">
        <x:v>谨慎积极</x:v>
      </x:c>
      <x:c r="E6" s="2"/>
      <x:c r="F6" s="2"/>
      <x:c r="G6" s="2"/>
      <x:c r="H6" s="2"/>
      <x:c r="I6" s="2"/>
      <x:c r="J6" s="2"/>
      <x:c r="K6" s="2"/>
      <x:c r="L6" s="2"/>
    </x:row>
    <x:row r="7" ht="24" customHeight="1">
      <x:c r="A7" s="2"/>
      <x:c r="B7" s="2"/>
      <x:c r="C7" s="2"/>
      <x:c r="D7" s="2"/>
      <x:c r="E7" s="2"/>
      <x:c r="F7" s="2"/>
      <x:c r="G7" s="2"/>
      <x:c r="H7" s="2"/>
      <x:c r="I7" s="2"/>
      <x:c r="J7" s="2"/>
      <x:c r="K7" s="2"/>
      <x:c r="L7" s="2"/>
    </x:row>
    <x:row r="8" ht="24" customHeight="1">
      <x:c r="A8" s="2"/>
      <x:c r="B8" s="2"/>
      <x:c r="C8" s="2" t="str">
        <x:v>参考价（元）</x:v>
      </x:c>
      <x:c r="D8" s="26" t="n">
        <x:f>'Valuation'!D8</x:f>
        <x:v>4.91</x:v>
      </x:c>
      <x:c r="E8" s="2"/>
      <x:c r="F8" s="2"/>
      <x:c r="G8" s="2"/>
      <x:c r="H8" s="2"/>
      <x:c r="I8" s="2"/>
      <x:c r="J8" s="2"/>
      <x:c r="K8" s="2"/>
      <x:c r="L8" s="2"/>
    </x:row>
    <x:row r="9" ht="24" customHeight="1">
      <x:c r="A9" s="2"/>
      <x:c r="B9" s="2"/>
      <x:c r="C9" s="2" t="str">
        <x:v>基准价值（元）</x:v>
      </x:c>
      <x:c r="D9" s="26" t="n">
        <x:f>'Valuation'!E36</x:f>
        <x:v>6.140176190953761</x:v>
      </x:c>
      <x:c r="E9" s="2"/>
      <x:c r="F9" s="2"/>
      <x:c r="G9" s="2"/>
      <x:c r="H9" s="2"/>
      <x:c r="I9" s="2"/>
      <x:c r="J9" s="2"/>
      <x:c r="K9" s="2"/>
      <x:c r="L9" s="2"/>
    </x:row>
    <x:row r="10" ht="24" customHeight="1">
      <x:c r="A10" s="2"/>
      <x:c r="B10" s="2"/>
      <x:c r="C10" s="2" t="str">
        <x:v>基准空间</x:v>
      </x:c>
      <x:c r="D10" s="27" t="n">
        <x:f>'Valuation'!E37</x:f>
        <x:v>0.2505450490740857</x:v>
      </x:c>
      <x:c r="E10" s="2"/>
      <x:c r="F10" s="2"/>
      <x:c r="G10" s="2"/>
      <x:c r="H10" s="2"/>
      <x:c r="I10" s="2"/>
      <x:c r="J10" s="2"/>
      <x:c r="K10" s="2"/>
      <x:c r="L10" s="2"/>
    </x:row>
    <x:row r="11" ht="24" customHeight="1">
      <x:c r="A11" s="2"/>
      <x:c r="B11" s="2"/>
      <x:c r="C11" s="2" t="str">
        <x:v>扣租赁现金（百万元）</x:v>
      </x:c>
      <x:c r="D11" s="26" t="n">
        <x:f>'Earnings'!G17</x:f>
        <x:v>2743.44310416</x:v>
      </x:c>
      <x:c r="E11" s="2"/>
      <x:c r="F11" s="2"/>
      <x:c r="G11" s="2"/>
      <x:c r="H11" s="2"/>
      <x:c r="I11" s="2"/>
      <x:c r="J11" s="2"/>
      <x:c r="K11" s="2"/>
      <x:c r="L11" s="2"/>
    </x:row>
    <x:row r="12" ht="24" customHeight="1">
      <x:c r="A12" s="2"/>
      <x:c r="B12" s="2"/>
      <x:c r="C12" s="2" t="str">
        <x:v>Case Selected:</x:v>
      </x:c>
      <x:c r="D12" s="9" t="str">
        <x:f>'Assumptions'!D30</x:f>
        <x:v>Base</x:v>
      </x:c>
      <x:c r="E12" s="2"/>
      <x:c r="F12" s="2"/>
      <x:c r="G12" s="2"/>
      <x:c r="H12" s="2"/>
      <x:c r="I12" s="2"/>
      <x:c r="J12" s="2"/>
      <x:c r="K12" s="2"/>
      <x:c r="L12" s="2"/>
    </x:row>
    <x:row r="13" ht="24" customHeight="1">
      <x:c r="A13" s="2"/>
      <x:c r="B13" s="2"/>
      <x:c r="C13" s="2"/>
      <x:c r="D13" s="2"/>
      <x:c r="E13" s="2"/>
      <x:c r="F13" s="2"/>
      <x:c r="G13" s="2"/>
      <x:c r="H13" s="2"/>
      <x:c r="I13" s="2"/>
      <x:c r="J13" s="2"/>
      <x:c r="K13" s="2"/>
      <x:c r="L13" s="2"/>
    </x:row>
    <x:row r="14" ht="24" customHeight="1">
      <x:c r="A14" s="2"/>
      <x:c r="B14" s="2"/>
      <x:c r="C14" s="8" t="str">
        <x:v>情景</x:v>
      </x:c>
      <x:c r="D14" s="8" t="str">
        <x:v>每股价值</x:v>
      </x:c>
      <x:c r="E14" s="8" t="str">
        <x:v>参考价</x:v>
      </x:c>
      <x:c r="F14" s="2"/>
      <x:c r="G14" s="2"/>
      <x:c r="H14" s="2"/>
      <x:c r="I14" s="2"/>
      <x:c r="J14" s="2"/>
      <x:c r="K14" s="2"/>
      <x:c r="L14" s="2"/>
    </x:row>
    <x:row r="15" ht="24" customHeight="1">
      <x:c r="A15" s="2"/>
      <x:c r="B15" s="2"/>
      <x:c r="C15" s="2" t="str">
        <x:v>Bear</x:v>
      </x:c>
      <x:c r="D15" s="28" t="n">
        <x:f>'Valuation'!D36</x:f>
        <x:v>3.8556050291819743</x:v>
      </x:c>
      <x:c r="E15" s="28" t="n">
        <x:f>'Assumptions'!D7</x:f>
        <x:v>4.91</x:v>
      </x:c>
      <x:c r="F15" s="2"/>
      <x:c r="G15" s="2"/>
      <x:c r="H15" s="2"/>
      <x:c r="I15" s="2"/>
      <x:c r="J15" s="2"/>
      <x:c r="K15" s="2"/>
      <x:c r="L15" s="2"/>
    </x:row>
    <x:row r="16" ht="24" customHeight="1">
      <x:c r="A16" s="2"/>
      <x:c r="B16" s="2"/>
      <x:c r="C16" s="2" t="str">
        <x:v>Base</x:v>
      </x:c>
      <x:c r="D16" s="28" t="n">
        <x:f>'Valuation'!E36</x:f>
        <x:v>6.140176190953761</x:v>
      </x:c>
      <x:c r="E16" s="28" t="n">
        <x:f>'Assumptions'!D7</x:f>
        <x:v>4.91</x:v>
      </x:c>
      <x:c r="F16" s="2"/>
      <x:c r="G16" s="2"/>
      <x:c r="H16" s="2"/>
      <x:c r="I16" s="2"/>
      <x:c r="J16" s="2"/>
      <x:c r="K16" s="2"/>
      <x:c r="L16" s="2"/>
    </x:row>
    <x:row r="17" ht="24" customHeight="1">
      <x:c r="A17" s="2"/>
      <x:c r="B17" s="2"/>
      <x:c r="C17" s="2" t="str">
        <x:v>Bull</x:v>
      </x:c>
      <x:c r="D17" s="28" t="n">
        <x:f>'Valuation'!F36</x:f>
        <x:v>9.15706194430719</x:v>
      </x:c>
      <x:c r="E17" s="28" t="n">
        <x:f>'Assumptions'!D7</x:f>
        <x:v>4.91</x:v>
      </x:c>
      <x:c r="F17" s="2"/>
      <x:c r="G17" s="2"/>
      <x:c r="H17" s="2"/>
      <x:c r="I17" s="2"/>
      <x:c r="J17" s="2"/>
      <x:c r="K17" s="2"/>
      <x:c r="L17" s="2"/>
    </x:row>
    <x:row r="18" ht="24" customHeight="1">
      <x:c r="A18" s="2"/>
      <x:c r="B18" s="2"/>
      <x:c r="C18" s="2"/>
      <x:c r="D18" s="2"/>
      <x:c r="E18" s="2"/>
      <x:c r="F18" s="2"/>
      <x:c r="G18" s="2"/>
      <x:c r="H18" s="2"/>
      <x:c r="I18" s="2"/>
      <x:c r="J18" s="2"/>
      <x:c r="K18" s="2"/>
      <x:c r="L18" s="2"/>
    </x:row>
    <x:row r="19" ht="24" customHeight="1">
      <x:c r="A19" s="2"/>
      <x:c r="B19" s="2"/>
      <x:c r="C19" s="2"/>
      <x:c r="D19" s="2"/>
      <x:c r="E19" s="2"/>
      <x:c r="F19" s="2"/>
      <x:c r="G19" s="2"/>
      <x:c r="H19" s="2"/>
      <x:c r="I19" s="2"/>
      <x:c r="J19" s="2"/>
      <x:c r="K19" s="2"/>
      <x:c r="L19" s="2"/>
    </x:row>
    <x:row r="20" ht="24" customHeight="1">
      <x:c r="A20" s="2"/>
      <x:c r="B20" s="2"/>
      <x:c r="C20" s="2"/>
      <x:c r="D20" s="2"/>
      <x:c r="E20" s="2"/>
      <x:c r="F20" s="2"/>
      <x:c r="G20" s="2"/>
      <x:c r="H20" s="2"/>
      <x:c r="I20" s="2"/>
      <x:c r="J20" s="2"/>
      <x:c r="K20" s="2"/>
      <x:c r="L20" s="2"/>
    </x:row>
    <x:row r="21" ht="24" customHeight="1">
      <x:c r="A21" s="2"/>
      <x:c r="B21" s="2"/>
      <x:c r="C21" s="8" t="str">
        <x:v>半年比较</x:v>
      </x:c>
      <x:c r="D21" s="8" t="str">
        <x:v>扣非利润</x:v>
      </x:c>
      <x:c r="E21" s="8" t="str">
        <x:v>租赁付款后现金</x:v>
      </x:c>
      <x:c r="F21" s="2"/>
      <x:c r="G21" s="2"/>
      <x:c r="H21" s="2"/>
      <x:c r="I21" s="2"/>
      <x:c r="J21" s="2"/>
      <x:c r="K21" s="2"/>
      <x:c r="L21" s="2"/>
    </x:row>
    <x:row r="22" ht="24" customHeight="1">
      <x:c r="A22" s="2"/>
      <x:c r="B22" s="2"/>
      <x:c r="C22" s="2" t="str">
        <x:v>2025H1</x:v>
      </x:c>
      <x:c r="D22" s="28" t="n">
        <x:f>'Earnings'!F9</x:f>
        <x:v>2464.56446489</x:v>
      </x:c>
      <x:c r="E22" s="28" t="n">
        <x:f>'Earnings'!F17</x:f>
        <x:v>1971.9474053100002</x:v>
      </x:c>
      <x:c r="F22" s="2"/>
      <x:c r="G22" s="2"/>
      <x:c r="H22" s="2"/>
      <x:c r="I22" s="2"/>
      <x:c r="J22" s="2"/>
      <x:c r="K22" s="2"/>
      <x:c r="L22" s="2"/>
    </x:row>
    <x:row r="23" ht="24" customHeight="1">
      <x:c r="A23" s="2"/>
      <x:c r="B23" s="2"/>
      <x:c r="C23" s="2" t="str">
        <x:v>2026H1</x:v>
      </x:c>
      <x:c r="D23" s="28" t="n">
        <x:f>'Earnings'!G9</x:f>
        <x:v>2290.53069517</x:v>
      </x:c>
      <x:c r="E23" s="28" t="n">
        <x:f>'Earnings'!G17</x:f>
        <x:v>2743.44310416</x:v>
      </x:c>
      <x:c r="F23" s="2"/>
      <x:c r="G23" s="2"/>
      <x:c r="H23" s="2"/>
      <x:c r="I23" s="2"/>
      <x:c r="J23" s="2"/>
      <x:c r="K23" s="2"/>
      <x:c r="L23" s="2"/>
    </x:row>
    <x:row r="24" ht="24" customHeight="1">
      <x:c r="A24" s="2"/>
      <x:c r="B24" s="2"/>
      <x:c r="C24" s="2"/>
      <x:c r="D24" s="2"/>
      <x:c r="E24" s="2"/>
      <x:c r="F24" s="2"/>
      <x:c r="G24" s="2"/>
      <x:c r="H24" s="2"/>
      <x:c r="I24" s="2"/>
      <x:c r="J24" s="2"/>
      <x:c r="K24" s="2"/>
      <x:c r="L24" s="2"/>
    </x:row>
    <x:row r="25" ht="24" customHeight="1">
      <x:c r="A25" s="2"/>
      <x:c r="B25" s="2"/>
      <x:c r="C25" s="2"/>
      <x:c r="D25" s="2"/>
      <x:c r="E25" s="2"/>
      <x:c r="F25" s="2"/>
      <x:c r="G25" s="2"/>
      <x:c r="H25" s="2"/>
      <x:c r="I25" s="2"/>
      <x:c r="J25" s="2"/>
      <x:c r="K25" s="2"/>
      <x:c r="L25" s="2"/>
    </x:row>
    <x:row r="26" ht="24" customHeight="1">
      <x:c r="A26" s="2"/>
      <x:c r="B26" s="2"/>
      <x:c r="C26" s="2"/>
      <x:c r="D26" s="2"/>
      <x:c r="E26" s="2"/>
      <x:c r="F26" s="2"/>
      <x:c r="G26" s="2"/>
      <x:c r="H26" s="2"/>
      <x:c r="I26" s="2"/>
      <x:c r="J26" s="2"/>
      <x:c r="K26" s="2"/>
      <x:c r="L26" s="2"/>
    </x:row>
    <x:row r="27" ht="36" customHeight="1">
      <x:c r="A27" s="2"/>
      <x:c r="B27" s="2"/>
      <x:c r="C27" s="18" t="str">
        <x:v>楼宇网络与现金能力有优势；互联网客户集中及消费广告需求影响增长。</x:v>
      </x:c>
      <x:c r="D27" s="18"/>
      <x:c r="E27" s="18"/>
      <x:c r="F27" s="2"/>
      <x:c r="G27" s="2"/>
      <x:c r="H27" s="2"/>
      <x:c r="I27" s="2"/>
      <x:c r="J27" s="2"/>
      <x:c r="K27" s="2"/>
      <x:c r="L27" s="2"/>
    </x:row>
    <x:row r="28" ht="24" customHeight="1">
      <x:c r="A28" s="2"/>
      <x:c r="B28" s="2"/>
      <x:c r="C28" s="2"/>
      <x:c r="D28" s="2"/>
      <x:c r="E28" s="2"/>
      <x:c r="F28" s="2"/>
      <x:c r="G28" s="2"/>
      <x:c r="H28" s="2"/>
      <x:c r="I28" s="2"/>
      <x:c r="J28" s="2"/>
      <x:c r="K28" s="2"/>
      <x:c r="L28" s="2"/>
    </x:row>
    <x:row r="29" ht="24" customHeight="1">
      <x:c r="A29" s="2"/>
      <x:c r="B29" s="2"/>
      <x:c r="C29" s="2"/>
      <x:c r="D29" s="2"/>
      <x:c r="E29" s="2"/>
      <x:c r="F29" s="2"/>
      <x:c r="G29" s="2"/>
      <x:c r="H29" s="2"/>
      <x:c r="I29" s="2"/>
      <x:c r="J29" s="2"/>
      <x:c r="K29" s="2"/>
      <x:c r="L29" s="2"/>
    </x:row>
    <x:row r="30" ht="36" customHeight="1">
      <x:c r="A30" s="2"/>
      <x:c r="B30" s="2"/>
      <x:c r="C30" s="18" t="str">
        <x:v>反垄断条件约束提价与独家点位；每股收益增厚需要额外整合利润。</x:v>
      </x:c>
      <x:c r="D30" s="18"/>
      <x:c r="E30" s="18"/>
      <x:c r="F30" s="2"/>
      <x:c r="G30" s="2"/>
      <x:c r="H30" s="2"/>
      <x:c r="I30" s="2"/>
      <x:c r="J30" s="2"/>
      <x:c r="K30" s="2"/>
      <x:c r="L30" s="2"/>
    </x:row>
    <x:row r="31" ht="24" customHeight="1">
      <x:c r="A31" s="2"/>
      <x:c r="B31" s="2"/>
      <x:c r="C31" s="2"/>
      <x:c r="D31" s="2"/>
      <x:c r="E31" s="2"/>
      <x:c r="F31" s="2"/>
      <x:c r="G31" s="2"/>
      <x:c r="H31" s="2"/>
      <x:c r="I31" s="2"/>
      <x:c r="J31" s="2"/>
      <x:c r="K31" s="2"/>
      <x:c r="L31" s="2"/>
    </x:row>
    <x:row r="32" ht="24" customHeight="1">
      <x:c r="A32" s="2"/>
      <x:c r="B32" s="2"/>
      <x:c r="C32" s="2"/>
      <x:c r="D32" s="2"/>
      <x:c r="E32" s="2"/>
      <x:c r="F32" s="2"/>
      <x:c r="G32" s="2"/>
      <x:c r="H32" s="2"/>
      <x:c r="I32" s="2"/>
      <x:c r="J32" s="2"/>
      <x:c r="K32" s="2"/>
      <x:c r="L32" s="2"/>
    </x:row>
    <x:row r="33" ht="24" customHeight="1">
      <x:c r="A33" s="2"/>
      <x:c r="B33" s="2"/>
      <x:c r="C33" s="2"/>
      <x:c r="D33" s="2"/>
      <x:c r="E33" s="2"/>
      <x:c r="F33" s="2"/>
      <x:c r="G33" s="2"/>
      <x:c r="H33" s="2"/>
      <x:c r="I33" s="2"/>
      <x:c r="J33" s="2"/>
      <x:c r="K33" s="2"/>
      <x:c r="L33" s="2"/>
    </x:row>
    <x:row r="34" ht="24" customHeight="1">
      <x:c r="A34" s="2"/>
      <x:c r="B34" s="2"/>
      <x:c r="C34" s="2"/>
      <x:c r="D34" s="2"/>
      <x:c r="E34" s="2"/>
      <x:c r="F34" s="2"/>
      <x:c r="G34" s="2"/>
      <x:c r="H34" s="2"/>
      <x:c r="I34" s="2"/>
      <x:c r="J34" s="2"/>
      <x:c r="K34" s="2"/>
      <x:c r="L34" s="2"/>
    </x:row>
    <x:row r="35" ht="24" customHeight="1">
      <x:c r="A35" s="2"/>
      <x:c r="B35" s="2"/>
      <x:c r="C35" s="2"/>
      <x:c r="D35" s="2"/>
      <x:c r="E35" s="2"/>
      <x:c r="F35" s="2"/>
      <x:c r="G35" s="2"/>
      <x:c r="H35" s="2"/>
      <x:c r="I35" s="2"/>
      <x:c r="J35" s="2"/>
      <x:c r="K35" s="2"/>
      <x:c r="L35" s="2"/>
    </x:row>
    <x:row r="36" ht="24" customHeight="1">
      <x:c r="A36" s="2"/>
      <x:c r="B36" s="2"/>
      <x:c r="C36" s="2"/>
      <x:c r="D36" s="2"/>
      <x:c r="E36" s="2"/>
      <x:c r="F36" s="2"/>
      <x:c r="G36" s="2"/>
      <x:c r="H36" s="2"/>
      <x:c r="I36" s="2"/>
      <x:c r="J36" s="2"/>
      <x:c r="K36" s="2"/>
      <x:c r="L36" s="2"/>
    </x:row>
  </x:sheetData>
  <x:mergeCells>
    <x:mergeCell ref="C27:E27"/>
    <x:mergeCell ref="C30:E30"/>
  </x:mergeCells>
  <x:pageMargins left="0.7" right="0.7" top="0.75" bottom="0.75" header="0.3" footer="0.3"/>
  <x:drawing xmlns:r="http://schemas.openxmlformats.org/officeDocument/2006/relationships" r:id="R8437ab3d120b4500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" hidden="0" customWidth="1"/>
    <x:col min="2" max="2" width="3" hidden="0" customWidth="1"/>
    <x:col min="3" max="3" width="36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19" hidden="0" customWidth="1"/>
  </x:cols>
  <x:sheetData>
    <x:row r="1" ht="24" customHeight="1">
      <x:c r="A1" s="2"/>
      <x:c r="B1" s="2"/>
      <x:c r="C1" s="2"/>
      <x:c r="D1" s="2"/>
      <x:c r="E1" s="2"/>
      <x:c r="F1" s="2"/>
      <x:c r="G1" s="2"/>
      <x:c r="H1" s="2"/>
      <x:c r="I1" s="2"/>
    </x:row>
    <x:row r="2" ht="24" customHeight="1">
      <x:c r="A2" s="2"/>
      <x:c r="B2" s="2"/>
      <x:c r="C2" s="3" t="str">
        <x:v>正常化估值与交易影响</x:v>
      </x:c>
      <x:c r="D2" s="2"/>
      <x:c r="E2" s="2"/>
      <x:c r="F2" s="2"/>
      <x:c r="G2" s="2"/>
      <x:c r="H2" s="2"/>
      <x:c r="I2" s="2"/>
    </x:row>
    <x:row r="3" ht="24" customHeight="1">
      <x:c r="A3" s="2"/>
      <x:c r="B3" s="2"/>
      <x:c r="C3" s="4"/>
      <x:c r="D3" s="4"/>
      <x:c r="E3" s="4"/>
      <x:c r="F3" s="4"/>
      <x:c r="G3" s="4"/>
      <x:c r="H3" s="4"/>
      <x:c r="I3" s="4"/>
    </x:row>
    <x:row r="4" ht="24" customHeight="1">
      <x:c r="A4" s="2"/>
      <x:c r="B4" s="2"/>
      <x:c r="C4" s="5" t="str">
        <x:v>主方法：2027正常化归母P/E；股息资本化为独立交叉检验</x:v>
      </x:c>
      <x:c r="D4" s="2"/>
      <x:c r="E4" s="2"/>
      <x:c r="F4" s="2"/>
      <x:c r="G4" s="2"/>
      <x:c r="H4" s="2"/>
      <x:c r="I4" s="2"/>
    </x:row>
    <x:row r="5" ht="24" customHeight="1">
      <x:c r="A5" s="2"/>
      <x:c r="B5" s="2"/>
      <x:c r="C5" s="2"/>
      <x:c r="D5" s="2"/>
      <x:c r="E5" s="2"/>
      <x:c r="F5" s="2"/>
      <x:c r="G5" s="2"/>
      <x:c r="H5" s="2"/>
      <x:c r="I5" s="2"/>
    </x:row>
    <x:row r="6" ht="24" customHeight="1">
      <x:c r="A6" s="2"/>
      <x:c r="B6" s="2"/>
      <x:c r="C6" s="2" t="str">
        <x:v>Case Selected:</x:v>
      </x:c>
      <x:c r="D6" s="9" t="str">
        <x:f>'Assumptions'!D30</x:f>
        <x:v>Base</x:v>
      </x:c>
      <x:c r="E6" s="2"/>
      <x:c r="F6" s="2"/>
      <x:c r="G6" s="2"/>
      <x:c r="H6" s="2"/>
      <x:c r="I6" s="2"/>
    </x:row>
    <x:row r="7" ht="24" customHeight="1">
      <x:c r="A7" s="2"/>
      <x:c r="B7" s="2"/>
      <x:c r="C7" s="2"/>
      <x:c r="D7" s="2"/>
      <x:c r="E7" s="2"/>
      <x:c r="F7" s="2"/>
      <x:c r="G7" s="2"/>
      <x:c r="H7" s="2"/>
      <x:c r="I7" s="2"/>
    </x:row>
    <x:row r="8" ht="24" customHeight="1">
      <x:c r="A8" s="2"/>
      <x:c r="B8" s="2"/>
      <x:c r="C8" s="2" t="str">
        <x:v>参考价（元）</x:v>
      </x:c>
      <x:c r="D8" s="12" t="n">
        <x:f>'Assumptions'!D7</x:f>
        <x:v>4.91</x:v>
      </x:c>
      <x:c r="E8" s="2"/>
      <x:c r="F8" s="2"/>
      <x:c r="G8" s="2"/>
      <x:c r="H8" s="2"/>
      <x:c r="I8" s="2"/>
    </x:row>
    <x:row r="9" ht="24" customHeight="1">
      <x:c r="A9" s="2"/>
      <x:c r="B9" s="2"/>
      <x:c r="C9" s="2" t="str">
        <x:v>现有股本（百万股）</x:v>
      </x:c>
      <x:c r="D9" s="12" t="n">
        <x:f>'Deal'!D7</x:f>
        <x:v>14442.199726</x:v>
      </x:c>
      <x:c r="E9" s="2"/>
      <x:c r="F9" s="2"/>
      <x:c r="G9" s="2"/>
      <x:c r="H9" s="2"/>
      <x:c r="I9" s="2"/>
    </x:row>
    <x:row r="10" ht="24" customHeight="1">
      <x:c r="A10" s="2"/>
      <x:c r="B10" s="2"/>
      <x:c r="C10" s="2" t="str">
        <x:v>当前市值（百万元）</x:v>
      </x:c>
      <x:c r="D10" s="13" t="n">
        <x:f>D8*D9</x:f>
        <x:v>70911.20065466</x:v>
      </x:c>
      <x:c r="E10" s="2"/>
      <x:c r="F10" s="2"/>
      <x:c r="G10" s="2"/>
      <x:c r="H10" s="2"/>
      <x:c r="I10" s="2"/>
    </x:row>
    <x:row r="11" ht="24" customHeight="1">
      <x:c r="A11" s="2"/>
      <x:c r="B11" s="2"/>
      <x:c r="C11" s="2" t="str">
        <x:v>报告TTM归母利润</x:v>
      </x:c>
      <x:c r="D11" s="12" t="n">
        <x:f>'Earnings'!E8-'Earnings'!F8+'Earnings'!G8</x:f>
        <x:v>3409.60862295</x:v>
      </x:c>
      <x:c r="E11" s="2"/>
      <x:c r="F11" s="2"/>
      <x:c r="G11" s="2"/>
      <x:c r="H11" s="2"/>
      <x:c r="I11" s="2"/>
    </x:row>
    <x:row r="12" ht="24" customHeight="1">
      <x:c r="A12" s="2"/>
      <x:c r="B12" s="2"/>
      <x:c r="C12" s="2" t="str">
        <x:v>报告TTM P/E</x:v>
      </x:c>
      <x:c r="D12" s="13" t="n">
        <x:f>D10/D11</x:f>
        <x:v>20.797460499530146</x:v>
      </x:c>
      <x:c r="E12" s="2"/>
      <x:c r="F12" s="2"/>
      <x:c r="G12" s="2"/>
      <x:c r="H12" s="2"/>
      <x:c r="I12" s="2"/>
    </x:row>
    <x:row r="13" ht="24" customHeight="1">
      <x:c r="A13" s="2"/>
      <x:c r="B13" s="2"/>
      <x:c r="C13" s="2" t="str">
        <x:v>TTM扣非加回减值参考</x:v>
      </x:c>
      <x:c r="D13" s="12" t="n">
        <x:f>'Earnings'!E15-'Earnings'!F9+'Earnings'!G9</x:f>
        <x:v>4697.70060463</x:v>
      </x:c>
      <x:c r="E13" s="2"/>
      <x:c r="F13" s="2"/>
      <x:c r="G13" s="2"/>
      <x:c r="H13" s="2"/>
      <x:c r="I13" s="2"/>
    </x:row>
    <x:row r="14" ht="24" customHeight="1">
      <x:c r="A14" s="2"/>
      <x:c r="B14" s="2"/>
      <x:c r="C14" s="2" t="str">
        <x:v>参考正常化P/E</x:v>
      </x:c>
      <x:c r="D14" s="13" t="n">
        <x:f>D10/D13</x:f>
        <x:v>15.094874412552118</x:v>
      </x:c>
      <x:c r="E14" s="2"/>
      <x:c r="F14" s="2"/>
      <x:c r="G14" s="2"/>
      <x:c r="H14" s="2"/>
      <x:c r="I14" s="2"/>
    </x:row>
    <x:row r="15" ht="24" customHeight="1">
      <x:c r="A15" s="2"/>
      <x:c r="B15" s="2"/>
      <x:c r="C15" s="2"/>
      <x:c r="D15" s="11"/>
      <x:c r="E15" s="2"/>
      <x:c r="F15" s="2"/>
      <x:c r="G15" s="2"/>
      <x:c r="H15" s="2"/>
      <x:c r="I15" s="2"/>
    </x:row>
    <x:row r="16" ht="24" customHeight="1">
      <x:c r="A16" s="2"/>
      <x:c r="B16" s="2"/>
      <x:c r="C16" s="2" t="str">
        <x:v>原分众利润（百万元）</x:v>
      </x:c>
      <x:c r="D16" s="12" t="n">
        <x:f>'Assumptions'!D16</x:f>
        <x:v>5200</x:v>
      </x:c>
      <x:c r="E16" s="2"/>
      <x:c r="F16" s="2"/>
      <x:c r="G16" s="2"/>
      <x:c r="H16" s="2"/>
      <x:c r="I16" s="2"/>
    </x:row>
    <x:row r="17" ht="24" customHeight="1">
      <x:c r="A17" s="2"/>
      <x:c r="B17" s="2"/>
      <x:c r="C17" s="2" t="str">
        <x:v>新潮利润</x:v>
      </x:c>
      <x:c r="D17" s="12" t="n">
        <x:f>'Assumptions'!D19</x:f>
        <x:v>100</x:v>
      </x:c>
      <x:c r="E17" s="2"/>
      <x:c r="F17" s="2"/>
      <x:c r="G17" s="2"/>
      <x:c r="H17" s="2"/>
      <x:c r="I17" s="2"/>
    </x:row>
    <x:row r="18" ht="24" customHeight="1">
      <x:c r="A18" s="2"/>
      <x:c r="B18" s="2"/>
      <x:c r="C18" s="2" t="str">
        <x:v>协同增量</x:v>
      </x:c>
      <x:c r="D18" s="12" t="n">
        <x:f>'Assumptions'!D22</x:f>
        <x:v>200</x:v>
      </x:c>
      <x:c r="E18" s="2"/>
      <x:c r="F18" s="2"/>
      <x:c r="G18" s="2"/>
      <x:c r="H18" s="2"/>
      <x:c r="I18" s="2"/>
    </x:row>
    <x:row r="19" ht="24" customHeight="1">
      <x:c r="A19" s="2"/>
      <x:c r="B19" s="2"/>
      <x:c r="C19" s="2" t="str">
        <x:v>购买价分摊摊销影响</x:v>
      </x:c>
      <x:c r="D19" s="12" t="n">
        <x:f>'Assumptions'!D25</x:f>
        <x:v>50</x:v>
      </x:c>
      <x:c r="E19" s="2"/>
      <x:c r="F19" s="2"/>
      <x:c r="G19" s="2"/>
      <x:c r="H19" s="2"/>
      <x:c r="I19" s="2"/>
    </x:row>
    <x:row r="20" ht="24" customHeight="1">
      <x:c r="A20" s="2"/>
      <x:c r="B20" s="2"/>
      <x:c r="C20" s="2" t="str">
        <x:v>交易完成假设</x:v>
      </x:c>
      <x:c r="D20" s="12" t="n">
        <x:f>'Assumptions'!D9</x:f>
        <x:v>1</x:v>
      </x:c>
      <x:c r="E20" s="2"/>
      <x:c r="F20" s="2"/>
      <x:c r="G20" s="2"/>
      <x:c r="H20" s="2"/>
      <x:c r="I20" s="2"/>
    </x:row>
    <x:row r="21" ht="24" customHeight="1">
      <x:c r="A21" s="2"/>
      <x:c r="B21" s="2"/>
      <x:c r="C21" s="2" t="str">
        <x:v>活动组合归母利润</x:v>
      </x:c>
      <x:c r="D21" s="13" t="n">
        <x:f>IF(OR(D16="n.a.",D17="n.a.",D18="n.a.",D19="n.a."),"n.a.",D16+(SUM(D17:D18)-D19)*D20)</x:f>
        <x:v>5450</x:v>
      </x:c>
      <x:c r="E21" s="2"/>
      <x:c r="F21" s="2"/>
      <x:c r="G21" s="2"/>
      <x:c r="H21" s="2"/>
      <x:c r="I21" s="2"/>
    </x:row>
    <x:row r="22" ht="24" customHeight="1">
      <x:c r="A22" s="2"/>
      <x:c r="B22" s="2"/>
      <x:c r="C22" s="2" t="str">
        <x:v>活动股本（百万股）</x:v>
      </x:c>
      <x:c r="D22" s="12" t="n">
        <x:f>D9+'Deal'!D8*D20</x:f>
        <x:v>15976.740235000001</x:v>
      </x:c>
      <x:c r="E22" s="2"/>
      <x:c r="F22" s="2"/>
      <x:c r="G22" s="2"/>
      <x:c r="H22" s="2"/>
      <x:c r="I22" s="2"/>
    </x:row>
    <x:row r="23" ht="24" customHeight="1">
      <x:c r="A23" s="2"/>
      <x:c r="B23" s="2"/>
      <x:c r="C23" s="2" t="str">
        <x:v>合理P/E</x:v>
      </x:c>
      <x:c r="D23" s="12" t="n">
        <x:f>'Assumptions'!D28</x:f>
        <x:v>18</x:v>
      </x:c>
      <x:c r="E23" s="2"/>
      <x:c r="F23" s="2"/>
      <x:c r="G23" s="2"/>
      <x:c r="H23" s="2"/>
      <x:c r="I23" s="2"/>
    </x:row>
    <x:row r="24" ht="24" customHeight="1">
      <x:c r="A24" s="2"/>
      <x:c r="B24" s="2"/>
      <x:c r="C24" s="22" t="str">
        <x:v>每股价值（元）</x:v>
      </x:c>
      <x:c r="D24" s="23" t="n">
        <x:f>IF(OR(D21="n.a.",D23="n.a."),"n.a.",D21*D23/D22)</x:f>
        <x:v>6.140176190953761</x:v>
      </x:c>
      <x:c r="E24" s="2"/>
      <x:c r="F24" s="2"/>
      <x:c r="G24" s="2"/>
      <x:c r="H24" s="2"/>
      <x:c r="I24" s="2"/>
    </x:row>
    <x:row r="25" ht="24" customHeight="1">
      <x:c r="A25" s="2"/>
      <x:c r="B25" s="2"/>
      <x:c r="C25" s="22" t="str">
        <x:v>相对参考价</x:v>
      </x:c>
      <x:c r="D25" s="24" t="n">
        <x:f>IF(D24="n.a.","n.a.",D24/D8-1)</x:f>
        <x:v>0.2505450490740857</x:v>
      </x:c>
      <x:c r="E25" s="2"/>
      <x:c r="F25" s="2"/>
      <x:c r="G25" s="2"/>
      <x:c r="H25" s="2"/>
      <x:c r="I25" s="2"/>
    </x:row>
    <x:row r="26" ht="24" customHeight="1">
      <x:c r="A26" s="2"/>
      <x:c r="B26" s="2"/>
      <x:c r="C26" s="2"/>
      <x:c r="D26" s="11"/>
      <x:c r="E26" s="2"/>
      <x:c r="F26" s="2"/>
      <x:c r="G26" s="2"/>
      <x:c r="H26" s="2"/>
      <x:c r="I26" s="2"/>
    </x:row>
    <x:row r="27" ht="24" customHeight="1">
      <x:c r="A27" s="2"/>
      <x:c r="B27" s="2"/>
      <x:c r="C27" s="2" t="str">
        <x:v>未来DPS研究假设（元）</x:v>
      </x:c>
      <x:c r="D27" s="12" t="n">
        <x:f>D21/D22*'Assumptions'!D12</x:f>
        <x:v>0.2728967195979449</x:v>
      </x:c>
      <x:c r="E27" s="2"/>
      <x:c r="F27" s="2"/>
      <x:c r="G27" s="2"/>
      <x:c r="H27" s="2"/>
      <x:c r="I27" s="2"/>
    </x:row>
    <x:row r="28" ht="24" customHeight="1">
      <x:c r="A28" s="2"/>
      <x:c r="B28" s="2"/>
      <x:c r="C28" s="2" t="str">
        <x:v>对应参考价股息率</x:v>
      </x:c>
      <x:c r="D28" s="14" t="n">
        <x:f>D27/D8</x:f>
        <x:v>0.055579779958848254</x:v>
      </x:c>
      <x:c r="E28" s="2"/>
      <x:c r="F28" s="2"/>
      <x:c r="G28" s="2"/>
      <x:c r="H28" s="2"/>
      <x:c r="I28" s="2"/>
    </x:row>
    <x:row r="29" ht="24" customHeight="1">
      <x:c r="A29" s="2"/>
      <x:c r="B29" s="2"/>
      <x:c r="C29" s="2" t="str">
        <x:v>股息资本化价值（元）</x:v>
      </x:c>
      <x:c r="D29" s="12" t="n">
        <x:f>D27/'Assumptions'!D13</x:f>
        <x:v>4.961758538144453</x:v>
      </x:c>
      <x:c r="E29" s="2"/>
      <x:c r="F29" s="2"/>
      <x:c r="G29" s="2"/>
      <x:c r="H29" s="2"/>
      <x:c r="I29" s="2"/>
    </x:row>
    <x:row r="30" ht="24" customHeight="1">
      <x:c r="A30" s="2"/>
      <x:c r="B30" s="2"/>
      <x:c r="C30" s="2"/>
      <x:c r="D30" s="2"/>
      <x:c r="E30" s="2"/>
      <x:c r="F30" s="2"/>
      <x:c r="G30" s="2"/>
      <x:c r="H30" s="2"/>
      <x:c r="I30" s="2"/>
    </x:row>
    <x:row r="31" ht="24" customHeight="1">
      <x:c r="A31" s="2"/>
      <x:c r="B31" s="2"/>
      <x:c r="C31" s="2"/>
      <x:c r="D31" s="2"/>
      <x:c r="E31" s="2"/>
      <x:c r="F31" s="2"/>
      <x:c r="G31" s="2"/>
      <x:c r="H31" s="2"/>
      <x:c r="I31" s="2"/>
    </x:row>
    <x:row r="32" ht="24" customHeight="1">
      <x:c r="A32" s="2"/>
      <x:c r="B32" s="2"/>
      <x:c r="C32" s="8" t="str">
        <x:v>独立P/E组合比较</x:v>
      </x:c>
      <x:c r="D32" s="8" t="str">
        <x:v>Bear</x:v>
      </x:c>
      <x:c r="E32" s="8" t="str">
        <x:v>Base</x:v>
      </x:c>
      <x:c r="F32" s="8" t="str">
        <x:v>Bull</x:v>
      </x:c>
      <x:c r="G32" s="2"/>
      <x:c r="H32" s="2"/>
      <x:c r="I32" s="2"/>
    </x:row>
    <x:row r="33" ht="24" customHeight="1">
      <x:c r="A33" s="2"/>
      <x:c r="B33" s="2"/>
      <x:c r="C33" s="2" t="str">
        <x:v>2027组合归母利润</x:v>
      </x:c>
      <x:c r="D33" s="12" t="n">
        <x:f>IF(OR(ISBLANK('Assumptions'!E16),ISBLANK('Assumptions'!E19),ISBLANK('Assumptions'!E22),ISBLANK('Assumptions'!E25)),"n.a.",'Assumptions'!E16+(SUM('Assumptions'!E19,'Assumptions'!E22)-'Assumptions'!E25)*'Assumptions'!$D$9)</x:f>
        <x:v>4400</x:v>
      </x:c>
      <x:c r="E33" s="12" t="n">
        <x:f>IF(OR(ISBLANK('Assumptions'!F16),ISBLANK('Assumptions'!F19),ISBLANK('Assumptions'!F22),ISBLANK('Assumptions'!F25)),"n.a.",'Assumptions'!F16+(SUM('Assumptions'!F19,'Assumptions'!F22)-'Assumptions'!F25)*'Assumptions'!$D$9)</x:f>
        <x:v>5450</x:v>
      </x:c>
      <x:c r="F33" s="12" t="n">
        <x:f>IF(OR(ISBLANK('Assumptions'!G16),ISBLANK('Assumptions'!G19),ISBLANK('Assumptions'!G22),ISBLANK('Assumptions'!G25)),"n.a.",'Assumptions'!G16+(SUM('Assumptions'!G19,'Assumptions'!G22)-'Assumptions'!G25)*'Assumptions'!$D$9)</x:f>
        <x:v>6650</x:v>
      </x:c>
      <x:c r="G33" s="2"/>
      <x:c r="H33" s="2"/>
      <x:c r="I33" s="2"/>
    </x:row>
    <x:row r="34" ht="24" customHeight="1">
      <x:c r="A34" s="2"/>
      <x:c r="B34" s="2"/>
      <x:c r="C34" s="2" t="str">
        <x:v>股份（百万股）</x:v>
      </x:c>
      <x:c r="D34" s="12" t="n">
        <x:f>'Deal'!D7+'Deal'!D8*'Assumptions'!$D$9</x:f>
        <x:v>15976.740235000001</x:v>
      </x:c>
      <x:c r="E34" s="12" t="n">
        <x:f>'Deal'!D7+'Deal'!D8*'Assumptions'!$D$9</x:f>
        <x:v>15976.740235000001</x:v>
      </x:c>
      <x:c r="F34" s="12" t="n">
        <x:f>'Deal'!D7+'Deal'!D8*'Assumptions'!$D$9</x:f>
        <x:v>15976.740235000001</x:v>
      </x:c>
      <x:c r="G34" s="2"/>
      <x:c r="H34" s="2"/>
      <x:c r="I34" s="2"/>
    </x:row>
    <x:row r="35" ht="24" customHeight="1">
      <x:c r="A35" s="2"/>
      <x:c r="B35" s="2"/>
      <x:c r="C35" s="2" t="str">
        <x:v>合理P/E</x:v>
      </x:c>
      <x:c r="D35" s="12" t="n">
        <x:f>IF(ISBLANK('Assumptions'!E28),"n.a.",'Assumptions'!E28)</x:f>
        <x:v>14</x:v>
      </x:c>
      <x:c r="E35" s="12" t="n">
        <x:f>IF(ISBLANK('Assumptions'!F28),"n.a.",'Assumptions'!F28)</x:f>
        <x:v>18</x:v>
      </x:c>
      <x:c r="F35" s="12" t="n">
        <x:f>IF(ISBLANK('Assumptions'!G28),"n.a.",'Assumptions'!G28)</x:f>
        <x:v>22</x:v>
      </x:c>
      <x:c r="G35" s="2"/>
      <x:c r="H35" s="2"/>
      <x:c r="I35" s="2"/>
    </x:row>
    <x:row r="36" ht="24" customHeight="1">
      <x:c r="A36" s="2"/>
      <x:c r="B36" s="2"/>
      <x:c r="C36" s="22" t="str">
        <x:v>每股价值（元）</x:v>
      </x:c>
      <x:c r="D36" s="23" t="n">
        <x:f>IF(OR(D33="n.a.",D35="n.a."),"n.a.",D33*D35/D34)</x:f>
        <x:v>3.8556050291819743</x:v>
      </x:c>
      <x:c r="E36" s="23" t="n">
        <x:f>IF(OR(E33="n.a.",E35="n.a."),"n.a.",E33*E35/E34)</x:f>
        <x:v>6.140176190953761</x:v>
      </x:c>
      <x:c r="F36" s="23" t="n">
        <x:f>IF(OR(F33="n.a.",F35="n.a."),"n.a.",F33*F35/F34)</x:f>
        <x:v>9.15706194430719</x:v>
      </x:c>
      <x:c r="G36" s="2"/>
      <x:c r="H36" s="2"/>
      <x:c r="I36" s="2"/>
    </x:row>
    <x:row r="37" ht="24" customHeight="1">
      <x:c r="A37" s="2"/>
      <x:c r="B37" s="2"/>
      <x:c r="C37" s="22" t="str">
        <x:v>相对参考价</x:v>
      </x:c>
      <x:c r="D37" s="24" t="n">
        <x:f>IF(D36="n.a.","n.a.",D36/$D$8-1)</x:f>
        <x:v>-0.21474439324196049</x:v>
      </x:c>
      <x:c r="E37" s="24" t="n">
        <x:f>IF(E36="n.a.","n.a.",E36/$D$8-1)</x:f>
        <x:v>0.2505450490740857</x:v>
      </x:c>
      <x:c r="F37" s="24" t="n">
        <x:f>IF(F36="n.a.","n.a.",F36/$D$8-1)</x:f>
        <x:v>0.864982066050344</x:v>
      </x:c>
      <x:c r="G37" s="2"/>
      <x:c r="H37" s="2"/>
      <x:c r="I37" s="2"/>
    </x:row>
    <x:row r="38" ht="24" customHeight="1">
      <x:c r="A38" s="2"/>
      <x:c r="B38" s="2"/>
      <x:c r="C38" s="2" t="str">
        <x:v>同倍数下未交易价值</x:v>
      </x:c>
      <x:c r="D38" s="12" t="n">
        <x:f>'Assumptions'!E16*D35/'Deal'!D7</x:f>
        <x:v>4.265278224140798</x:v>
      </x:c>
      <x:c r="E38" s="12" t="n">
        <x:f>'Assumptions'!F16*E35/'Deal'!D7</x:f>
        <x:v>6.481007171746407</x:v>
      </x:c>
      <x:c r="F38" s="12" t="n">
        <x:f>'Assumptions'!G16*F35/'Deal'!D7</x:f>
        <x:v>9.139881908873138</x:v>
      </x:c>
      <x:c r="G38" s="2"/>
      <x:c r="H38" s="2"/>
      <x:c r="I38" s="2"/>
    </x:row>
    <x:row r="39" ht="24" customHeight="1">
      <x:c r="A39" s="2"/>
      <x:c r="B39" s="2"/>
      <x:c r="C39" s="2" t="str">
        <x:v>交易对每股价值影响</x:v>
      </x:c>
      <x:c r="D39" s="14" t="n">
        <x:f>D36/D38-1</x:f>
        <x:v>-0.09604841077895887</x:v>
      </x:c>
      <x:c r="E39" s="14" t="n">
        <x:f>E36/E38-1</x:f>
        <x:v>-0.052589199758716565</x:v>
      </x:c>
      <x:c r="F39" s="14" t="n">
        <x:f>F36/F38-1</x:f>
        <x:v>0.001879678053320788</x:v>
      </x:c>
      <x:c r="G39" s="2"/>
      <x:c r="H39" s="2"/>
      <x:c r="I39" s="2"/>
    </x:row>
    <x:row r="40" ht="24" customHeight="1">
      <x:c r="A40" s="2"/>
      <x:c r="B40" s="2"/>
      <x:c r="C40" s="2"/>
      <x:c r="D40" s="2"/>
      <x:c r="E40" s="2"/>
      <x:c r="F40" s="2"/>
      <x:c r="G40" s="2"/>
      <x:c r="H40" s="2"/>
      <x:c r="I40" s="2"/>
    </x:row>
    <x:row r="41" ht="24" customHeight="1">
      <x:c r="A41" s="2"/>
      <x:c r="B41" s="2"/>
      <x:c r="C41" s="2"/>
      <x:c r="D41" s="2"/>
      <x:c r="E41" s="2"/>
      <x:c r="F41" s="2"/>
      <x:c r="G41" s="2"/>
      <x:c r="H41" s="2"/>
      <x:c r="I41" s="2"/>
    </x:row>
    <x:row r="42" ht="36" customHeight="1">
      <x:c r="A42" s="2"/>
      <x:c r="B42" s="2"/>
      <x:c r="C42" s="18" t="str">
        <x:v>交易未完成为另一状态，不与失败协同混同；所有比较均为简明利润×P/E计算，不构造平行经营预测。</x:v>
      </x:c>
      <x:c r="D42" s="18"/>
      <x:c r="E42" s="18"/>
      <x:c r="F42" s="18"/>
      <x:c r="G42" s="18"/>
      <x:c r="H42" s="18"/>
      <x:c r="I42" s="18"/>
    </x:row>
    <x:row r="43" ht="24" customHeight="1">
      <x:c r="A43" s="2"/>
      <x:c r="B43" s="2"/>
      <x:c r="C43" s="2"/>
      <x:c r="D43" s="2"/>
      <x:c r="E43" s="2"/>
      <x:c r="F43" s="2"/>
      <x:c r="G43" s="2"/>
      <x:c r="H43" s="2"/>
      <x:c r="I43" s="2"/>
    </x:row>
    <x:row r="44" ht="36" customHeight="1">
      <x:c r="A44" s="2"/>
      <x:c r="B44" s="2"/>
      <x:c r="C44" s="18" t="str">
        <x:v>不额外加净现金，避免与资金收益及并购支出重复；拟发行数量仍受最终注册和后续除息影响。</x:v>
      </x:c>
      <x:c r="D44" s="18"/>
      <x:c r="E44" s="18"/>
      <x:c r="F44" s="18"/>
      <x:c r="G44" s="18"/>
      <x:c r="H44" s="18"/>
      <x:c r="I44" s="18"/>
    </x:row>
    <x:row r="45" ht="24" customHeight="1">
      <x:c r="A45" s="2"/>
      <x:c r="B45" s="2"/>
      <x:c r="C45" s="2"/>
      <x:c r="D45" s="2"/>
      <x:c r="E45" s="2"/>
      <x:c r="F45" s="2"/>
      <x:c r="G45" s="2"/>
      <x:c r="H45" s="2"/>
      <x:c r="I45" s="2"/>
    </x:row>
    <x:row r="46" ht="24" customHeight="1">
      <x:c r="A46" s="2"/>
      <x:c r="B46" s="2"/>
      <x:c r="C46" s="2"/>
      <x:c r="D46" s="2"/>
      <x:c r="E46" s="2"/>
      <x:c r="F46" s="2"/>
      <x:c r="G46" s="2"/>
      <x:c r="H46" s="2"/>
      <x:c r="I46" s="2"/>
    </x:row>
  </x:sheetData>
  <x:mergeCells>
    <x:mergeCell ref="C42:I42"/>
    <x:mergeCell ref="C44:I44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" hidden="0" customWidth="1"/>
    <x:col min="2" max="2" width="3" hidden="0" customWidth="1"/>
    <x:col min="3" max="3" width="36" hidden="0" customWidth="1"/>
    <x:col min="4" max="4" width="19" hidden="0" customWidth="1"/>
    <x:col min="5" max="5" width="38" hidden="0" customWidth="1"/>
    <x:col min="6" max="6" width="19" hidden="0" customWidth="1"/>
    <x:col min="7" max="7" width="19" hidden="0" customWidth="1"/>
    <x:col min="8" max="8" width="19" hidden="0" customWidth="1"/>
    <x:col min="9" max="9" width="19" hidden="0" customWidth="1"/>
  </x:cols>
  <x:sheetData>
    <x:row r="1" ht="24" customHeight="1">
      <x:c r="A1" s="2"/>
      <x:c r="B1" s="2"/>
      <x:c r="C1" s="2"/>
      <x:c r="D1" s="2"/>
      <x:c r="E1" s="2"/>
      <x:c r="F1" s="2"/>
      <x:c r="G1" s="2"/>
      <x:c r="H1" s="2"/>
      <x:c r="I1" s="2"/>
    </x:row>
    <x:row r="2" ht="24" customHeight="1">
      <x:c r="A2" s="2"/>
      <x:c r="B2" s="2"/>
      <x:c r="C2" s="3" t="str">
        <x:v>估值与交易假设</x:v>
      </x:c>
      <x:c r="D2" s="2"/>
      <x:c r="E2" s="2"/>
      <x:c r="F2" s="2"/>
      <x:c r="G2" s="2"/>
      <x:c r="H2" s="2"/>
      <x:c r="I2" s="2"/>
    </x:row>
    <x:row r="3" ht="24" customHeight="1">
      <x:c r="A3" s="2"/>
      <x:c r="B3" s="2"/>
      <x:c r="C3" s="4"/>
      <x:c r="D3" s="4"/>
      <x:c r="E3" s="4"/>
      <x:c r="F3" s="4"/>
      <x:c r="G3" s="4"/>
      <x:c r="H3" s="4"/>
      <x:c r="I3" s="4"/>
    </x:row>
    <x:row r="4" ht="24" customHeight="1">
      <x:c r="A4" s="2"/>
      <x:c r="B4" s="2"/>
      <x:c r="C4" s="5" t="str">
        <x:v>利润均为2027年研究假设，人民币百万元；不是公司业绩承诺</x:v>
      </x:c>
      <x:c r="D4" s="2"/>
      <x:c r="E4" s="2"/>
      <x:c r="F4" s="2"/>
      <x:c r="G4" s="2"/>
      <x:c r="H4" s="2"/>
      <x:c r="I4" s="2"/>
    </x:row>
    <x:row r="5" ht="24" customHeight="1">
      <x:c r="A5" s="2"/>
      <x:c r="B5" s="2"/>
      <x:c r="C5" s="2"/>
      <x:c r="D5" s="2"/>
      <x:c r="E5" s="2"/>
      <x:c r="F5" s="2"/>
      <x:c r="G5" s="2"/>
      <x:c r="H5" s="2"/>
      <x:c r="I5" s="2"/>
    </x:row>
    <x:row r="6" ht="24" customHeight="1">
      <x:c r="A6" s="2"/>
      <x:c r="B6" s="2"/>
      <x:c r="C6" s="8" t="str">
        <x:v>市场与计算控制</x:v>
      </x:c>
      <x:c r="D6" s="8" t="str">
        <x:v>输入</x:v>
      </x:c>
      <x:c r="E6" s="8" t="str">
        <x:v>说明</x:v>
      </x:c>
      <x:c r="F6" s="2"/>
      <x:c r="G6" s="2"/>
      <x:c r="H6" s="2"/>
      <x:c r="I6" s="2"/>
    </x:row>
    <x:row r="7" ht="24" customHeight="1">
      <x:c r="A7" s="2"/>
      <x:c r="B7" s="2"/>
      <x:c r="C7" s="2" t="str">
        <x:v>参考收盘价（元）</x:v>
      </x:c>
      <x:c r="D7" s="15" t="n">
        <x:v>4.91</x:v>
      </x:c>
      <x:c r="E7" s="2" t="str">
        <x:v>2026-10-09，10月12尚未收盘</x:v>
      </x:c>
      <x:c r="F7" s="2"/>
      <x:c r="G7" s="2"/>
      <x:c r="H7" s="2"/>
      <x:c r="I7" s="2"/>
    </x:row>
    <x:row r="8" ht="24" customHeight="1">
      <x:c r="A8" s="2"/>
      <x:c r="B8" s="2"/>
      <x:c r="C8" s="2" t="str">
        <x:v>Case Selected:</x:v>
      </x:c>
      <x:c r="D8" s="20" t="n">
        <x:v>2</x:v>
      </x:c>
      <x:c r="E8" s="2" t="str">
        <x:v>1=Bear，2=Base，3=Bull</x:v>
      </x:c>
      <x:c r="F8" s="2"/>
      <x:c r="G8" s="2"/>
      <x:c r="H8" s="2"/>
      <x:c r="I8" s="2"/>
    </x:row>
    <x:row r="9" ht="24" customHeight="1">
      <x:c r="A9" s="2"/>
      <x:c r="B9" s="2"/>
      <x:c r="C9" s="2" t="str">
        <x:v>2027交易完成假设</x:v>
      </x:c>
      <x:c r="D9" s="20" t="n">
        <x:v>1</x:v>
      </x:c>
      <x:c r="E9" s="2" t="str">
        <x:v>1=交割及并表，0=未完成</x:v>
      </x:c>
      <x:c r="F9" s="2"/>
      <x:c r="G9" s="2"/>
      <x:c r="H9" s="2"/>
      <x:c r="I9" s="2"/>
    </x:row>
    <x:row r="10" ht="24" customHeight="1">
      <x:c r="A10" s="2"/>
      <x:c r="B10" s="2"/>
      <x:c r="C10" s="2" t="str">
        <x:v>2025归属年度DPS（元）</x:v>
      </x:c>
      <x:c r="D10" s="15" t="n">
        <x:v>0.34</x:v>
      </x:c>
      <x:c r="E10" s="2" t="str">
        <x:v>H1 .10+Q3 .05+末期 .19</x:v>
      </x:c>
      <x:c r="F10" s="2"/>
      <x:c r="G10" s="2"/>
      <x:c r="H10" s="2"/>
      <x:c r="I10" s="2"/>
    </x:row>
    <x:row r="11" ht="24" customHeight="1">
      <x:c r="A11" s="2"/>
      <x:c r="B11" s="2"/>
      <x:c r="C11" s="2" t="str">
        <x:v>减值加回参考税影响</x:v>
      </x:c>
      <x:c r="D11" s="21" t="n">
        <x:v>0</x:v>
      </x:c>
      <x:c r="E11" s="2" t="str">
        <x:v>研究假设，可改25%敏感性</x:v>
      </x:c>
      <x:c r="F11" s="2"/>
      <x:c r="G11" s="2"/>
      <x:c r="H11" s="2"/>
      <x:c r="I11" s="2"/>
    </x:row>
    <x:row r="12" ht="24" customHeight="1">
      <x:c r="A12" s="2"/>
      <x:c r="B12" s="2"/>
      <x:c r="C12" s="2" t="str">
        <x:v>未来派息率假设</x:v>
      </x:c>
      <x:c r="D12" s="21" t="n">
        <x:v>0.8</x:v>
      </x:c>
      <x:c r="E12" s="2" t="str">
        <x:v>2027非已确认承诺</x:v>
      </x:c>
      <x:c r="F12" s="2"/>
      <x:c r="G12" s="2"/>
      <x:c r="H12" s="2"/>
      <x:c r="I12" s="2"/>
    </x:row>
    <x:row r="13" ht="24" customHeight="1">
      <x:c r="A13" s="2"/>
      <x:c r="B13" s="2"/>
      <x:c r="C13" s="2" t="str">
        <x:v>股息资本化要求收益率</x:v>
      </x:c>
      <x:c r="D13" s="21" t="n">
        <x:v>0.055</x:v>
      </x:c>
      <x:c r="E13" s="2" t="str">
        <x:v>研究判断，非国债收益率</x:v>
      </x:c>
      <x:c r="F13" s="2"/>
      <x:c r="G13" s="2"/>
      <x:c r="H13" s="2"/>
      <x:c r="I13" s="2"/>
    </x:row>
    <x:row r="14" ht="24" customHeight="1">
      <x:c r="A14" s="2"/>
      <x:c r="B14" s="2"/>
      <x:c r="C14" s="2"/>
      <x:c r="D14" s="2"/>
      <x:c r="E14" s="2"/>
      <x:c r="F14" s="2"/>
      <x:c r="G14" s="2"/>
      <x:c r="H14" s="2"/>
      <x:c r="I14" s="2"/>
    </x:row>
    <x:row r="15" ht="24" customHeight="1">
      <x:c r="A15" s="2"/>
      <x:c r="B15" s="2"/>
      <x:c r="C15" s="8" t="str">
        <x:v>原分众正常化归母利润</x:v>
      </x:c>
      <x:c r="D15" s="8" t="str">
        <x:v>Active</x:v>
      </x:c>
      <x:c r="E15" s="8" t="str">
        <x:v>Bear</x:v>
      </x:c>
      <x:c r="F15" s="8" t="str">
        <x:v>Base</x:v>
      </x:c>
      <x:c r="G15" s="8" t="str">
        <x:v>Bull</x:v>
      </x:c>
      <x:c r="H15" s="2"/>
      <x:c r="I15" s="2"/>
    </x:row>
    <x:row r="16" ht="24" customHeight="1">
      <x:c r="A16" s="2"/>
      <x:c r="B16" s="2"/>
      <x:c r="C16" s="2" t="str">
        <x:v>数值</x:v>
      </x:c>
      <x:c r="D16" s="13" t="n">
        <x:f>IF(CHOOSE($D$8,ISBLANK(E16),ISBLANK(F16),ISBLANK(G16)),"n.a.",CHOOSE($D$8,E16,F16,G16))</x:f>
        <x:v>5200</x:v>
      </x:c>
      <x:c r="E16" s="15" t="n">
        <x:v>4400</x:v>
      </x:c>
      <x:c r="F16" s="15" t="n">
        <x:v>5200</x:v>
      </x:c>
      <x:c r="G16" s="15" t="n">
        <x:v>6000</x:v>
      </x:c>
      <x:c r="H16" s="2"/>
      <x:c r="I16" s="2"/>
    </x:row>
    <x:row r="17" ht="24" customHeight="1">
      <x:c r="A17" s="2"/>
      <x:c r="B17" s="2"/>
      <x:c r="C17" s="2"/>
      <x:c r="D17" s="2"/>
      <x:c r="E17" s="2"/>
      <x:c r="F17" s="2"/>
      <x:c r="G17" s="2"/>
      <x:c r="H17" s="2"/>
      <x:c r="I17" s="2"/>
    </x:row>
    <x:row r="18" ht="24" customHeight="1">
      <x:c r="A18" s="2"/>
      <x:c r="B18" s="2"/>
      <x:c r="C18" s="8" t="str">
        <x:v>新潮正常化归母利润</x:v>
      </x:c>
      <x:c r="D18" s="8" t="str">
        <x:v>Active</x:v>
      </x:c>
      <x:c r="E18" s="8" t="str">
        <x:v>Bear</x:v>
      </x:c>
      <x:c r="F18" s="8" t="str">
        <x:v>Base</x:v>
      </x:c>
      <x:c r="G18" s="8" t="str">
        <x:v>Bull</x:v>
      </x:c>
      <x:c r="H18" s="2"/>
      <x:c r="I18" s="2"/>
    </x:row>
    <x:row r="19" ht="24" customHeight="1">
      <x:c r="A19" s="2"/>
      <x:c r="B19" s="2"/>
      <x:c r="C19" s="2" t="str">
        <x:v>数值</x:v>
      </x:c>
      <x:c r="D19" s="13" t="n">
        <x:f>IF(CHOOSE($D$8,ISBLANK(E19),ISBLANK(F19),ISBLANK(G19)),"n.a.",CHOOSE($D$8,E19,F19,G19))</x:f>
        <x:v>100</x:v>
      </x:c>
      <x:c r="E19" s="15" t="n">
        <x:v>30</x:v>
      </x:c>
      <x:c r="F19" s="15" t="n">
        <x:v>100</x:v>
      </x:c>
      <x:c r="G19" s="15" t="n">
        <x:v>200</x:v>
      </x:c>
      <x:c r="H19" s="2"/>
      <x:c r="I19" s="2"/>
    </x:row>
    <x:row r="20" ht="24" customHeight="1">
      <x:c r="A20" s="2"/>
      <x:c r="B20" s="2"/>
      <x:c r="C20" s="2"/>
      <x:c r="D20" s="2"/>
      <x:c r="E20" s="2"/>
      <x:c r="F20" s="2"/>
      <x:c r="G20" s="2"/>
      <x:c r="H20" s="2"/>
      <x:c r="I20" s="2"/>
    </x:row>
    <x:row r="21" ht="24" customHeight="1">
      <x:c r="A21" s="2"/>
      <x:c r="B21" s="2"/>
      <x:c r="C21" s="8" t="str">
        <x:v>净利润协同增量</x:v>
      </x:c>
      <x:c r="D21" s="8" t="str">
        <x:v>Active</x:v>
      </x:c>
      <x:c r="E21" s="8" t="str">
        <x:v>Bear</x:v>
      </x:c>
      <x:c r="F21" s="8" t="str">
        <x:v>Base</x:v>
      </x:c>
      <x:c r="G21" s="8" t="str">
        <x:v>Bull</x:v>
      </x:c>
      <x:c r="H21" s="2"/>
      <x:c r="I21" s="2"/>
    </x:row>
    <x:row r="22" ht="24" customHeight="1">
      <x:c r="A22" s="2"/>
      <x:c r="B22" s="2"/>
      <x:c r="C22" s="2" t="str">
        <x:v>数值</x:v>
      </x:c>
      <x:c r="D22" s="13" t="n">
        <x:f>IF(CHOOSE($D$8,ISBLANK(E22),ISBLANK(F22),ISBLANK(G22)),"n.a.",CHOOSE($D$8,E22,F22,G22))</x:f>
        <x:v>200</x:v>
      </x:c>
      <x:c r="E22" s="15" t="n">
        <x:v>0</x:v>
      </x:c>
      <x:c r="F22" s="15" t="n">
        <x:v>200</x:v>
      </x:c>
      <x:c r="G22" s="15" t="n">
        <x:v>500</x:v>
      </x:c>
      <x:c r="H22" s="2"/>
      <x:c r="I22" s="2"/>
    </x:row>
    <x:row r="23" ht="24" customHeight="1">
      <x:c r="A23" s="2"/>
      <x:c r="B23" s="2"/>
      <x:c r="C23" s="2"/>
      <x:c r="D23" s="2"/>
      <x:c r="E23" s="2"/>
      <x:c r="F23" s="2"/>
      <x:c r="G23" s="2"/>
      <x:c r="H23" s="2"/>
      <x:c r="I23" s="2"/>
    </x:row>
    <x:row r="24" ht="24" customHeight="1">
      <x:c r="A24" s="2"/>
      <x:c r="B24" s="2"/>
      <x:c r="C24" s="8" t="str">
        <x:v>购买价分摊摊销等税后影响</x:v>
      </x:c>
      <x:c r="D24" s="8" t="str">
        <x:v>Active</x:v>
      </x:c>
      <x:c r="E24" s="8" t="str">
        <x:v>Bear</x:v>
      </x:c>
      <x:c r="F24" s="8" t="str">
        <x:v>Base</x:v>
      </x:c>
      <x:c r="G24" s="8" t="str">
        <x:v>Bull</x:v>
      </x:c>
      <x:c r="H24" s="2"/>
      <x:c r="I24" s="2"/>
    </x:row>
    <x:row r="25" ht="24" customHeight="1">
      <x:c r="A25" s="2"/>
      <x:c r="B25" s="2"/>
      <x:c r="C25" s="2" t="str">
        <x:v>数值</x:v>
      </x:c>
      <x:c r="D25" s="13" t="n">
        <x:f>IF(CHOOSE($D$8,ISBLANK(E25),ISBLANK(F25),ISBLANK(G25)),"n.a.",CHOOSE($D$8,E25,F25,G25))</x:f>
        <x:v>50</x:v>
      </x:c>
      <x:c r="E25" s="15" t="n">
        <x:v>30</x:v>
      </x:c>
      <x:c r="F25" s="15" t="n">
        <x:v>50</x:v>
      </x:c>
      <x:c r="G25" s="15" t="n">
        <x:v>50</x:v>
      </x:c>
      <x:c r="H25" s="2"/>
      <x:c r="I25" s="2"/>
    </x:row>
    <x:row r="26" ht="24" customHeight="1">
      <x:c r="A26" s="2"/>
      <x:c r="B26" s="2"/>
      <x:c r="C26" s="2"/>
      <x:c r="D26" s="2"/>
      <x:c r="E26" s="2"/>
      <x:c r="F26" s="2"/>
      <x:c r="G26" s="2"/>
      <x:c r="H26" s="2"/>
      <x:c r="I26" s="2"/>
    </x:row>
    <x:row r="27" ht="24" customHeight="1">
      <x:c r="A27" s="2"/>
      <x:c r="B27" s="2"/>
      <x:c r="C27" s="8" t="str">
        <x:v>合理P/E</x:v>
      </x:c>
      <x:c r="D27" s="8" t="str">
        <x:v>Active</x:v>
      </x:c>
      <x:c r="E27" s="8" t="str">
        <x:v>Bear</x:v>
      </x:c>
      <x:c r="F27" s="8" t="str">
        <x:v>Base</x:v>
      </x:c>
      <x:c r="G27" s="8" t="str">
        <x:v>Bull</x:v>
      </x:c>
      <x:c r="H27" s="2"/>
      <x:c r="I27" s="2"/>
    </x:row>
    <x:row r="28" ht="24" customHeight="1">
      <x:c r="A28" s="2"/>
      <x:c r="B28" s="2"/>
      <x:c r="C28" s="2" t="str">
        <x:v>数值</x:v>
      </x:c>
      <x:c r="D28" s="13" t="n">
        <x:f>IF(CHOOSE($D$8,ISBLANK(E28),ISBLANK(F28),ISBLANK(G28)),"n.a.",CHOOSE($D$8,E28,F28,G28))</x:f>
        <x:v>18</x:v>
      </x:c>
      <x:c r="E28" s="15" t="n">
        <x:v>14</x:v>
      </x:c>
      <x:c r="F28" s="15" t="n">
        <x:v>18</x:v>
      </x:c>
      <x:c r="G28" s="15" t="n">
        <x:v>22</x:v>
      </x:c>
      <x:c r="H28" s="2"/>
      <x:c r="I28" s="2"/>
    </x:row>
    <x:row r="29" ht="24" customHeight="1">
      <x:c r="A29" s="2"/>
      <x:c r="B29" s="2"/>
      <x:c r="C29" s="2"/>
      <x:c r="D29" s="2"/>
      <x:c r="E29" s="2"/>
      <x:c r="F29" s="2"/>
      <x:c r="G29" s="2"/>
      <x:c r="H29" s="2"/>
      <x:c r="I29" s="2"/>
    </x:row>
    <x:row r="30" ht="24" customHeight="1">
      <x:c r="A30" s="2"/>
      <x:c r="B30" s="2"/>
      <x:c r="C30" s="2" t="str">
        <x:v>情景名称</x:v>
      </x:c>
      <x:c r="D30" s="10" t="str">
        <x:f>CHOOSE(D8,"Bear","Base","Bull")</x:f>
        <x:v>Base</x:v>
      </x:c>
      <x:c r="E30" s="2"/>
      <x:c r="F30" s="2"/>
      <x:c r="G30" s="2"/>
      <x:c r="H30" s="2"/>
      <x:c r="I30" s="2"/>
    </x:row>
    <x:row r="31" ht="24" customHeight="1">
      <x:c r="A31" s="2"/>
      <x:c r="B31" s="2"/>
      <x:c r="C31" s="2"/>
      <x:c r="D31" s="2"/>
      <x:c r="E31" s="2"/>
      <x:c r="F31" s="2"/>
      <x:c r="G31" s="2"/>
      <x:c r="H31" s="2"/>
      <x:c r="I31" s="2"/>
    </x:row>
    <x:row r="32" ht="24" customHeight="1">
      <x:c r="A32" s="2"/>
      <x:c r="B32" s="2"/>
      <x:c r="C32" s="2"/>
      <x:c r="D32" s="2"/>
      <x:c r="E32" s="2"/>
      <x:c r="F32" s="2"/>
      <x:c r="G32" s="2"/>
      <x:c r="H32" s="2"/>
      <x:c r="I32" s="2"/>
    </x:row>
    <x:row r="33" ht="36" customHeight="1">
      <x:c r="A33" s="2"/>
      <x:c r="B33" s="2"/>
      <x:c r="C33" s="18" t="str">
        <x:v>Base协同2亿元须由点位整合、费用和利用率兑现；不假设附条件批准后可大幅提价。</x:v>
      </x:c>
      <x:c r="D33" s="18"/>
      <x:c r="E33" s="18"/>
      <x:c r="F33" s="18"/>
      <x:c r="G33" s="18"/>
      <x:c r="H33" s="18"/>
      <x:c r="I33" s="18"/>
    </x:row>
    <x:row r="34" ht="24" customHeight="1">
      <x:c r="A34" s="2"/>
      <x:c r="B34" s="2"/>
      <x:c r="C34" s="2"/>
      <x:c r="D34" s="2"/>
      <x:c r="E34" s="2"/>
      <x:c r="F34" s="2"/>
      <x:c r="G34" s="2"/>
      <x:c r="H34" s="2"/>
      <x:c r="I34" s="2"/>
    </x:row>
    <x:row r="35" ht="36" customHeight="1">
      <x:c r="A35" s="2"/>
      <x:c r="B35" s="2"/>
      <x:c r="C35" s="18" t="str">
        <x:v>原分众利润44/52/60亿元由历史经营、2026H1及资本投入约束；未来金融处置收益不纳入。</x:v>
      </x:c>
      <x:c r="D35" s="18"/>
      <x:c r="E35" s="18"/>
      <x:c r="F35" s="18"/>
      <x:c r="G35" s="18"/>
      <x:c r="H35" s="18"/>
      <x:c r="I35" s="18"/>
    </x:row>
    <x:row r="36" ht="24" customHeight="1">
      <x:c r="A36" s="2"/>
      <x:c r="B36" s="2"/>
      <x:c r="C36" s="2"/>
      <x:c r="D36" s="2"/>
      <x:c r="E36" s="2"/>
      <x:c r="F36" s="2"/>
      <x:c r="G36" s="2"/>
      <x:c r="H36" s="2"/>
      <x:c r="I36" s="2"/>
    </x:row>
    <x:row r="37" ht="36" customHeight="1">
      <x:c r="A37" s="2"/>
      <x:c r="B37" s="2"/>
      <x:c r="C37" s="18" t="str">
        <x:v>14/18/22倍为研究判断，反映弱需求/稳态经营/复苏情景，未引用同业均值。</x:v>
      </x:c>
      <x:c r="D37" s="18"/>
      <x:c r="E37" s="18"/>
      <x:c r="F37" s="18"/>
      <x:c r="G37" s="18"/>
      <x:c r="H37" s="18"/>
      <x:c r="I37" s="18"/>
    </x:row>
    <x:row r="38" ht="24" customHeight="1">
      <x:c r="A38" s="2"/>
      <x:c r="B38" s="2"/>
      <x:c r="C38" s="2"/>
      <x:c r="D38" s="2"/>
      <x:c r="E38" s="2"/>
      <x:c r="F38" s="2"/>
      <x:c r="G38" s="2"/>
      <x:c r="H38" s="2"/>
      <x:c r="I38" s="2"/>
    </x:row>
    <x:row r="39" ht="36" customHeight="1">
      <x:c r="A39" s="2"/>
      <x:c r="B39" s="2"/>
      <x:c r="C39" s="18" t="str">
        <x:v>切换交易状态时，利润增量和新增股份同时切换；Bear仍按完成收购但协同失效建模。</x:v>
      </x:c>
      <x:c r="D39" s="18"/>
      <x:c r="E39" s="18"/>
      <x:c r="F39" s="18"/>
      <x:c r="G39" s="18"/>
      <x:c r="H39" s="18"/>
      <x:c r="I39" s="18"/>
    </x:row>
    <x:row r="40" ht="24" customHeight="1">
      <x:c r="A40" s="2"/>
      <x:c r="B40" s="2"/>
      <x:c r="C40" s="2"/>
      <x:c r="D40" s="2"/>
      <x:c r="E40" s="2"/>
      <x:c r="F40" s="2"/>
      <x:c r="G40" s="2"/>
      <x:c r="H40" s="2"/>
      <x:c r="I40" s="2"/>
    </x:row>
    <x:row r="41" ht="36" customHeight="1">
      <x:c r="A41" s="2"/>
      <x:c r="B41" s="2"/>
      <x:c r="C41" s="18" t="str">
        <x:v>80%派息只用于交叉检验；历史承诺期和2027继续派息假设应分别理解。</x:v>
      </x:c>
      <x:c r="D41" s="18"/>
      <x:c r="E41" s="18"/>
      <x:c r="F41" s="18"/>
      <x:c r="G41" s="18"/>
      <x:c r="H41" s="18"/>
      <x:c r="I41" s="18"/>
    </x:row>
    <x:row r="42" ht="24" customHeight="1">
      <x:c r="A42" s="2"/>
      <x:c r="B42" s="2"/>
      <x:c r="C42" s="2"/>
      <x:c r="D42" s="2"/>
      <x:c r="E42" s="2"/>
      <x:c r="F42" s="2"/>
      <x:c r="G42" s="2"/>
      <x:c r="H42" s="2"/>
      <x:c r="I42" s="2"/>
    </x:row>
    <x:row r="43" ht="24" customHeight="1">
      <x:c r="A43" s="2"/>
      <x:c r="B43" s="2"/>
      <x:c r="C43" s="2"/>
      <x:c r="D43" s="2"/>
      <x:c r="E43" s="2"/>
      <x:c r="F43" s="2"/>
      <x:c r="G43" s="2"/>
      <x:c r="H43" s="2"/>
      <x:c r="I43" s="2"/>
    </x:row>
  </x:sheetData>
  <x:mergeCells>
    <x:mergeCell ref="C33:I33"/>
    <x:mergeCell ref="C35:I35"/>
    <x:mergeCell ref="C37:I37"/>
    <x:mergeCell ref="C39:I39"/>
    <x:mergeCell ref="C41:I41"/>
  </x:mergeCells>
  <x:dataValidations count="2">
    <x:dataValidation type="whole" operator="between" sqref="D8">
      <x:formula1>1</x:formula1>
      <x:formula2>3</x:formula2>
    </x:dataValidation>
    <x:dataValidation type="whole" operator="between" sqref="D9">
      <x:formula1>0</x:formula1>
      <x:formula2>1</x:formula2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" hidden="0" customWidth="1"/>
    <x:col min="2" max="2" width="3" hidden="0" customWidth="1"/>
    <x:col min="3" max="3" width="36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43" hidden="0" customWidth="1"/>
    <x:col min="9" max="9" width="19" hidden="0" customWidth="1"/>
  </x:cols>
  <x:sheetData>
    <x:row r="1" ht="24" customHeight="1">
      <x:c r="A1" s="2"/>
      <x:c r="B1" s="2"/>
      <x:c r="C1" s="2"/>
      <x:c r="D1" s="2"/>
      <x:c r="E1" s="2"/>
      <x:c r="F1" s="2"/>
      <x:c r="G1" s="2"/>
      <x:c r="H1" s="2"/>
      <x:c r="I1" s="2"/>
    </x:row>
    <x:row r="2" ht="24" customHeight="1">
      <x:c r="A2" s="2"/>
      <x:c r="B2" s="2"/>
      <x:c r="C2" s="3" t="str">
        <x:v>实际业绩与盈利口径</x:v>
      </x:c>
      <x:c r="D2" s="2"/>
      <x:c r="E2" s="2"/>
      <x:c r="F2" s="2"/>
      <x:c r="G2" s="2"/>
      <x:c r="H2" s="2"/>
      <x:c r="I2" s="2"/>
    </x:row>
    <x:row r="3" ht="24" customHeight="1">
      <x:c r="A3" s="2"/>
      <x:c r="B3" s="2"/>
      <x:c r="C3" s="4"/>
      <x:c r="D3" s="4"/>
      <x:c r="E3" s="4"/>
      <x:c r="F3" s="4"/>
      <x:c r="G3" s="4"/>
      <x:c r="H3" s="4"/>
      <x:c r="I3" s="4"/>
    </x:row>
    <x:row r="4" ht="24" customHeight="1">
      <x:c r="A4" s="2"/>
      <x:c r="B4" s="2"/>
      <x:c r="C4" s="5" t="str">
        <x:v>人民币百万元；年度和半年度分列；未并入新潮</x:v>
      </x:c>
      <x:c r="D4" s="2"/>
      <x:c r="E4" s="2"/>
      <x:c r="F4" s="2"/>
      <x:c r="G4" s="2"/>
      <x:c r="H4" s="2"/>
      <x:c r="I4" s="2"/>
    </x:row>
    <x:row r="5" ht="24" customHeight="1">
      <x:c r="A5" s="2"/>
      <x:c r="B5" s="2"/>
      <x:c r="C5" s="2"/>
      <x:c r="D5" s="2"/>
      <x:c r="E5" s="2"/>
      <x:c r="F5" s="2"/>
      <x:c r="G5" s="2"/>
      <x:c r="H5" s="2"/>
      <x:c r="I5" s="2"/>
    </x:row>
    <x:row r="6" ht="24" customHeight="1">
      <x:c r="A6" s="2"/>
      <x:c r="B6" s="2"/>
      <x:c r="C6" s="8" t="str">
        <x:v>项目</x:v>
      </x:c>
      <x:c r="D6" s="8" t="str">
        <x:v>2024A</x:v>
      </x:c>
      <x:c r="E6" s="8" t="str">
        <x:v>2025A</x:v>
      </x:c>
      <x:c r="F6" s="8" t="str">
        <x:v>2025H1</x:v>
      </x:c>
      <x:c r="G6" s="8" t="str">
        <x:v>2026H1</x:v>
      </x:c>
      <x:c r="H6" s="8" t="str">
        <x:v>来源</x:v>
      </x:c>
      <x:c r="I6" s="2"/>
    </x:row>
    <x:row r="7" ht="24" customHeight="1">
      <x:c r="A7" s="2"/>
      <x:c r="B7" s="2"/>
      <x:c r="C7" s="2" t="str">
        <x:v>营业收入</x:v>
      </x:c>
      <x:c r="D7" s="15" t="n">
        <x:v>12262.10280788</x:v>
      </x:c>
      <x:c r="E7" s="15" t="n">
        <x:v>12758.69654216</x:v>
      </x:c>
      <x:c r="F7" s="15" t="n">
        <x:v>6112.3567051</x:v>
      </x:c>
      <x:c r="G7" s="15" t="n">
        <x:v>5991.37562917</x:v>
      </x:c>
      <x:c r="H7" s="2" t="str">
        <x:v>S01 p8 / S02 p7</x:v>
      </x:c>
      <x:c r="I7" s="2"/>
    </x:row>
    <x:row r="8" ht="24" customHeight="1">
      <x:c r="A8" s="2"/>
      <x:c r="B8" s="2"/>
      <x:c r="C8" s="2" t="str">
        <x:v>归母净利润</x:v>
      </x:c>
      <x:c r="D8" s="15" t="n">
        <x:v>5155.39413642</x:v>
      </x:c>
      <x:c r="E8" s="15" t="n">
        <x:v>2946.33250088</x:v>
      </x:c>
      <x:c r="F8" s="15" t="n">
        <x:v>2664.77962119</x:v>
      </x:c>
      <x:c r="G8" s="15" t="n">
        <x:v>3128.05574326</x:v>
      </x:c>
      <x:c r="H8" s="2" t="str">
        <x:v>同上</x:v>
      </x:c>
      <x:c r="I8" s="2"/>
    </x:row>
    <x:row r="9" ht="24" customHeight="1">
      <x:c r="A9" s="2"/>
      <x:c r="B9" s="2"/>
      <x:c r="C9" s="2" t="str">
        <x:v>扣非归母净利润</x:v>
      </x:c>
      <x:c r="D9" s="15" t="n">
        <x:v>4667.9873797</x:v>
      </x:c>
      <x:c r="E9" s="15" t="n">
        <x:v>2719.39199326</x:v>
      </x:c>
      <x:c r="F9" s="15" t="n">
        <x:v>2464.56446489</x:v>
      </x:c>
      <x:c r="G9" s="15" t="n">
        <x:v>2290.53069517</x:v>
      </x:c>
      <x:c r="H9" s="2" t="str">
        <x:v>同上</x:v>
      </x:c>
      <x:c r="I9" s="2"/>
    </x:row>
    <x:row r="10" ht="24" customHeight="1">
      <x:c r="A10" s="2"/>
      <x:c r="B10" s="2"/>
      <x:c r="C10" s="2" t="str">
        <x:v>经营现金流</x:v>
      </x:c>
      <x:c r="D10" s="15" t="n">
        <x:v>6641.81119052</x:v>
      </x:c>
      <x:c r="E10" s="15" t="n">
        <x:v>7208.81342981</x:v>
      </x:c>
      <x:c r="F10" s="15" t="n">
        <x:v>3401.9897479</x:v>
      </x:c>
      <x:c r="G10" s="15" t="n">
        <x:v>4453.4280324</x:v>
      </x:c>
      <x:c r="H10" s="2" t="str">
        <x:v>S01 p90 / S02 p54</x:v>
      </x:c>
      <x:c r="I10" s="2"/>
    </x:row>
    <x:row r="11" ht="24" customHeight="1">
      <x:c r="A11" s="2"/>
      <x:c r="B11" s="2"/>
      <x:c r="C11" s="2" t="str">
        <x:v>现金资本开支</x:v>
      </x:c>
      <x:c r="D11" s="15" t="n">
        <x:v>318.34491555</x:v>
      </x:c>
      <x:c r="E11" s="15" t="n">
        <x:v>157.00127943</x:v>
      </x:c>
      <x:c r="F11" s="15" t="n">
        <x:v>96.75423745</x:v>
      </x:c>
      <x:c r="G11" s="15" t="n">
        <x:v>492.25924849</x:v>
      </x:c>
      <x:c r="H11" s="2" t="str">
        <x:v>S01 p90 / S02 p54</x:v>
      </x:c>
      <x:c r="I11" s="2"/>
    </x:row>
    <x:row r="12" ht="24" customHeight="1">
      <x:c r="A12" s="2"/>
      <x:c r="B12" s="2"/>
      <x:c r="C12" s="2" t="str">
        <x:v>披露租赁现金付款</x:v>
      </x:c>
      <x:c r="D12" s="15" t="n">
        <x:v>3060.45064407</x:v>
      </x:c>
      <x:c r="E12" s="15" t="n">
        <x:v>2643.24553077</x:v>
      </x:c>
      <x:c r="F12" s="15" t="n">
        <x:v>1333.28810514</x:v>
      </x:c>
      <x:c r="G12" s="15" t="n">
        <x:v>1217.72567975</x:v>
      </x:c>
      <x:c r="H12" s="2" t="str">
        <x:v>S01 p20 / S02 p137</x:v>
      </x:c>
      <x:c r="I12" s="2"/>
    </x:row>
    <x:row r="13" ht="24" customHeight="1">
      <x:c r="A13" s="2"/>
      <x:c r="B13" s="2"/>
      <x:c r="C13" s="2" t="str">
        <x:v>权益法投资收益</x:v>
      </x:c>
      <x:c r="D13" s="15" t="n">
        <x:v>498.35987304</x:v>
      </x:c>
      <x:c r="E13" s="15" t="n">
        <x:v>55.66570033</x:v>
      </x:c>
      <x:c r="F13" s="15" t="n">
        <x:v>345.67564136</x:v>
      </x:c>
      <x:c r="G13" s="15" t="n">
        <x:v>2.67342059</x:v>
      </x:c>
      <x:c r="H13" s="2" t="str">
        <x:v>S01 p166 / S02 p132</x:v>
      </x:c>
      <x:c r="I13" s="2"/>
    </x:row>
    <x:row r="14" ht="24" customHeight="1">
      <x:c r="A14" s="2"/>
      <x:c r="B14" s="2"/>
      <x:c r="C14" s="2" t="str">
        <x:v>数禾投资减值（税前）</x:v>
      </x:c>
      <x:c r="D14" s="15" t="n">
        <x:v>0</x:v>
      </x:c>
      <x:c r="E14" s="15" t="n">
        <x:v>2152.34238109</x:v>
      </x:c>
      <x:c r="F14" s="15" t="n">
        <x:v>0</x:v>
      </x:c>
      <x:c r="G14" s="15" t="n">
        <x:v>0</x:v>
      </x:c>
      <x:c r="H14" s="2" t="str">
        <x:v>S01 p143/167</x:v>
      </x:c>
      <x:c r="I14" s="2"/>
    </x:row>
    <x:row r="15" ht="24" customHeight="1">
      <x:c r="A15" s="2"/>
      <x:c r="B15" s="2"/>
      <x:c r="C15" s="2" t="str">
        <x:v>扣非加回减值参考</x:v>
      </x:c>
      <x:c r="D15" s="12" t="n">
        <x:f>D9+D14*(1-'Assumptions'!$D$11)</x:f>
        <x:v>4667.9873797</x:v>
      </x:c>
      <x:c r="E15" s="12" t="n">
        <x:f>E9+E14*(1-'Assumptions'!$D$11)</x:f>
        <x:v>4871.7343743500005</x:v>
      </x:c>
      <x:c r="F15" s="12" t="n">
        <x:f>F9+F14*(1-'Assumptions'!$D$11)</x:f>
        <x:v>2464.56446489</x:v>
      </x:c>
      <x:c r="G15" s="12" t="n">
        <x:f>G9+G14*(1-'Assumptions'!$D$11)</x:f>
        <x:v>2290.53069517</x:v>
      </x:c>
      <x:c r="H15" s="2" t="str">
        <x:v>假设税影响见Assumptions D11</x:v>
      </x:c>
      <x:c r="I15" s="2"/>
    </x:row>
    <x:row r="16" ht="24" customHeight="1">
      <x:c r="A16" s="2"/>
      <x:c r="B16" s="2"/>
      <x:c r="C16" s="2" t="str">
        <x:v>扣非减权益法收益参考</x:v>
      </x:c>
      <x:c r="D16" s="13" t="n">
        <x:f>D9-D13</x:f>
        <x:v>4169.62750666</x:v>
      </x:c>
      <x:c r="E16" s="13" t="n">
        <x:f>E9-E13</x:f>
        <x:v>2663.72629293</x:v>
      </x:c>
      <x:c r="F16" s="13" t="n">
        <x:f>F9-F13</x:f>
        <x:v>2118.88882353</x:v>
      </x:c>
      <x:c r="G16" s="13" t="n">
        <x:f>G9-G13</x:f>
        <x:v>2287.8572745799997</x:v>
      </x:c>
      <x:c r="H16" s="2" t="str">
        <x:v>简化税前扣除，不等于广告净利</x:v>
      </x:c>
      <x:c r="I16" s="2"/>
    </x:row>
    <x:row r="17" ht="24" customHeight="1">
      <x:c r="A17" s="2"/>
      <x:c r="B17" s="2"/>
      <x:c r="C17" s="2" t="str">
        <x:v>租赁付款后现金流</x:v>
      </x:c>
      <x:c r="D17" s="13" t="n">
        <x:f>D10-SUM(D11:D12)</x:f>
        <x:v>3263.0156309000004</x:v>
      </x:c>
      <x:c r="E17" s="13" t="n">
        <x:f>E10-SUM(E11:E12)</x:f>
        <x:v>4408.56661961</x:v>
      </x:c>
      <x:c r="F17" s="13" t="n">
        <x:f>F10-SUM(F11:F12)</x:f>
        <x:v>1971.9474053100002</x:v>
      </x:c>
      <x:c r="G17" s="13" t="n">
        <x:f>G10-SUM(G11:G12)</x:f>
        <x:v>2743.44310416</x:v>
      </x:c>
      <x:c r="H17" s="2" t="str">
        <x:v>CFO减资本开支及披露租赁现金</x:v>
      </x:c>
      <x:c r="I17" s="2"/>
    </x:row>
    <x:row r="18" ht="24" customHeight="1">
      <x:c r="A18" s="2"/>
      <x:c r="B18" s="2"/>
      <x:c r="C18" s="2" t="str">
        <x:v>扣非归母净利率</x:v>
      </x:c>
      <x:c r="D18" s="14" t="n">
        <x:f>D9/D7</x:f>
        <x:v>0.38068408435625006</x:v>
      </x:c>
      <x:c r="E18" s="14" t="n">
        <x:f>E9/E7</x:f>
        <x:v>0.2131402674461303</x:v>
      </x:c>
      <x:c r="F18" s="14" t="n">
        <x:f>F9/F7</x:f>
        <x:v>0.4032101828798094</x:v>
      </x:c>
      <x:c r="G18" s="14" t="n">
        <x:f>G9/G7</x:f>
        <x:v>0.38230463869068293</x:v>
      </x:c>
      <x:c r="H18" s="2" t="str">
        <x:v>研究计算</x:v>
      </x:c>
      <x:c r="I18" s="2"/>
    </x:row>
    <x:row r="19" ht="24" customHeight="1">
      <x:c r="A19" s="2"/>
      <x:c r="B19" s="2"/>
      <x:c r="C19" s="2"/>
      <x:c r="D19" s="2"/>
      <x:c r="E19" s="2"/>
      <x:c r="F19" s="2"/>
      <x:c r="G19" s="2"/>
      <x:c r="H19" s="2"/>
      <x:c r="I19" s="2"/>
    </x:row>
    <x:row r="20" ht="24" customHeight="1">
      <x:c r="A20" s="2"/>
      <x:c r="B20" s="2"/>
      <x:c r="C20" s="2"/>
      <x:c r="D20" s="2"/>
      <x:c r="E20" s="2"/>
      <x:c r="F20" s="2"/>
      <x:c r="G20" s="2"/>
      <x:c r="H20" s="2"/>
      <x:c r="I20" s="2"/>
    </x:row>
    <x:row r="21" ht="24" customHeight="1">
      <x:c r="A21" s="2"/>
      <x:c r="B21" s="2"/>
      <x:c r="C21" s="8" t="str">
        <x:v>H1媒体与客户</x:v>
      </x:c>
      <x:c r="D21" s="8" t="str">
        <x:v>2025H1</x:v>
      </x:c>
      <x:c r="E21" s="8" t="str">
        <x:v>2026H1</x:v>
      </x:c>
      <x:c r="F21" s="8" t="str">
        <x:v>增速/变动</x:v>
      </x:c>
      <x:c r="G21" s="8" t="str">
        <x:v>来源</x:v>
      </x:c>
      <x:c r="H21" s="2"/>
      <x:c r="I21" s="2"/>
    </x:row>
    <x:row r="22" ht="24" customHeight="1">
      <x:c r="A22" s="2"/>
      <x:c r="B22" s="2"/>
      <x:c r="C22" s="2" t="str">
        <x:v>楼宇媒体收入</x:v>
      </x:c>
      <x:c r="D22" s="11" t="n">
        <x:v>5631.77099349</x:v>
      </x:c>
      <x:c r="E22" s="11" t="n">
        <x:v>5628.81509739</x:v>
      </x:c>
      <x:c r="F22" s="14" t="n">
        <x:f>E22/D22-1</x:f>
        <x:v>-0.0005248608481092099</x:v>
      </x:c>
      <x:c r="G22" s="2" t="str">
        <x:v>S02 p15/16/168</x:v>
      </x:c>
      <x:c r="H22" s="2"/>
      <x:c r="I22" s="2"/>
    </x:row>
    <x:row r="23" ht="24" customHeight="1">
      <x:c r="A23" s="2"/>
      <x:c r="B23" s="2"/>
      <x:c r="C23" s="2" t="str">
        <x:v>影院媒体收入</x:v>
      </x:c>
      <x:c r="D23" s="11" t="n">
        <x:v>468.51741309</x:v>
      </x:c>
      <x:c r="E23" s="11" t="n">
        <x:v>345.35476981</x:v>
      </x:c>
      <x:c r="F23" s="14" t="n">
        <x:f>E23/D23-1</x:f>
        <x:v>-0.2628774082647405</x:v>
      </x:c>
      <x:c r="G23" s="2" t="str">
        <x:v>S02 p15/16/168</x:v>
      </x:c>
      <x:c r="H23" s="2"/>
      <x:c r="I23" s="2"/>
    </x:row>
    <x:row r="24" ht="24" customHeight="1">
      <x:c r="A24" s="2"/>
      <x:c r="B24" s="2"/>
      <x:c r="C24" s="2" t="str">
        <x:v>楼宇日用消费品收入</x:v>
      </x:c>
      <x:c r="D24" s="11" t="n">
        <x:v>3153.67019528</x:v>
      </x:c>
      <x:c r="E24" s="11" t="n">
        <x:v>2746.57655859</x:v>
      </x:c>
      <x:c r="F24" s="14" t="n">
        <x:f>E24/D24-1</x:f>
        <x:v>-0.12908567208431765</x:v>
      </x:c>
      <x:c r="G24" s="2" t="str">
        <x:v>S02 p15/16/168</x:v>
      </x:c>
      <x:c r="H24" s="2"/>
      <x:c r="I24" s="2"/>
    </x:row>
    <x:row r="25" ht="24" customHeight="1">
      <x:c r="A25" s="2"/>
      <x:c r="B25" s="2"/>
      <x:c r="C25" s="2" t="str">
        <x:v>楼宇互联网收入</x:v>
      </x:c>
      <x:c r="D25" s="11" t="n">
        <x:v>961.54740419</x:v>
      </x:c>
      <x:c r="E25" s="11" t="n">
        <x:v>1593.49820167</x:v>
      </x:c>
      <x:c r="F25" s="14" t="n">
        <x:f>E25/D25-1</x:f>
        <x:v>0.6572227169729095</x:v>
      </x:c>
      <x:c r="G25" s="2" t="str">
        <x:v>S02 p15/16/168</x:v>
      </x:c>
      <x:c r="H25" s="2"/>
      <x:c r="I25" s="2"/>
    </x:row>
    <x:row r="26" ht="24" customHeight="1">
      <x:c r="A26" s="2"/>
      <x:c r="B26" s="2"/>
      <x:c r="C26" s="2" t="str">
        <x:v>合并毛利率</x:v>
      </x:c>
      <x:c r="D26" s="16" t="n">
        <x:v>0.6828825063493593</x:v>
      </x:c>
      <x:c r="E26" s="16" t="n">
        <x:v>0.7053822026754593</x:v>
      </x:c>
      <x:c r="F26" s="14" t="n">
        <x:f>E26-D26</x:f>
        <x:v>0.02249969632609994</x:v>
      </x:c>
      <x:c r="G26" s="2" t="str">
        <x:v>S02 p15/16/168</x:v>
      </x:c>
      <x:c r="H26" s="2"/>
      <x:c r="I26" s="2"/>
    </x:row>
    <x:row r="27" ht="24" customHeight="1">
      <x:c r="A27" s="2"/>
      <x:c r="B27" s="2"/>
      <x:c r="C27" s="2" t="str">
        <x:v>销售费用</x:v>
      </x:c>
      <x:c r="D27" s="11" t="n">
        <x:v>1161.39232468</x:v>
      </x:c>
      <x:c r="E27" s="11" t="n">
        <x:v>1029.12413174</x:v>
      </x:c>
      <x:c r="F27" s="14" t="n">
        <x:f>E27/D27-1</x:f>
        <x:v>-0.11388760725316838</x:v>
      </x:c>
      <x:c r="G27" s="2" t="str">
        <x:v>S02 p15/16/168</x:v>
      </x:c>
      <x:c r="H27" s="2"/>
      <x:c r="I27" s="2"/>
    </x:row>
    <x:row r="28" ht="24" customHeight="1">
      <x:c r="A28" s="2"/>
      <x:c r="B28" s="2"/>
      <x:c r="C28" s="2" t="str">
        <x:v>头部客户阿里广告收入</x:v>
      </x:c>
      <x:c r="D28" s="11" t="n">
        <x:v>491.05782242</x:v>
      </x:c>
      <x:c r="E28" s="11" t="n">
        <x:v>1263.73986495</x:v>
      </x:c>
      <x:c r="F28" s="14" t="n">
        <x:f>E28/D28-1</x:f>
        <x:v>1.5735052111014496</x:v>
      </x:c>
      <x:c r="G28" s="2" t="str">
        <x:v>S02 p15/16/168</x:v>
      </x:c>
      <x:c r="H28" s="2"/>
      <x:c r="I28" s="2"/>
    </x:row>
    <x:row r="29" ht="24" customHeight="1">
      <x:c r="A29" s="2"/>
      <x:c r="B29" s="2"/>
      <x:c r="C29" s="2"/>
      <x:c r="D29" s="2"/>
      <x:c r="E29" s="2"/>
      <x:c r="F29" s="2"/>
      <x:c r="G29" s="2"/>
      <x:c r="H29" s="2"/>
      <x:c r="I29" s="2"/>
    </x:row>
    <x:row r="30" ht="24" customHeight="1">
      <x:c r="A30" s="2"/>
      <x:c r="B30" s="2"/>
      <x:c r="C30" s="2"/>
      <x:c r="D30" s="2"/>
      <x:c r="E30" s="2"/>
      <x:c r="F30" s="2"/>
      <x:c r="G30" s="2"/>
      <x:c r="H30" s="2"/>
      <x:c r="I30" s="2"/>
    </x:row>
    <x:row r="31" ht="36" customHeight="1">
      <x:c r="A31" s="2"/>
      <x:c r="B31" s="2"/>
      <x:c r="C31" s="18" t="str">
        <x:v>数禾减值进入2025扣非，处置资本公积转收益进入2026非经常性；须同时检查两年口径。</x:v>
      </x:c>
      <x:c r="D31" s="18"/>
      <x:c r="E31" s="18"/>
      <x:c r="F31" s="18"/>
      <x:c r="G31" s="18"/>
      <x:c r="H31" s="18"/>
      <x:c r="I31" s="18"/>
    </x:row>
    <x:row r="32" ht="24" customHeight="1">
      <x:c r="A32" s="2"/>
      <x:c r="B32" s="2"/>
      <x:c r="C32" s="2"/>
      <x:c r="D32" s="2"/>
      <x:c r="E32" s="2"/>
      <x:c r="F32" s="2"/>
      <x:c r="G32" s="2"/>
      <x:c r="H32" s="2"/>
      <x:c r="I32" s="2"/>
    </x:row>
    <x:row r="33" ht="36" customHeight="1">
      <x:c r="A33" s="2"/>
      <x:c r="B33" s="2"/>
      <x:c r="C33" s="18" t="str">
        <x:v>减值税效应未单独披露。加回参考假设税效应0%，可改25%检验；不称审计正常化利润。</x:v>
      </x:c>
      <x:c r="D33" s="18"/>
      <x:c r="E33" s="18"/>
      <x:c r="F33" s="18"/>
      <x:c r="G33" s="18"/>
      <x:c r="H33" s="18"/>
      <x:c r="I33" s="18"/>
    </x:row>
    <x:row r="34" ht="24" customHeight="1">
      <x:c r="A34" s="2"/>
      <x:c r="B34" s="2"/>
      <x:c r="C34" s="2"/>
      <x:c r="D34" s="2"/>
      <x:c r="E34" s="2"/>
      <x:c r="F34" s="2"/>
      <x:c r="G34" s="2"/>
      <x:c r="H34" s="2"/>
      <x:c r="I34" s="2"/>
    </x:row>
    <x:row r="35" ht="36" customHeight="1">
      <x:c r="A35" s="2"/>
      <x:c r="B35" s="2"/>
      <x:c r="C35" s="18" t="str">
        <x:v>简单剔除权益法收益后H1参考增长约8%；缺税与归属桥，不直接作为估值利润。</x:v>
      </x:c>
      <x:c r="D35" s="18"/>
      <x:c r="E35" s="18"/>
      <x:c r="F35" s="18"/>
      <x:c r="G35" s="18"/>
      <x:c r="H35" s="18"/>
      <x:c r="I35" s="18"/>
    </x:row>
    <x:row r="36" ht="24" customHeight="1">
      <x:c r="A36" s="2"/>
      <x:c r="B36" s="2"/>
      <x:c r="C36" s="2"/>
      <x:c r="D36" s="2"/>
      <x:c r="E36" s="2"/>
      <x:c r="F36" s="2"/>
      <x:c r="G36" s="2"/>
      <x:c r="H36" s="2"/>
      <x:c r="I36" s="2"/>
    </x:row>
    <x:row r="37" ht="36" customHeight="1">
      <x:c r="A37" s="2"/>
      <x:c r="B37" s="2"/>
      <x:c r="C37" s="18" t="str">
        <x:v>租赁后现金为合并现金代理，不含并购及少数股东分配；回款释放不能永久年化。</x:v>
      </x:c>
      <x:c r="D37" s="18"/>
      <x:c r="E37" s="18"/>
      <x:c r="F37" s="18"/>
      <x:c r="G37" s="18"/>
      <x:c r="H37" s="18"/>
      <x:c r="I37" s="18"/>
    </x:row>
    <x:row r="38" ht="24" customHeight="1">
      <x:c r="A38" s="2"/>
      <x:c r="B38" s="2"/>
      <x:c r="C38" s="2"/>
      <x:c r="D38" s="2"/>
      <x:c r="E38" s="2"/>
      <x:c r="F38" s="2"/>
      <x:c r="G38" s="2"/>
      <x:c r="H38" s="2"/>
      <x:c r="I38" s="2"/>
    </x:row>
    <x:row r="39" ht="24" customHeight="1">
      <x:c r="A39" s="2"/>
      <x:c r="B39" s="2"/>
      <x:c r="C39" s="2"/>
      <x:c r="D39" s="2"/>
      <x:c r="E39" s="2"/>
      <x:c r="F39" s="2"/>
      <x:c r="G39" s="2"/>
      <x:c r="H39" s="2"/>
      <x:c r="I39" s="2"/>
    </x:row>
  </x:sheetData>
  <x:mergeCells>
    <x:mergeCell ref="C31:I31"/>
    <x:mergeCell ref="C33:I33"/>
    <x:mergeCell ref="C35:I35"/>
    <x:mergeCell ref="C37:I37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" hidden="0" customWidth="1"/>
    <x:col min="2" max="2" width="3" hidden="0" customWidth="1"/>
    <x:col min="3" max="3" width="36" hidden="0" customWidth="1"/>
    <x:col min="4" max="4" width="19" hidden="0" customWidth="1"/>
    <x:col min="5" max="5" width="19" hidden="0" customWidth="1"/>
    <x:col min="6" max="6" width="44" hidden="0" customWidth="1"/>
    <x:col min="7" max="7" width="19" hidden="0" customWidth="1"/>
    <x:col min="8" max="8" width="19" hidden="0" customWidth="1"/>
  </x:cols>
  <x:sheetData>
    <x:row r="1" ht="24" customHeight="1">
      <x:c r="A1" s="2"/>
      <x:c r="B1" s="2"/>
      <x:c r="C1" s="2"/>
      <x:c r="D1" s="2"/>
      <x:c r="E1" s="2"/>
      <x:c r="F1" s="2"/>
      <x:c r="G1" s="2"/>
      <x:c r="H1" s="2"/>
    </x:row>
    <x:row r="2" ht="24" customHeight="1">
      <x:c r="A2" s="2"/>
      <x:c r="B2" s="2"/>
      <x:c r="C2" s="3" t="str">
        <x:v>现金、债务及分配安排</x:v>
      </x:c>
      <x:c r="D2" s="2"/>
      <x:c r="E2" s="2"/>
      <x:c r="F2" s="2"/>
      <x:c r="G2" s="2"/>
      <x:c r="H2" s="2"/>
    </x:row>
    <x:row r="3" ht="24" customHeight="1">
      <x:c r="A3" s="2"/>
      <x:c r="B3" s="2"/>
      <x:c r="C3" s="4"/>
      <x:c r="D3" s="4"/>
      <x:c r="E3" s="4"/>
      <x:c r="F3" s="4"/>
      <x:c r="G3" s="4"/>
      <x:c r="H3" s="4"/>
    </x:row>
    <x:row r="4" ht="24" customHeight="1">
      <x:c r="A4" s="2"/>
      <x:c r="B4" s="2"/>
      <x:c r="C4" s="5" t="str">
        <x:v>人民币百万元；2026H1静态余额，非10月实时资产负债表</x:v>
      </x:c>
      <x:c r="D4" s="2"/>
      <x:c r="E4" s="2"/>
      <x:c r="F4" s="2"/>
      <x:c r="G4" s="2"/>
      <x:c r="H4" s="2"/>
    </x:row>
    <x:row r="5" ht="24" customHeight="1">
      <x:c r="A5" s="2"/>
      <x:c r="B5" s="2"/>
      <x:c r="C5" s="2"/>
      <x:c r="D5" s="2"/>
      <x:c r="E5" s="2"/>
      <x:c r="F5" s="2"/>
      <x:c r="G5" s="2"/>
      <x:c r="H5" s="2"/>
    </x:row>
    <x:row r="6" ht="24" customHeight="1">
      <x:c r="A6" s="2"/>
      <x:c r="B6" s="2"/>
      <x:c r="C6" s="8" t="str">
        <x:v>项目</x:v>
      </x:c>
      <x:c r="D6" s="8" t="str">
        <x:v>2025末</x:v>
      </x:c>
      <x:c r="E6" s="8" t="str">
        <x:v>2026H1末</x:v>
      </x:c>
      <x:c r="F6" s="8" t="str">
        <x:v>来源</x:v>
      </x:c>
      <x:c r="G6" s="2"/>
      <x:c r="H6" s="2"/>
    </x:row>
    <x:row r="7" ht="24" customHeight="1">
      <x:c r="A7" s="2"/>
      <x:c r="B7" s="2"/>
      <x:c r="C7" s="2" t="str">
        <x:v>货币资金</x:v>
      </x:c>
      <x:c r="D7" s="11" t="n">
        <x:v>3238.5080824</x:v>
      </x:c>
      <x:c r="E7" s="11" t="n">
        <x:v>4028.18548403</x:v>
      </x:c>
      <x:c r="F7" s="2" t="str">
        <x:v>S02 p48/49/104/118/119/123</x:v>
      </x:c>
      <x:c r="G7" s="2"/>
      <x:c r="H7" s="2"/>
    </x:row>
    <x:row r="8" ht="24" customHeight="1">
      <x:c r="A8" s="2"/>
      <x:c r="B8" s="2"/>
      <x:c r="C8" s="2" t="str">
        <x:v>交易性金融资产</x:v>
      </x:c>
      <x:c r="D8" s="11" t="n">
        <x:v>4315.22672059</x:v>
      </x:c>
      <x:c r="E8" s="11" t="n">
        <x:v>6781.69767541</x:v>
      </x:c>
      <x:c r="F8" s="2" t="str">
        <x:v>S02 p48/49/104/118/119/123</x:v>
      </x:c>
      <x:c r="G8" s="2"/>
      <x:c r="H8" s="2"/>
    </x:row>
    <x:row r="9" ht="24" customHeight="1">
      <x:c r="A9" s="2"/>
      <x:c r="B9" s="2"/>
      <x:c r="C9" s="2" t="str">
        <x:v>一年内定期存款与利息</x:v>
      </x:c>
      <x:c r="D9" s="11" t="n">
        <x:v>252.41395581</x:v>
      </x:c>
      <x:c r="E9" s="11" t="n">
        <x:v>469.58586534</x:v>
      </x:c>
      <x:c r="F9" s="2" t="str">
        <x:v>S02 p48/49/104/118/119/123</x:v>
      </x:c>
      <x:c r="G9" s="2"/>
      <x:c r="H9" s="2"/>
    </x:row>
    <x:row r="10" ht="24" customHeight="1">
      <x:c r="A10" s="2"/>
      <x:c r="B10" s="2"/>
      <x:c r="C10" s="2" t="str">
        <x:v>一年内到期长期存款与利息</x:v>
      </x:c>
      <x:c r="D10" s="11" t="n">
        <x:v>46.10576711</x:v>
      </x:c>
      <x:c r="E10" s="11" t="n">
        <x:v>91.79753422</x:v>
      </x:c>
      <x:c r="F10" s="2" t="str">
        <x:v>S02 p48/49/104/118/119/123</x:v>
      </x:c>
      <x:c r="G10" s="2"/>
      <x:c r="H10" s="2"/>
    </x:row>
    <x:row r="11" ht="24" customHeight="1">
      <x:c r="A11" s="2"/>
      <x:c r="B11" s="2"/>
      <x:c r="C11" s="2" t="str">
        <x:v>一年以上存款与利息</x:v>
      </x:c>
      <x:c r="D11" s="11" t="n">
        <x:v>476.17964381</x:v>
      </x:c>
      <x:c r="E11" s="11" t="n">
        <x:v>435.89643835</x:v>
      </x:c>
      <x:c r="F11" s="2" t="str">
        <x:v>S02 p48/49/104/118/119/123</x:v>
      </x:c>
      <x:c r="G11" s="2"/>
      <x:c r="H11" s="2"/>
    </x:row>
    <x:row r="12" ht="24" customHeight="1">
      <x:c r="A12" s="2"/>
      <x:c r="B12" s="2"/>
      <x:c r="C12" s="2" t="str">
        <x:v>上述现金及金融资产合计</x:v>
      </x:c>
      <x:c r="D12" s="13" t="n">
        <x:f>SUM(D7:D11)</x:f>
        <x:v>8328.43416972</x:v>
      </x:c>
      <x:c r="E12" s="13" t="n">
        <x:f>SUM(E7:E11)</x:f>
        <x:v>11807.16299735</x:v>
      </x:c>
      <x:c r="F12" s="2" t="str">
        <x:v>S02 p48/49/104/118/119/123</x:v>
      </x:c>
      <x:c r="G12" s="2"/>
      <x:c r="H12" s="2"/>
    </x:row>
    <x:row r="13" ht="24" customHeight="1">
      <x:c r="A13" s="2"/>
      <x:c r="B13" s="2"/>
      <x:c r="C13" s="2" t="str">
        <x:v>受限资金及保证金合计</x:v>
      </x:c>
      <x:c r="D13" s="11" t="n">
        <x:v>126.21113156999999</x:v>
      </x:c>
      <x:c r="E13" s="11" t="n">
        <x:v>103.42809264</x:v>
      </x:c>
      <x:c r="F13" s="2" t="str">
        <x:v>S02 p48/49/104/118/119/123</x:v>
      </x:c>
      <x:c r="G13" s="2"/>
      <x:c r="H13" s="2"/>
    </x:row>
    <x:row r="14" ht="24" customHeight="1">
      <x:c r="A14" s="2"/>
      <x:c r="B14" s="2"/>
      <x:c r="C14" s="2" t="str">
        <x:v>短期借款</x:v>
      </x:c>
      <x:c r="D14" s="11" t="n">
        <x:v>161.36635901</x:v>
      </x:c>
      <x:c r="E14" s="11" t="n">
        <x:v>194.72786604</x:v>
      </x:c>
      <x:c r="F14" s="2" t="str">
        <x:v>S02 p48/49/104/118/119/123</x:v>
      </x:c>
      <x:c r="G14" s="2"/>
      <x:c r="H14" s="2"/>
    </x:row>
    <x:row r="15" ht="24" customHeight="1">
      <x:c r="A15" s="2"/>
      <x:c r="B15" s="2"/>
      <x:c r="C15" s="2" t="str">
        <x:v>长期借款</x:v>
      </x:c>
      <x:c r="D15" s="11" t="n">
        <x:v>45.9</x:v>
      </x:c>
      <x:c r="E15" s="11" t="n">
        <x:v>46.1</x:v>
      </x:c>
      <x:c r="F15" s="2" t="str">
        <x:v>S02 p48/49/104/118/119/123</x:v>
      </x:c>
      <x:c r="G15" s="2"/>
      <x:c r="H15" s="2"/>
    </x:row>
    <x:row r="16" ht="24" customHeight="1">
      <x:c r="A16" s="2"/>
      <x:c r="B16" s="2"/>
      <x:c r="C16" s="2" t="str">
        <x:v>一年内到期借款</x:v>
      </x:c>
      <x:c r="D16" s="11" t="n">
        <x:v>12.44782777</x:v>
      </x:c>
      <x:c r="E16" s="11" t="n">
        <x:v>14.04808696</x:v>
      </x:c>
      <x:c r="F16" s="2" t="str">
        <x:v>S02 p48/49/104/118/119/123</x:v>
      </x:c>
      <x:c r="G16" s="2"/>
      <x:c r="H16" s="2"/>
    </x:row>
    <x:row r="17" ht="24" customHeight="1">
      <x:c r="A17" s="2"/>
      <x:c r="B17" s="2"/>
      <x:c r="C17" s="2" t="str">
        <x:v>金融借款合计</x:v>
      </x:c>
      <x:c r="D17" s="13" t="n">
        <x:f>SUM(D14:D16)</x:f>
        <x:v>219.71418678</x:v>
      </x:c>
      <x:c r="E17" s="13" t="n">
        <x:f>SUM(E14:E16)</x:f>
        <x:v>254.875953</x:v>
      </x:c>
      <x:c r="F17" s="2" t="str">
        <x:v>S02 p48/49/104/118/119/123</x:v>
      </x:c>
      <x:c r="G17" s="2"/>
      <x:c r="H17" s="2"/>
    </x:row>
    <x:row r="18" ht="24" customHeight="1">
      <x:c r="A18" s="2"/>
      <x:c r="B18" s="2"/>
      <x:c r="C18" s="2" t="str">
        <x:v>扣借款及受限后的净金融资产</x:v>
      </x:c>
      <x:c r="D18" s="13" t="n">
        <x:f>D12-D13-D17</x:f>
        <x:v>7982.508851369999</x:v>
      </x:c>
      <x:c r="E18" s="13" t="n">
        <x:f>E12-E13-E17</x:f>
        <x:v>11448.858951709999</x:v>
      </x:c>
      <x:c r="F18" s="2" t="str">
        <x:v>S02 p48/49/104/118/119/123</x:v>
      </x:c>
      <x:c r="G18" s="2"/>
      <x:c r="H18" s="2"/>
    </x:row>
    <x:row r="19" ht="24" customHeight="1">
      <x:c r="A19" s="2"/>
      <x:c r="B19" s="2"/>
      <x:c r="C19" s="2" t="str">
        <x:v>非流动租赁负债</x:v>
      </x:c>
      <x:c r="D19" s="11" t="n">
        <x:v>729.02383502</x:v>
      </x:c>
      <x:c r="E19" s="11" t="n">
        <x:v>744.75028594</x:v>
      </x:c>
      <x:c r="F19" s="2" t="str">
        <x:v>S02 p48/49/104/118/119/123</x:v>
      </x:c>
      <x:c r="G19" s="2"/>
      <x:c r="H19" s="2"/>
    </x:row>
    <x:row r="20" ht="24" customHeight="1">
      <x:c r="A20" s="2"/>
      <x:c r="B20" s="2"/>
      <x:c r="C20" s="2" t="str">
        <x:v>流动租赁负债</x:v>
      </x:c>
      <x:c r="D20" s="11" t="n">
        <x:v>1850.03002815</x:v>
      </x:c>
      <x:c r="E20" s="11" t="n">
        <x:v>1775.31227812</x:v>
      </x:c>
      <x:c r="F20" s="2" t="str">
        <x:v>S02 p48/49/104/118/119/123</x:v>
      </x:c>
      <x:c r="G20" s="2"/>
      <x:c r="H20" s="2"/>
    </x:row>
    <x:row r="21" ht="24" customHeight="1">
      <x:c r="A21" s="2"/>
      <x:c r="B21" s="2"/>
      <x:c r="C21" s="2" t="str">
        <x:v>租赁调整净金融资产</x:v>
      </x:c>
      <x:c r="D21" s="13" t="n">
        <x:f>D18-SUM(D19:D20)</x:f>
        <x:v>5403.454988199999</x:v>
      </x:c>
      <x:c r="E21" s="13" t="n">
        <x:f>E18-SUM(E19:E20)</x:f>
        <x:v>8928.79638765</x:v>
      </x:c>
      <x:c r="F21" s="2" t="str">
        <x:v>S02 p48/49/104/118/119/123</x:v>
      </x:c>
      <x:c r="G21" s="2"/>
      <x:c r="H21" s="2"/>
    </x:row>
    <x:row r="22" ht="24" customHeight="1">
      <x:c r="A22" s="2"/>
      <x:c r="B22" s="2"/>
      <x:c r="C22" s="2" t="str">
        <x:v>应收账款净额</x:v>
      </x:c>
      <x:c r="D22" s="11" t="n">
        <x:v>3570.41410076</x:v>
      </x:c>
      <x:c r="E22" s="11" t="n">
        <x:v>2694.22978309</x:v>
      </x:c>
      <x:c r="F22" s="2" t="str">
        <x:v>S02 p48/49/104/118/119/123</x:v>
      </x:c>
      <x:c r="G22" s="2"/>
      <x:c r="H22" s="2"/>
    </x:row>
    <x:row r="23" ht="24" customHeight="1">
      <x:c r="A23" s="2"/>
      <x:c r="B23" s="2"/>
      <x:c r="C23" s="2" t="str">
        <x:v>合同负债</x:v>
      </x:c>
      <x:c r="D23" s="11" t="n">
        <x:v>545.83744906</x:v>
      </x:c>
      <x:c r="E23" s="11" t="n">
        <x:v>334.2123582</x:v>
      </x:c>
      <x:c r="F23" s="2" t="str">
        <x:v>S02 p48/49/104/118/119/123</x:v>
      </x:c>
      <x:c r="G23" s="2"/>
      <x:c r="H23" s="2"/>
    </x:row>
    <x:row r="24" ht="24" customHeight="1">
      <x:c r="A24" s="2"/>
      <x:c r="B24" s="2"/>
      <x:c r="C24" s="2" t="str">
        <x:v>归母净资产</x:v>
      </x:c>
      <x:c r="D24" s="11" t="n">
        <x:v>14249.20475069</x:v>
      </x:c>
      <x:c r="E24" s="11" t="n">
        <x:v>13990.39537443</x:v>
      </x:c>
      <x:c r="F24" s="2" t="str">
        <x:v>S02 p48/49/104/118/119/123</x:v>
      </x:c>
      <x:c r="G24" s="2"/>
      <x:c r="H24" s="2"/>
    </x:row>
    <x:row r="25" ht="24" customHeight="1">
      <x:c r="A25" s="2"/>
      <x:c r="B25" s="2"/>
      <x:c r="C25" s="2"/>
      <x:c r="D25" s="2"/>
      <x:c r="E25" s="2"/>
      <x:c r="F25" s="2"/>
      <x:c r="G25" s="2"/>
      <x:c r="H25" s="2"/>
    </x:row>
    <x:row r="26" ht="24" customHeight="1">
      <x:c r="A26" s="2"/>
      <x:c r="B26" s="2"/>
      <x:c r="C26" s="2"/>
      <x:c r="D26" s="2"/>
      <x:c r="E26" s="2"/>
      <x:c r="F26" s="2"/>
      <x:c r="G26" s="2"/>
      <x:c r="H26" s="2"/>
    </x:row>
    <x:row r="27" ht="24" customHeight="1">
      <x:c r="A27" s="2"/>
      <x:c r="B27" s="2"/>
      <x:c r="C27" s="8" t="str">
        <x:v>H1静态现金用途桥</x:v>
      </x:c>
      <x:c r="D27" s="8" t="str">
        <x:v>金额</x:v>
      </x:c>
      <x:c r="E27" s="8" t="str">
        <x:v>口径</x:v>
      </x:c>
      <x:c r="F27" s="2"/>
      <x:c r="G27" s="2"/>
      <x:c r="H27" s="2"/>
    </x:row>
    <x:row r="28" ht="24" customHeight="1">
      <x:c r="A28" s="2"/>
      <x:c r="B28" s="2"/>
      <x:c r="C28" s="2" t="str">
        <x:v>租赁调整净金融资产</x:v>
      </x:c>
      <x:c r="D28" s="12" t="n">
        <x:f>'Cash'!E21</x:f>
        <x:v>8928.79638765</x:v>
      </x:c>
      <x:c r="E28" s="2" t="str">
        <x:v>H1末</x:v>
      </x:c>
      <x:c r="F28" s="2"/>
      <x:c r="G28" s="2"/>
      <x:c r="H28" s="2"/>
    </x:row>
    <x:row r="29" ht="24" customHeight="1">
      <x:c r="A29" s="2"/>
      <x:c r="B29" s="2"/>
      <x:c r="C29" s="2" t="str">
        <x:v>2025末期股利</x:v>
      </x:c>
      <x:c r="D29" s="11" t="n">
        <x:v>2744.01794794</x:v>
      </x:c>
      <x:c r="E29" s="2" t="str">
        <x:v>H1末应付，7月9日实施</x:v>
      </x:c>
      <x:c r="F29" s="2"/>
      <x:c r="G29" s="2"/>
      <x:c r="H29" s="2"/>
    </x:row>
    <x:row r="30" ht="24" customHeight="1">
      <x:c r="A30" s="2"/>
      <x:c r="B30" s="2"/>
      <x:c r="C30" s="2" t="str">
        <x:v>2026H1股利</x:v>
      </x:c>
      <x:c r="D30" s="11" t="n">
        <x:v>722.1099863</x:v>
      </x:c>
      <x:c r="E30" s="2" t="str">
        <x:v>9月4日实施</x:v>
      </x:c>
      <x:c r="F30" s="2"/>
      <x:c r="G30" s="2"/>
      <x:c r="H30" s="2"/>
    </x:row>
    <x:row r="31" ht="24" customHeight="1">
      <x:c r="A31" s="2"/>
      <x:c r="B31" s="2"/>
      <x:c r="C31" s="2" t="str">
        <x:v>拟并购现金支付</x:v>
      </x:c>
      <x:c r="D31" s="11" t="n">
        <x:v>535.225</x:v>
      </x:c>
      <x:c r="E31" s="2" t="str">
        <x:v>9.98%现金+90.02%现金部分</x:v>
      </x:c>
      <x:c r="F31" s="2"/>
      <x:c r="G31" s="2"/>
      <x:c r="H31" s="2"/>
    </x:row>
    <x:row r="32" ht="24" customHeight="1">
      <x:c r="A32" s="2"/>
      <x:c r="B32" s="2"/>
      <x:c r="C32" s="2" t="str">
        <x:v>扣上述用途后净金融资产</x:v>
      </x:c>
      <x:c r="D32" s="13" t="n">
        <x:f>D28-SUM(D29:D31)</x:f>
        <x:v>4927.44345341</x:v>
      </x:c>
      <x:c r="E32" s="2" t="str">
        <x:v>不含7—10月经营现金/境外增资</x:v>
      </x:c>
      <x:c r="F32" s="2"/>
      <x:c r="G32" s="2"/>
      <x:c r="H32" s="2"/>
    </x:row>
    <x:row r="33" ht="24" customHeight="1">
      <x:c r="A33" s="2"/>
      <x:c r="B33" s="2"/>
      <x:c r="C33" s="2"/>
      <x:c r="D33" s="2"/>
      <x:c r="E33" s="2"/>
      <x:c r="F33" s="2"/>
      <x:c r="G33" s="2"/>
      <x:c r="H33" s="2"/>
    </x:row>
    <x:row r="34" ht="24" customHeight="1">
      <x:c r="A34" s="2"/>
      <x:c r="B34" s="2"/>
      <x:c r="C34" s="2"/>
      <x:c r="D34" s="2"/>
      <x:c r="E34" s="2"/>
      <x:c r="F34" s="2"/>
      <x:c r="G34" s="2"/>
      <x:c r="H34" s="2"/>
    </x:row>
    <x:row r="35" ht="24" customHeight="1">
      <x:c r="A35" s="2"/>
      <x:c r="B35" s="2"/>
      <x:c r="C35" s="8" t="str">
        <x:v>现金流观察</x:v>
      </x:c>
      <x:c r="D35" s="8" t="str">
        <x:v>2025H1</x:v>
      </x:c>
      <x:c r="E35" s="8" t="str">
        <x:v>2026H1</x:v>
      </x:c>
      <x:c r="F35" s="8" t="str">
        <x:v>来源</x:v>
      </x:c>
      <x:c r="G35" s="2"/>
      <x:c r="H35" s="2"/>
    </x:row>
    <x:row r="36" ht="24" customHeight="1">
      <x:c r="A36" s="2"/>
      <x:c r="B36" s="2"/>
      <x:c r="C36" s="2" t="str">
        <x:v>经营性应收释放</x:v>
      </x:c>
      <x:c r="D36" s="11" t="n">
        <x:v>-391.29329063</x:v>
      </x:c>
      <x:c r="E36" s="11" t="n">
        <x:v>836.39908608</x:v>
      </x:c>
      <x:c r="F36" s="2" t="str">
        <x:v>S02 p138</x:v>
      </x:c>
      <x:c r="G36" s="2"/>
      <x:c r="H36" s="2"/>
    </x:row>
    <x:row r="37" ht="24" customHeight="1">
      <x:c r="A37" s="2"/>
      <x:c r="B37" s="2"/>
      <x:c r="C37" s="2" t="str">
        <x:v>经营性应付变化</x:v>
      </x:c>
      <x:c r="D37" s="11" t="n">
        <x:v>-10.19711983</x:v>
      </x:c>
      <x:c r="E37" s="11" t="n">
        <x:v>-90.17109277</x:v>
      </x:c>
      <x:c r="F37" s="2" t="str">
        <x:v>S02 p138</x:v>
      </x:c>
      <x:c r="G37" s="2"/>
      <x:c r="H37" s="2"/>
    </x:row>
    <x:row r="38" ht="24" customHeight="1">
      <x:c r="A38" s="2"/>
      <x:c r="B38" s="2"/>
      <x:c r="C38" s="2"/>
      <x:c r="D38" s="2"/>
      <x:c r="E38" s="2"/>
      <x:c r="F38" s="2"/>
      <x:c r="G38" s="2"/>
      <x:c r="H38" s="2"/>
    </x:row>
    <x:row r="39" ht="24" customHeight="1">
      <x:c r="A39" s="2"/>
      <x:c r="B39" s="2"/>
      <x:c r="C39" s="2"/>
      <x:c r="D39" s="2"/>
      <x:c r="E39" s="2"/>
      <x:c r="F39" s="2"/>
      <x:c r="G39" s="2"/>
      <x:c r="H39" s="2"/>
    </x:row>
    <x:row r="40" ht="24" customHeight="1">
      <x:c r="A40" s="2"/>
      <x:c r="B40" s="2"/>
      <x:c r="C40" s="8" t="str">
        <x:v>应收风险</x:v>
      </x:c>
      <x:c r="D40" s="8" t="str">
        <x:v>2025末</x:v>
      </x:c>
      <x:c r="E40" s="8" t="str">
        <x:v>2026H1末</x:v>
      </x:c>
      <x:c r="F40" s="8" t="str">
        <x:v>来源</x:v>
      </x:c>
      <x:c r="G40" s="2"/>
      <x:c r="H40" s="2"/>
    </x:row>
    <x:row r="41" ht="24" customHeight="1">
      <x:c r="A41" s="2"/>
      <x:c r="B41" s="2"/>
      <x:c r="C41" s="2" t="str">
        <x:v>应收账款账面原值</x:v>
      </x:c>
      <x:c r="D41" s="11" t="n">
        <x:v>5393.05487844</x:v>
      </x:c>
      <x:c r="E41" s="11" t="n">
        <x:v>4434.55559185</x:v>
      </x:c>
      <x:c r="F41" s="2" t="str">
        <x:v>S02 p98</x:v>
      </x:c>
      <x:c r="G41" s="2"/>
      <x:c r="H41" s="2"/>
    </x:row>
    <x:row r="42" ht="24" customHeight="1">
      <x:c r="A42" s="2"/>
      <x:c r="B42" s="2"/>
      <x:c r="C42" s="2" t="str">
        <x:v>一年以上应收账款</x:v>
      </x:c>
      <x:c r="D42" s="11" t="n">
        <x:v>1560.83377553</x:v>
      </x:c>
      <x:c r="E42" s="11" t="n">
        <x:v>1573.47804155</x:v>
      </x:c>
      <x:c r="F42" s="2" t="str">
        <x:v>S02 p98</x:v>
      </x:c>
      <x:c r="G42" s="2"/>
      <x:c r="H42" s="2"/>
    </x:row>
    <x:row r="43" ht="24" customHeight="1">
      <x:c r="A43" s="2"/>
      <x:c r="B43" s="2"/>
      <x:c r="C43" s="2"/>
      <x:c r="D43" s="2"/>
      <x:c r="E43" s="2"/>
      <x:c r="F43" s="2"/>
      <x:c r="G43" s="2"/>
      <x:c r="H43" s="2"/>
    </x:row>
    <x:row r="44" ht="36" customHeight="1">
      <x:c r="A44" s="2"/>
      <x:c r="B44" s="2"/>
      <x:c r="C44" s="18" t="str">
        <x:v>P/E包含资金收益与已费用化租赁，不重复加现金或减租赁；金融资产余额用于风险约束。</x:v>
      </x:c>
      <x:c r="D44" s="18"/>
      <x:c r="E44" s="18"/>
      <x:c r="F44" s="18"/>
      <x:c r="G44" s="18"/>
      <x:c r="H44" s="18"/>
    </x:row>
    <x:row r="45" ht="24" customHeight="1">
      <x:c r="A45" s="2"/>
      <x:c r="B45" s="2"/>
      <x:c r="C45" s="2"/>
      <x:c r="D45" s="2"/>
      <x:c r="E45" s="2"/>
      <x:c r="F45" s="2"/>
      <x:c r="G45" s="2"/>
      <x:c r="H45" s="2"/>
    </x:row>
    <x:row r="46" ht="24" customHeight="1">
      <x:c r="A46" s="2"/>
      <x:c r="B46" s="2"/>
      <x:c r="C46" s="2"/>
      <x:c r="D46" s="2"/>
      <x:c r="E46" s="2"/>
      <x:c r="F46" s="2"/>
      <x:c r="G46" s="2"/>
      <x:c r="H46" s="2"/>
    </x:row>
  </x:sheetData>
  <x:mergeCells>
    <x:mergeCell ref="C44:H44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" hidden="0" customWidth="1"/>
    <x:col min="2" max="2" width="3" hidden="0" customWidth="1"/>
    <x:col min="3" max="3" width="36" hidden="0" customWidth="1"/>
    <x:col min="4" max="4" width="19" hidden="0" customWidth="1"/>
    <x:col min="5" max="5" width="49" hidden="0" customWidth="1"/>
    <x:col min="6" max="6" width="19" hidden="0" customWidth="1"/>
    <x:col min="7" max="7" width="19" hidden="0" customWidth="1"/>
    <x:col min="8" max="8" width="19" hidden="0" customWidth="1"/>
    <x:col min="9" max="9" width="19" hidden="0" customWidth="1"/>
  </x:cols>
  <x:sheetData>
    <x:row r="1" ht="24" customHeight="1">
      <x:c r="A1" s="2"/>
      <x:c r="B1" s="2"/>
      <x:c r="C1" s="2"/>
      <x:c r="D1" s="2"/>
      <x:c r="E1" s="2"/>
      <x:c r="F1" s="2"/>
      <x:c r="G1" s="2"/>
      <x:c r="H1" s="2"/>
      <x:c r="I1" s="2"/>
    </x:row>
    <x:row r="2" ht="24" customHeight="1">
      <x:c r="A2" s="2"/>
      <x:c r="B2" s="2"/>
      <x:c r="C2" s="3" t="str">
        <x:v>新潮收购与摊薄</x:v>
      </x:c>
      <x:c r="D2" s="2"/>
      <x:c r="E2" s="2"/>
      <x:c r="F2" s="2"/>
      <x:c r="G2" s="2"/>
      <x:c r="H2" s="2"/>
      <x:c r="I2" s="2"/>
    </x:row>
    <x:row r="3" ht="24" customHeight="1">
      <x:c r="A3" s="2"/>
      <x:c r="B3" s="2"/>
      <x:c r="C3" s="4"/>
      <x:c r="D3" s="4"/>
      <x:c r="E3" s="4"/>
      <x:c r="F3" s="4"/>
      <x:c r="G3" s="4"/>
      <x:c r="H3" s="4"/>
      <x:c r="I3" s="4"/>
    </x:row>
    <x:row r="4" ht="24" customHeight="1">
      <x:c r="A4" s="2"/>
      <x:c r="B4" s="2"/>
      <x:c r="C4" s="5" t="str">
        <x:v>方案截至2026-09-24；反垄断获附条件批准，交易尚未交割</x:v>
      </x:c>
      <x:c r="D4" s="2"/>
      <x:c r="E4" s="2"/>
      <x:c r="F4" s="2"/>
      <x:c r="G4" s="2"/>
      <x:c r="H4" s="2"/>
      <x:c r="I4" s="2"/>
    </x:row>
    <x:row r="5" ht="24" customHeight="1">
      <x:c r="A5" s="2"/>
      <x:c r="B5" s="2"/>
      <x:c r="C5" s="2"/>
      <x:c r="D5" s="2"/>
      <x:c r="E5" s="2"/>
      <x:c r="F5" s="2"/>
      <x:c r="G5" s="2"/>
      <x:c r="H5" s="2"/>
      <x:c r="I5" s="2"/>
    </x:row>
    <x:row r="6" ht="24" customHeight="1">
      <x:c r="A6" s="2"/>
      <x:c r="B6" s="2"/>
      <x:c r="C6" s="8" t="str">
        <x:v>方案输入</x:v>
      </x:c>
      <x:c r="D6" s="8" t="str">
        <x:v>数值</x:v>
      </x:c>
      <x:c r="E6" s="8" t="str">
        <x:v>来源/状态</x:v>
      </x:c>
      <x:c r="F6" s="2"/>
      <x:c r="G6" s="2"/>
      <x:c r="H6" s="2"/>
      <x:c r="I6" s="2"/>
    </x:row>
    <x:row r="7" ht="24" customHeight="1">
      <x:c r="A7" s="2"/>
      <x:c r="B7" s="2"/>
      <x:c r="C7" s="2" t="str">
        <x:v>现有股份（百万股）</x:v>
      </x:c>
      <x:c r="D7" s="11" t="n">
        <x:v>14442.199726</x:v>
      </x:c>
      <x:c r="E7" s="2" t="str">
        <x:v>S09，9月4日股本</x:v>
      </x:c>
      <x:c r="F7" s="2"/>
      <x:c r="G7" s="2"/>
      <x:c r="H7" s="2"/>
      <x:c r="I7" s="2"/>
    </x:row>
    <x:row r="8" ht="24" customHeight="1">
      <x:c r="A8" s="2"/>
      <x:c r="B8" s="2"/>
      <x:c r="C8" s="2" t="str">
        <x:v>拟新增股份（百万股）</x:v>
      </x:c>
      <x:c r="D8" s="11" t="n">
        <x:v>1534.540509</x:v>
      </x:c>
      <x:c r="E8" s="2" t="str">
        <x:v>S04 p17/19/48</x:v>
      </x:c>
      <x:c r="F8" s="2"/>
      <x:c r="G8" s="2"/>
      <x:c r="H8" s="2"/>
      <x:c r="I8" s="2"/>
    </x:row>
    <x:row r="9" ht="24" customHeight="1">
      <x:c r="A9" s="2"/>
      <x:c r="B9" s="2"/>
      <x:c r="C9" s="2" t="str">
        <x:v>拟发行后股份（百万股）</x:v>
      </x:c>
      <x:c r="D9" s="13" t="n">
        <x:f>SUM(D7:D8)</x:f>
        <x:v>15976.740235000001</x:v>
      </x:c>
      <x:c r="E9" s="2" t="str">
        <x:v>研究计算</x:v>
      </x:c>
      <x:c r="F9" s="2"/>
      <x:c r="G9" s="2"/>
      <x:c r="H9" s="2"/>
      <x:c r="I9" s="2"/>
    </x:row>
    <x:row r="10" ht="24" customHeight="1">
      <x:c r="A10" s="2"/>
      <x:c r="B10" s="2"/>
      <x:c r="C10" s="2" t="str">
        <x:v>股份增长比例</x:v>
      </x:c>
      <x:c r="D10" s="14" t="n">
        <x:f>D8/D7</x:f>
        <x:v>0.1062539320957733</x:v>
      </x:c>
      <x:c r="E10" s="2" t="str">
        <x:v>研究计算</x:v>
      </x:c>
      <x:c r="F10" s="2"/>
      <x:c r="G10" s="2"/>
      <x:c r="H10" s="2"/>
      <x:c r="I10" s="2"/>
    </x:row>
    <x:row r="11" ht="24" customHeight="1">
      <x:c r="A11" s="2"/>
      <x:c r="B11" s="2"/>
      <x:c r="C11" s="2" t="str">
        <x:v>90.02%交易对价（百万元）</x:v>
      </x:c>
      <x:c r="D11" s="11" t="n">
        <x:v>7794.4245</x:v>
      </x:c>
      <x:c r="E11" s="2" t="str">
        <x:v>S04 p14</x:v>
      </x:c>
      <x:c r="F11" s="2"/>
      <x:c r="G11" s="2"/>
      <x:c r="H11" s="2"/>
      <x:c r="I11" s="2"/>
    </x:row>
    <x:row r="12" ht="24" customHeight="1">
      <x:c r="A12" s="2"/>
      <x:c r="B12" s="2"/>
      <x:c r="C12" s="2" t="str">
        <x:v>其中股份对价（百万元）</x:v>
      </x:c>
      <x:c r="D12" s="11" t="n">
        <x:v>7764.7751</x:v>
      </x:c>
      <x:c r="E12" s="2" t="str">
        <x:v>S04 p14</x:v>
      </x:c>
      <x:c r="F12" s="2"/>
      <x:c r="G12" s="2"/>
      <x:c r="H12" s="2"/>
      <x:c r="I12" s="2"/>
    </x:row>
    <x:row r="13" ht="24" customHeight="1">
      <x:c r="A13" s="2"/>
      <x:c r="B13" s="2"/>
      <x:c r="C13" s="2" t="str">
        <x:v>其中现金对价（百万元）</x:v>
      </x:c>
      <x:c r="D13" s="11" t="n">
        <x:v>29.6495</x:v>
      </x:c>
      <x:c r="E13" s="2" t="str">
        <x:v>S04 p14</x:v>
      </x:c>
      <x:c r="F13" s="2"/>
      <x:c r="G13" s="2"/>
      <x:c r="H13" s="2"/>
      <x:c r="I13" s="2"/>
    </x:row>
    <x:row r="14" ht="24" customHeight="1">
      <x:c r="A14" s="2"/>
      <x:c r="B14" s="2"/>
      <x:c r="C14" s="2" t="str">
        <x:v>9.98%现金购买（百万元）</x:v>
      </x:c>
      <x:c r="D14" s="11" t="n">
        <x:v>505.5755</x:v>
      </x:c>
      <x:c r="E14" s="2" t="str">
        <x:v>S04/H1 p175，尚未完成</x:v>
      </x:c>
      <x:c r="F14" s="2"/>
      <x:c r="G14" s="2"/>
      <x:c r="H14" s="2"/>
      <x:c r="I14" s="2"/>
    </x:row>
    <x:row r="15" ht="24" customHeight="1">
      <x:c r="A15" s="2"/>
      <x:c r="B15" s="2"/>
      <x:c r="C15" s="2" t="str">
        <x:v>总支付对价（百万元）</x:v>
      </x:c>
      <x:c r="D15" s="13" t="n">
        <x:f>SUM(D11,D14)</x:f>
        <x:v>8300</x:v>
      </x:c>
      <x:c r="E15" s="2" t="str">
        <x:v>合计83亿元</x:v>
      </x:c>
      <x:c r="F15" s="2"/>
      <x:c r="G15" s="2"/>
      <x:c r="H15" s="2"/>
      <x:c r="I15" s="2"/>
    </x:row>
    <x:row r="16" ht="24" customHeight="1">
      <x:c r="A16" s="2"/>
      <x:c r="B16" s="2"/>
      <x:c r="C16" s="2" t="str">
        <x:v>现金对价合计（百万元）</x:v>
      </x:c>
      <x:c r="D16" s="13" t="n">
        <x:f>SUM(D13:D14)</x:f>
        <x:v>535.225</x:v>
      </x:c>
      <x:c r="E16" s="2" t="str">
        <x:v>合计5.35225亿元</x:v>
      </x:c>
      <x:c r="F16" s="2"/>
      <x:c r="G16" s="2"/>
      <x:c r="H16" s="2"/>
      <x:c r="I16" s="2"/>
    </x:row>
    <x:row r="17" ht="24" customHeight="1">
      <x:c r="A17" s="2"/>
      <x:c r="B17" s="2"/>
      <x:c r="C17" s="2" t="str">
        <x:v>调整发行价（元）</x:v>
      </x:c>
      <x:c r="D17" s="11" t="n">
        <x:v>5.06</x:v>
      </x:c>
      <x:c r="E17" s="2" t="str">
        <x:v>除息调整后，最终待注册</x:v>
      </x:c>
      <x:c r="F17" s="2"/>
      <x:c r="G17" s="2"/>
      <x:c r="H17" s="2"/>
      <x:c r="I17" s="2"/>
    </x:row>
    <x:row r="18" ht="24" customHeight="1">
      <x:c r="A18" s="2"/>
      <x:c r="B18" s="2"/>
      <x:c r="C18" s="2" t="str">
        <x:v>增值/业绩补偿承诺</x:v>
      </x:c>
      <x:c r="D18" s="2" t="str">
        <x:v>无</x:v>
      </x:c>
      <x:c r="E18" s="2" t="str">
        <x:v>S04 p12，不将协同视作承诺</x:v>
      </x:c>
      <x:c r="F18" s="2"/>
      <x:c r="G18" s="2"/>
      <x:c r="H18" s="2"/>
      <x:c r="I18" s="2"/>
    </x:row>
    <x:row r="19" ht="24" customHeight="1">
      <x:c r="A19" s="2"/>
      <x:c r="B19" s="2"/>
      <x:c r="C19" s="2"/>
      <x:c r="D19" s="2"/>
      <x:c r="E19" s="2"/>
      <x:c r="F19" s="2"/>
      <x:c r="G19" s="2"/>
      <x:c r="H19" s="2"/>
      <x:c r="I19" s="2"/>
    </x:row>
    <x:row r="20" ht="24" customHeight="1">
      <x:c r="A20" s="2"/>
      <x:c r="B20" s="2"/>
      <x:c r="C20" s="2"/>
      <x:c r="D20" s="2"/>
      <x:c r="E20" s="2"/>
      <x:c r="F20" s="2"/>
      <x:c r="G20" s="2"/>
      <x:c r="H20" s="2"/>
      <x:c r="I20" s="2"/>
    </x:row>
    <x:row r="21" ht="24" customHeight="1">
      <x:c r="A21" s="2"/>
      <x:c r="B21" s="2"/>
      <x:c r="C21" s="8" t="str">
        <x:v>新潮历史（百万元）</x:v>
      </x:c>
      <x:c r="D21" s="8" t="str">
        <x:v>2024</x:v>
      </x:c>
      <x:c r="E21" s="8" t="str">
        <x:v>2025</x:v>
      </x:c>
      <x:c r="F21" s="8" t="str">
        <x:v>2026Q1</x:v>
      </x:c>
      <x:c r="G21" s="8" t="str">
        <x:v>来源</x:v>
      </x:c>
      <x:c r="H21" s="2"/>
      <x:c r="I21" s="2"/>
    </x:row>
    <x:row r="22" ht="24" customHeight="1">
      <x:c r="A22" s="2"/>
      <x:c r="B22" s="2"/>
      <x:c r="C22" s="2" t="str">
        <x:v>收入</x:v>
      </x:c>
      <x:c r="D22" s="11" t="n">
        <x:v>1988.28679199</x:v>
      </x:c>
      <x:c r="E22" s="11" t="n">
        <x:v>1726.64435281</x:v>
      </x:c>
      <x:c r="F22" s="11" t="n">
        <x:v>364.61006825</x:v>
      </x:c>
      <x:c r="G22" s="2" t="str">
        <x:v>S05 p12</x:v>
      </x:c>
      <x:c r="H22" s="2"/>
      <x:c r="I22" s="2"/>
    </x:row>
    <x:row r="23" ht="24" customHeight="1">
      <x:c r="A23" s="2"/>
      <x:c r="B23" s="2"/>
      <x:c r="C23" s="2" t="str">
        <x:v>归母利润</x:v>
      </x:c>
      <x:c r="D23" s="11" t="n">
        <x:v>41.90017656</x:v>
      </x:c>
      <x:c r="E23" s="11" t="n">
        <x:v>54.06319731</x:v>
      </x:c>
      <x:c r="F23" s="11" t="n">
        <x:v>18.76767233</x:v>
      </x:c>
      <x:c r="G23" s="2" t="str">
        <x:v>S05 p12</x:v>
      </x:c>
      <x:c r="H23" s="2"/>
      <x:c r="I23" s="2"/>
    </x:row>
    <x:row r="24" ht="24" customHeight="1">
      <x:c r="A24" s="2"/>
      <x:c r="B24" s="2"/>
      <x:c r="C24" s="2" t="str">
        <x:v>归母净利率</x:v>
      </x:c>
      <x:c r="D24" s="14" t="n">
        <x:f>D23/D22</x:f>
        <x:v>0.021073507468237877</x:v>
      </x:c>
      <x:c r="E24" s="14" t="n">
        <x:f>E23/E22</x:f>
        <x:v>0.03131113666923689</x:v>
      </x:c>
      <x:c r="F24" s="14" t="n">
        <x:f>F23/F22</x:f>
        <x:v>0.05147326956734415</x:v>
      </x:c>
      <x:c r="G24" s="2" t="str">
        <x:v>研究计算</x:v>
      </x:c>
      <x:c r="H24" s="2"/>
      <x:c r="I24" s="2"/>
    </x:row>
    <x:row r="25" ht="24" customHeight="1">
      <x:c r="A25" s="2"/>
      <x:c r="B25" s="2"/>
      <x:c r="C25" s="2"/>
      <x:c r="D25" s="2"/>
      <x:c r="E25" s="2"/>
      <x:c r="F25" s="2"/>
      <x:c r="G25" s="2"/>
      <x:c r="H25" s="2"/>
      <x:c r="I25" s="2"/>
    </x:row>
    <x:row r="26" ht="24" customHeight="1">
      <x:c r="A26" s="2"/>
      <x:c r="B26" s="2"/>
      <x:c r="C26" s="2"/>
      <x:c r="D26" s="2"/>
      <x:c r="E26" s="2"/>
      <x:c r="F26" s="2"/>
      <x:c r="G26" s="2"/>
      <x:c r="H26" s="2"/>
      <x:c r="I26" s="2"/>
    </x:row>
    <x:row r="27" ht="24" customHeight="1">
      <x:c r="A27" s="2"/>
      <x:c r="B27" s="2"/>
      <x:c r="C27" s="8" t="str">
        <x:v>摊薄门槛（Base）</x:v>
      </x:c>
      <x:c r="D27" s="8" t="str">
        <x:v>百万元</x:v>
      </x:c>
      <x:c r="E27" s="2"/>
      <x:c r="F27" s="2"/>
      <x:c r="G27" s="2"/>
      <x:c r="H27" s="2"/>
      <x:c r="I27" s="2"/>
    </x:row>
    <x:row r="28" ht="24" customHeight="1">
      <x:c r="A28" s="2"/>
      <x:c r="B28" s="2"/>
      <x:c r="C28" s="2" t="str">
        <x:v>原分众利润假设</x:v>
      </x:c>
      <x:c r="D28" s="12" t="n">
        <x:f>'Assumptions'!F16</x:f>
        <x:v>5200</x:v>
      </x:c>
      <x:c r="E28" s="2"/>
      <x:c r="F28" s="2"/>
      <x:c r="G28" s="2"/>
      <x:c r="H28" s="2"/>
      <x:c r="I28" s="2"/>
    </x:row>
    <x:row r="29" ht="24" customHeight="1">
      <x:c r="A29" s="2"/>
      <x:c r="B29" s="2"/>
      <x:c r="C29" s="2" t="str">
        <x:v>维持原EPS所需增量利润</x:v>
      </x:c>
      <x:c r="D29" s="13" t="n">
        <x:f>D28*D10</x:f>
        <x:v>552.5204468980212</x:v>
      </x:c>
      <x:c r="E29" s="2"/>
      <x:c r="F29" s="2"/>
      <x:c r="G29" s="2"/>
      <x:c r="H29" s="2"/>
      <x:c r="I29" s="2"/>
    </x:row>
    <x:row r="30" ht="24" customHeight="1">
      <x:c r="A30" s="2"/>
      <x:c r="B30" s="2"/>
      <x:c r="C30" s="2" t="str">
        <x:v>本研究Base净增量利润</x:v>
      </x:c>
      <x:c r="D30" s="12" t="n">
        <x:f>SUM('Assumptions'!F19,'Assumptions'!F22)-'Assumptions'!F25</x:f>
        <x:v>250</x:v>
      </x:c>
      <x:c r="E30" s="2"/>
      <x:c r="F30" s="2"/>
      <x:c r="G30" s="2"/>
      <x:c r="H30" s="2"/>
      <x:c r="I30" s="2"/>
    </x:row>
    <x:row r="31" ht="24" customHeight="1">
      <x:c r="A31" s="2"/>
      <x:c r="B31" s="2"/>
      <x:c r="C31" s="2" t="str">
        <x:v>EPS增厚缺口</x:v>
      </x:c>
      <x:c r="D31" s="13" t="n">
        <x:f>D30-D29</x:f>
        <x:v>-302.5204468980212</x:v>
      </x:c>
      <x:c r="E31" s="2"/>
      <x:c r="F31" s="2"/>
      <x:c r="G31" s="2"/>
      <x:c r="H31" s="2"/>
      <x:c r="I31" s="2"/>
    </x:row>
    <x:row r="32" ht="24" customHeight="1">
      <x:c r="A32" s="2"/>
      <x:c r="B32" s="2"/>
      <x:c r="C32" s="2"/>
      <x:c r="D32" s="2"/>
      <x:c r="E32" s="2"/>
      <x:c r="F32" s="2"/>
      <x:c r="G32" s="2"/>
      <x:c r="H32" s="2"/>
      <x:c r="I32" s="2"/>
    </x:row>
    <x:row r="33" ht="24" customHeight="1">
      <x:c r="A33" s="2"/>
      <x:c r="B33" s="2"/>
      <x:c r="C33" s="2"/>
      <x:c r="D33" s="2"/>
      <x:c r="E33" s="2"/>
      <x:c r="F33" s="2"/>
      <x:c r="G33" s="2"/>
      <x:c r="H33" s="2"/>
      <x:c r="I33" s="2"/>
    </x:row>
    <x:row r="34" ht="36" customHeight="1">
      <x:c r="A34" s="2"/>
      <x:c r="B34" s="2"/>
      <x:c r="C34" s="18" t="str">
        <x:v>价格不得无正当理由超过此前24个月各自同城实际价；放弃既有独家权，续签不得独家或自动续约。</x:v>
      </x:c>
      <x:c r="D34" s="18"/>
      <x:c r="E34" s="18"/>
      <x:c r="F34" s="18"/>
      <x:c r="G34" s="18"/>
      <x:c r="H34" s="18"/>
      <x:c r="I34" s="18"/>
    </x:row>
    <x:row r="35" ht="24" customHeight="1">
      <x:c r="A35" s="2"/>
      <x:c r="B35" s="2"/>
      <x:c r="C35" s="2"/>
      <x:c r="D35" s="2"/>
      <x:c r="E35" s="2"/>
      <x:c r="F35" s="2"/>
      <x:c r="G35" s="2"/>
      <x:c r="H35" s="2"/>
      <x:c r="I35" s="2"/>
    </x:row>
    <x:row r="36" ht="36" customHeight="1">
      <x:c r="A36" s="2"/>
      <x:c r="B36" s="2"/>
      <x:c r="C36" s="18" t="str">
        <x:v>条件满5年可申请解除，未经批准仍须履行；反垄断通过尚不等于深交所/证监会审批及交割完成。</x:v>
      </x:c>
      <x:c r="D36" s="18"/>
      <x:c r="E36" s="18"/>
      <x:c r="F36" s="18"/>
      <x:c r="G36" s="18"/>
      <x:c r="H36" s="18"/>
      <x:c r="I36" s="18"/>
    </x:row>
    <x:row r="37" ht="24" customHeight="1">
      <x:c r="A37" s="2"/>
      <x:c r="B37" s="2"/>
      <x:c r="C37" s="2"/>
      <x:c r="D37" s="2"/>
      <x:c r="E37" s="2"/>
      <x:c r="F37" s="2"/>
      <x:c r="G37" s="2"/>
      <x:c r="H37" s="2"/>
      <x:c r="I37" s="2"/>
    </x:row>
    <x:row r="38" ht="36" customHeight="1">
      <x:c r="A38" s="2"/>
      <x:c r="B38" s="2"/>
      <x:c r="C38" s="18" t="str">
        <x:v>协同以降本和利用率为主；预计摊销为研究假设，最终购买价分摊及商誉尚未确定。</x:v>
      </x:c>
      <x:c r="D38" s="18"/>
      <x:c r="E38" s="18"/>
      <x:c r="F38" s="18"/>
      <x:c r="G38" s="18"/>
      <x:c r="H38" s="18"/>
      <x:c r="I38" s="18"/>
    </x:row>
    <x:row r="39" ht="24" customHeight="1">
      <x:c r="A39" s="2"/>
      <x:c r="B39" s="2"/>
      <x:c r="C39" s="2"/>
      <x:c r="D39" s="2"/>
      <x:c r="E39" s="2"/>
      <x:c r="F39" s="2"/>
      <x:c r="G39" s="2"/>
      <x:c r="H39" s="2"/>
      <x:c r="I39" s="2"/>
    </x:row>
    <x:row r="40" ht="24" customHeight="1">
      <x:c r="A40" s="2"/>
      <x:c r="B40" s="2"/>
      <x:c r="C40" s="2"/>
      <x:c r="D40" s="2"/>
      <x:c r="E40" s="2"/>
      <x:c r="F40" s="2"/>
      <x:c r="G40" s="2"/>
      <x:c r="H40" s="2"/>
      <x:c r="I40" s="2"/>
    </x:row>
  </x:sheetData>
  <x:mergeCells>
    <x:mergeCell ref="C34:I34"/>
    <x:mergeCell ref="C36:I36"/>
    <x:mergeCell ref="C38:I38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" hidden="0" customWidth="1"/>
    <x:col min="2" max="2" width="3" hidden="0" customWidth="1"/>
    <x:col min="3" max="3" width="36" hidden="0" customWidth="1"/>
    <x:col min="4" max="4" width="43" hidden="0" customWidth="1"/>
    <x:col min="5" max="5" width="16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  <x:col min="10" max="10" width="17" hidden="0" customWidth="1"/>
  </x:cols>
  <x:sheetData>
    <x:row r="1" ht="24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</x:row>
    <x:row r="2" ht="24" customHeight="1">
      <x:c r="A2" s="2"/>
      <x:c r="B2" s="2"/>
      <x:c r="C2" s="3" t="str">
        <x:v>来源与勾稽</x:v>
      </x:c>
      <x:c r="D2" s="2"/>
      <x:c r="E2" s="2"/>
      <x:c r="F2" s="2"/>
      <x:c r="G2" s="2"/>
      <x:c r="H2" s="2"/>
      <x:c r="I2" s="2"/>
      <x:c r="J2" s="2"/>
    </x:row>
    <x:row r="3" ht="24" customHeight="1">
      <x:c r="A3" s="2"/>
      <x:c r="B3" s="2"/>
      <x:c r="C3" s="4"/>
      <x:c r="D3" s="4"/>
      <x:c r="E3" s="4"/>
      <x:c r="F3" s="4"/>
      <x:c r="G3" s="4"/>
      <x:c r="H3" s="4"/>
      <x:c r="I3" s="4"/>
      <x:c r="J3" s="4"/>
    </x:row>
    <x:row r="4" ht="24" customHeight="1">
      <x:c r="A4" s="2"/>
      <x:c r="B4" s="2"/>
      <x:c r="C4" s="5" t="str">
        <x:v>检查仅观察模型，不向估值或假设回流</x:v>
      </x:c>
      <x:c r="D4" s="2"/>
      <x:c r="E4" s="2"/>
      <x:c r="F4" s="2"/>
      <x:c r="G4" s="2"/>
      <x:c r="H4" s="2"/>
      <x:c r="I4" s="2"/>
      <x:c r="J4" s="2"/>
    </x:row>
    <x:row r="5" ht="24" customHeight="1">
      <x:c r="A5" s="2"/>
      <x:c r="B5" s="2"/>
      <x:c r="C5" s="2"/>
      <x:c r="D5" s="2"/>
      <x:c r="E5" s="2"/>
      <x:c r="F5" s="2"/>
      <x:c r="G5" s="2"/>
      <x:c r="H5" s="2"/>
      <x:c r="I5" s="2"/>
      <x:c r="J5" s="2"/>
    </x:row>
    <x:row r="6" ht="24" customHeight="1">
      <x:c r="A6" s="2"/>
      <x:c r="B6" s="2"/>
      <x:c r="C6" s="8" t="str">
        <x:v>检查项目</x:v>
      </x:c>
      <x:c r="D6" s="8" t="str">
        <x:v>差额</x:v>
      </x:c>
      <x:c r="E6" s="2"/>
      <x:c r="F6" s="2"/>
      <x:c r="G6" s="2"/>
      <x:c r="H6" s="2"/>
      <x:c r="I6" s="2"/>
      <x:c r="J6" s="2"/>
    </x:row>
    <x:row r="7" ht="24" customHeight="1">
      <x:c r="A7" s="2"/>
      <x:c r="B7" s="2"/>
      <x:c r="C7" s="2" t="str">
        <x:v>股本桥</x:v>
      </x:c>
      <x:c r="D7" s="30" t="n">
        <x:f>ROUND('Deal'!D9-15976.740235,6)</x:f>
        <x:v>0</x:v>
      </x:c>
      <x:c r="E7" s="2"/>
      <x:c r="F7" s="2"/>
      <x:c r="G7" s="2"/>
      <x:c r="H7" s="2"/>
      <x:c r="I7" s="2"/>
      <x:c r="J7" s="2"/>
    </x:row>
    <x:row r="8" ht="24" customHeight="1">
      <x:c r="A8" s="2"/>
      <x:c r="B8" s="2"/>
      <x:c r="C8" s="2" t="str">
        <x:v>交易对价桥</x:v>
      </x:c>
      <x:c r="D8" s="30" t="n">
        <x:f>ROUND('Deal'!D15-8300,6)</x:f>
        <x:v>0</x:v>
      </x:c>
      <x:c r="E8" s="2"/>
      <x:c r="F8" s="2"/>
      <x:c r="G8" s="2"/>
      <x:c r="H8" s="2"/>
      <x:c r="I8" s="2"/>
      <x:c r="J8" s="2"/>
    </x:row>
    <x:row r="9" ht="24" customHeight="1">
      <x:c r="A9" s="2"/>
      <x:c r="B9" s="2"/>
      <x:c r="C9" s="2" t="str">
        <x:v>现金支付桥</x:v>
      </x:c>
      <x:c r="D9" s="30" t="n">
        <x:f>ROUND('Deal'!D16-535.225,6)</x:f>
        <x:v>0</x:v>
      </x:c>
      <x:c r="E9" s="2"/>
      <x:c r="F9" s="2"/>
      <x:c r="G9" s="2"/>
      <x:c r="H9" s="2"/>
      <x:c r="I9" s="2"/>
      <x:c r="J9" s="2"/>
    </x:row>
    <x:row r="10" ht="24" customHeight="1">
      <x:c r="A10" s="2"/>
      <x:c r="B10" s="2"/>
      <x:c r="C10" s="2" t="str">
        <x:v>H1归母扣非桥</x:v>
      </x:c>
      <x:c r="D10" s="30" t="n">
        <x:f>ROUND('Earnings'!G8-'Earnings'!G9-837.52504809,6)</x:f>
        <x:v>0</x:v>
      </x:c>
      <x:c r="E10" s="2"/>
      <x:c r="F10" s="2"/>
      <x:c r="G10" s="2"/>
      <x:c r="H10" s="2"/>
      <x:c r="I10" s="2"/>
      <x:c r="J10" s="2"/>
    </x:row>
    <x:row r="11" ht="24" customHeight="1">
      <x:c r="A11" s="2"/>
      <x:c r="B11" s="2"/>
      <x:c r="C11" s="2" t="str">
        <x:v>租赁后现金桥</x:v>
      </x:c>
      <x:c r="D11" s="30" t="n">
        <x:f>ROUND('Earnings'!G17-2743.44310416,6)</x:f>
        <x:v>0</x:v>
      </x:c>
      <x:c r="E11" s="2"/>
      <x:c r="F11" s="2"/>
      <x:c r="G11" s="2"/>
      <x:c r="H11" s="2"/>
      <x:c r="I11" s="2"/>
      <x:c r="J11" s="2"/>
    </x:row>
    <x:row r="12" ht="24" customHeight="1">
      <x:c r="A12" s="2"/>
      <x:c r="B12" s="2"/>
      <x:c r="C12" s="2" t="str">
        <x:v>净金融资产桥</x:v>
      </x:c>
      <x:c r="D12" s="30" t="n">
        <x:f>ROUND('Cash'!E18-11448.85895171,6)</x:f>
        <x:v>0</x:v>
      </x:c>
      <x:c r="E12" s="2"/>
      <x:c r="F12" s="2"/>
      <x:c r="G12" s="2"/>
      <x:c r="H12" s="2"/>
      <x:c r="I12" s="2"/>
      <x:c r="J12" s="2"/>
    </x:row>
    <x:row r="13" ht="24" customHeight="1">
      <x:c r="A13" s="2"/>
      <x:c r="B13" s="2"/>
      <x:c r="C13" s="2" t="str">
        <x:v>租赁调整资金桥</x:v>
      </x:c>
      <x:c r="D13" s="30" t="n">
        <x:f>ROUND('Cash'!E21-8928.79638765,6)</x:f>
        <x:v>0</x:v>
      </x:c>
      <x:c r="E13" s="2"/>
      <x:c r="F13" s="2"/>
      <x:c r="G13" s="2"/>
      <x:c r="H13" s="2"/>
      <x:c r="I13" s="2"/>
      <x:c r="J13" s="2"/>
    </x:row>
    <x:row r="14" ht="24" customHeight="1">
      <x:c r="A14" s="2"/>
      <x:c r="B14" s="2"/>
      <x:c r="C14" s="2" t="str">
        <x:v>活动价值桥</x:v>
      </x:c>
      <x:c r="D14" s="30" t="n">
        <x:f>ROUND('Valuation'!D24*'Valuation'!D22-'Valuation'!D21*'Valuation'!D23,6)</x:f>
        <x:v>0</x:v>
      </x:c>
      <x:c r="E14" s="2"/>
      <x:c r="F14" s="2"/>
      <x:c r="G14" s="2"/>
      <x:c r="H14" s="2"/>
      <x:c r="I14" s="2"/>
      <x:c r="J14" s="2"/>
    </x:row>
    <x:row r="15" ht="24" customHeight="1">
      <x:c r="A15" s="2"/>
      <x:c r="B15" s="2"/>
      <x:c r="C15" s="2"/>
      <x:c r="D15" s="2"/>
      <x:c r="E15" s="2"/>
      <x:c r="F15" s="2"/>
      <x:c r="G15" s="2"/>
      <x:c r="H15" s="2"/>
      <x:c r="I15" s="2"/>
      <x:c r="J15" s="2"/>
    </x:row>
    <x:row r="16" ht="24" customHeight="1">
      <x:c r="A16" s="2"/>
      <x:c r="B16" s="2"/>
      <x:c r="C16" s="2"/>
      <x:c r="D16" s="2"/>
      <x:c r="E16" s="2"/>
      <x:c r="F16" s="2"/>
      <x:c r="G16" s="2"/>
      <x:c r="H16" s="2"/>
      <x:c r="I16" s="2"/>
      <x:c r="J16" s="2"/>
    </x:row>
    <x:row r="17" ht="24" customHeight="1">
      <x:c r="A17" s="2"/>
      <x:c r="B17" s="2"/>
      <x:c r="C17" s="2"/>
      <x:c r="D17" s="2"/>
      <x:c r="E17" s="2"/>
      <x:c r="F17" s="2"/>
      <x:c r="G17" s="2"/>
      <x:c r="H17" s="2"/>
      <x:c r="I17" s="2"/>
      <x:c r="J17" s="2"/>
    </x:row>
    <x:row r="18" ht="24" customHeight="1">
      <x:c r="A18" s="2"/>
      <x:c r="B18" s="2"/>
      <x:c r="C18" s="8" t="str">
        <x:v>编号</x:v>
      </x:c>
      <x:c r="D18" s="8" t="str">
        <x:v>文件及口径</x:v>
      </x:c>
      <x:c r="E18" s="8" t="str">
        <x:v>日期</x:v>
      </x:c>
      <x:c r="F18" s="8" t="str">
        <x:v>外部来源</x:v>
      </x:c>
      <x:c r="G18" s="2"/>
      <x:c r="H18" s="2"/>
      <x:c r="I18" s="2"/>
      <x:c r="J18" s="2"/>
    </x:row>
    <x:row r="19" ht="48" customHeight="1">
      <x:c r="A19" s="2"/>
      <x:c r="B19" s="2"/>
      <x:c r="C19" s="2" t="str">
        <x:v>S01</x:v>
      </x:c>
      <x:c r="D19" s="2" t="str">
        <x:v>2025年年度报告（审计财报）</x:v>
      </x:c>
      <x:c r="E19" s="2" t="str">
        <x:v>2026-04-29</x:v>
      </x:c>
      <x:c r="F19" s="18" t="str">
        <x:v>https://static.cninfo.com.cn/finalpage/2026-04-29/1225251512.PDF</x:v>
      </x:c>
      <x:c r="G19" s="18"/>
      <x:c r="H19" s="18"/>
      <x:c r="I19" s="18"/>
      <x:c r="J19" s="18"/>
    </x:row>
    <x:row r="20" ht="48" customHeight="1">
      <x:c r="A20" s="2"/>
      <x:c r="B20" s="2"/>
      <x:c r="C20" s="2" t="str">
        <x:v>S02</x:v>
      </x:c>
      <x:c r="D20" s="2" t="str">
        <x:v>2026年半年度报告（未经审计）</x:v>
      </x:c>
      <x:c r="E20" s="2" t="str">
        <x:v>2026-08-19</x:v>
      </x:c>
      <x:c r="F20" s="18" t="str">
        <x:v>https://static.cninfo.com.cn/finalpage/2026-08-19/1225480000.PDF</x:v>
      </x:c>
      <x:c r="G20" s="18"/>
      <x:c r="H20" s="18"/>
      <x:c r="I20" s="18"/>
      <x:c r="J20" s="18"/>
    </x:row>
    <x:row r="21" ht="48" customHeight="1">
      <x:c r="A21" s="2"/>
      <x:c r="B21" s="2"/>
      <x:c r="C21" s="2" t="str">
        <x:v>S03</x:v>
      </x:c>
      <x:c r="D21" s="2" t="str">
        <x:v>2026年第一季度报告（未经审计）</x:v>
      </x:c>
      <x:c r="E21" s="2" t="str">
        <x:v>2026-04-29</x:v>
      </x:c>
      <x:c r="F21" s="18" t="str">
        <x:v>https://disc.static.szse.cn/disc/disk03/finalpage/2026-04-29/9a9c3db2-4f85-4c67-b663-a26e5bc7ee43.PDF</x:v>
      </x:c>
      <x:c r="G21" s="18"/>
      <x:c r="H21" s="18"/>
      <x:c r="I21" s="18"/>
      <x:c r="J21" s="18"/>
    </x:row>
    <x:row r="22" ht="48" customHeight="1">
      <x:c r="A22" s="2"/>
      <x:c r="B22" s="2"/>
      <x:c r="C22" s="2" t="str">
        <x:v>S04</x:v>
      </x:c>
      <x:c r="D22" s="2" t="str">
        <x:v>新潮重组草案摘要修订稿</x:v>
      </x:c>
      <x:c r="E22" s="2" t="str">
        <x:v>2026-09-24</x:v>
      </x:c>
      <x:c r="F22" s="18" t="str">
        <x:v>https://file.finance.sina.com.cn/211.154.219.97%3A9494/MRGG/CNSESZ_STOCK/2026/2026-9/2026-09-24/12619760.PDF</x:v>
      </x:c>
      <x:c r="G22" s="18"/>
      <x:c r="H22" s="18"/>
      <x:c r="I22" s="18"/>
      <x:c r="J22" s="18"/>
    </x:row>
    <x:row r="23" ht="48" customHeight="1">
      <x:c r="A23" s="2"/>
      <x:c r="B23" s="2"/>
      <x:c r="C23" s="2" t="str">
        <x:v>S05</x:v>
      </x:c>
      <x:c r="D23" s="2" t="str">
        <x:v>新潮2024至2026Q1审计报告</x:v>
      </x:c>
      <x:c r="E23" s="2" t="str">
        <x:v>2026-09-24</x:v>
      </x:c>
      <x:c r="F23" s="18" t="str">
        <x:v>https://static.cninfo.com.cn/finalpage/2026-09-24/1225579773.PDF</x:v>
      </x:c>
      <x:c r="G23" s="18"/>
      <x:c r="H23" s="18"/>
      <x:c r="I23" s="18"/>
      <x:c r="J23" s="18"/>
    </x:row>
    <x:row r="24" ht="48" customHeight="1">
      <x:c r="A24" s="2"/>
      <x:c r="B24" s="2"/>
      <x:c r="C24" s="2" t="str">
        <x:v>S06</x:v>
      </x:c>
      <x:c r="D24" s="2" t="str">
        <x:v>市场监管总局附条件批准决定</x:v>
      </x:c>
      <x:c r="E24" s="2" t="str">
        <x:v>2026-10-10</x:v>
      </x:c>
      <x:c r="F24" s="18" t="str">
        <x:v>https://www.samr.gov.cn/jzxts/tzgg/ftjpz/art/2026/art_dffe5a3714b342d5a003d782f8ba91a4.html</x:v>
      </x:c>
      <x:c r="G24" s="18"/>
      <x:c r="H24" s="18"/>
      <x:c r="I24" s="18"/>
      <x:c r="J24" s="18"/>
    </x:row>
    <x:row r="25" ht="48" customHeight="1">
      <x:c r="A25" s="2"/>
      <x:c r="B25" s="2"/>
      <x:c r="C25" s="2" t="str">
        <x:v>S07</x:v>
      </x:c>
      <x:c r="D25" s="2" t="str">
        <x:v>公司收到反垄断决定的公告</x:v>
      </x:c>
      <x:c r="E25" s="2" t="str">
        <x:v>2026-10-12</x:v>
      </x:c>
      <x:c r="F25" s="18" t="str">
        <x:v>https://static.cninfo.com.cn/finalpage/2026-10-12/1225600446.PDF</x:v>
      </x:c>
      <x:c r="G25" s="18"/>
      <x:c r="H25" s="18"/>
      <x:c r="I25" s="18"/>
      <x:c r="J25" s="18"/>
    </x:row>
    <x:row r="26" ht="48" customHeight="1">
      <x:c r="A26" s="2"/>
      <x:c r="B26" s="2"/>
      <x:c r="C26" s="2" t="str">
        <x:v>S08</x:v>
      </x:c>
      <x:c r="D26" s="2" t="str">
        <x:v>投资者关系记录（管理层口径）</x:v>
      </x:c>
      <x:c r="E26" s="2" t="str">
        <x:v>2026-08-19</x:v>
      </x:c>
      <x:c r="F26" s="18" t="str">
        <x:v>https://file.finance.sina.com.cn/211.154.219.97%3A9494/MRGG/CNSESZ_STOCK/2026/2026-8/2026-08-19/12506139.PDF</x:v>
      </x:c>
      <x:c r="G26" s="18"/>
      <x:c r="H26" s="18"/>
      <x:c r="I26" s="18"/>
      <x:c r="J26" s="18"/>
    </x:row>
    <x:row r="27" ht="48" customHeight="1">
      <x:c r="A27" s="2"/>
      <x:c r="B27" s="2"/>
      <x:c r="C27" s="2" t="str">
        <x:v>S09</x:v>
      </x:c>
      <x:c r="D27" s="2" t="str">
        <x:v>2026H1权益分派实施公告</x:v>
      </x:c>
      <x:c r="E27" s="2" t="str">
        <x:v>2026-08-28</x:v>
      </x:c>
      <x:c r="F27" s="18" t="str">
        <x:v>https://file.finance.sina.com.cn/211.154.219.97%3A9494/MRGG/CNSESZ_STOCK/2026/2026-8/2026-08-28/12563727.PDF</x:v>
      </x:c>
      <x:c r="G27" s="18"/>
      <x:c r="H27" s="18"/>
      <x:c r="I27" s="18"/>
      <x:c r="J27" s="18"/>
    </x:row>
    <x:row r="28" ht="48" customHeight="1">
      <x:c r="A28" s="2"/>
      <x:c r="B28" s="2"/>
      <x:c r="C28" s="2" t="str">
        <x:v>S10</x:v>
      </x:c>
      <x:c r="D28" s="2" t="str">
        <x:v>2025年度末期分派实施公告</x:v>
      </x:c>
      <x:c r="E28" s="2" t="str">
        <x:v>2026-07-02</x:v>
      </x:c>
      <x:c r="F28" s="18" t="str">
        <x:v>https://file.finance.sina.com.cn/211.154.219.97%3A9494/MRGG/CNSESZ_STOCK/2026/2026-7/2026-07-02/12426822.PDF</x:v>
      </x:c>
      <x:c r="G28" s="18"/>
      <x:c r="H28" s="18"/>
      <x:c r="I28" s="18"/>
      <x:c r="J28" s="18"/>
    </x:row>
    <x:row r="29" ht="48" customHeight="1">
      <x:c r="A29" s="2"/>
      <x:c r="B29" s="2"/>
      <x:c r="C29" s="2" t="str">
        <x:v>S11</x:v>
      </x:c>
      <x:c r="D29" s="2" t="str">
        <x:v>境外平台增资扩股完成公告</x:v>
      </x:c>
      <x:c r="E29" s="2" t="str">
        <x:v>2026-07-10</x:v>
      </x:c>
      <x:c r="F29" s="18" t="str">
        <x:v>https://file.finance.sina.com.cn/211.154.219.97%3A9494/MRGG/CNSESZ_STOCK/2026/2026-7/2026-07-10/12438691.PDF</x:v>
      </x:c>
      <x:c r="G29" s="18"/>
      <x:c r="H29" s="18"/>
      <x:c r="I29" s="18"/>
      <x:c r="J29" s="18"/>
    </x:row>
    <x:row r="30" ht="48" customHeight="1">
      <x:c r="A30" s="2"/>
      <x:c r="B30" s="2"/>
      <x:c r="C30" s="2" t="str">
        <x:v>S12</x:v>
      </x:c>
      <x:c r="D30" s="2" t="str">
        <x:v>境外子公司融资担保公告</x:v>
      </x:c>
      <x:c r="E30" s="2" t="str">
        <x:v>2026-10-10</x:v>
      </x:c>
      <x:c r="F30" s="18" t="str">
        <x:v>https://static.cninfo.com.cn/finalpage/2026-10-10/1225599292.PDF</x:v>
      </x:c>
      <x:c r="G30" s="18"/>
      <x:c r="H30" s="18"/>
      <x:c r="I30" s="18"/>
      <x:c r="J30" s="18"/>
    </x:row>
    <x:row r="31" ht="48" customHeight="1">
      <x:c r="A31" s="2"/>
      <x:c r="B31" s="2"/>
      <x:c r="C31" s="2" t="str">
        <x:v>S13</x:v>
      </x:c>
      <x:c r="D31" s="2" t="str">
        <x:v>Investing历史行情（二级来源）</x:v>
      </x:c>
      <x:c r="E31" s="2" t="str">
        <x:v>行情2026-10-09</x:v>
      </x:c>
      <x:c r="F31" s="18" t="str">
        <x:v>https://cn.investing.com/equities/hedy-holding-a-historical-data</x:v>
      </x:c>
      <x:c r="G31" s="18"/>
      <x:c r="H31" s="18"/>
      <x:c r="I31" s="18"/>
      <x:c r="J31" s="18"/>
    </x:row>
    <x:row r="32" ht="24" customHeight="1">
      <x:c r="A32" s="2"/>
      <x:c r="B32" s="2"/>
      <x:c r="C32" s="2"/>
      <x:c r="D32" s="2"/>
      <x:c r="E32" s="2"/>
      <x:c r="F32" s="2"/>
      <x:c r="G32" s="2"/>
      <x:c r="H32" s="2"/>
      <x:c r="I32" s="2"/>
      <x:c r="J32" s="2"/>
    </x:row>
    <x:row r="33" ht="24" customHeight="1">
      <x:c r="A33" s="2"/>
      <x:c r="B33" s="2"/>
      <x:c r="C33" s="2"/>
      <x:c r="D33" s="2"/>
      <x:c r="E33" s="2"/>
      <x:c r="F33" s="2"/>
      <x:c r="G33" s="2"/>
      <x:c r="H33" s="2"/>
      <x:c r="I33" s="2"/>
      <x:c r="J33" s="2"/>
    </x:row>
    <x:row r="34" ht="24" customHeight="1">
      <x:c r="A34" s="2"/>
      <x:c r="B34" s="2"/>
      <x:c r="C34" s="2"/>
      <x:c r="D34" s="2"/>
      <x:c r="E34" s="2"/>
      <x:c r="F34" s="2"/>
      <x:c r="G34" s="2"/>
      <x:c r="H34" s="2"/>
      <x:c r="I34" s="2"/>
      <x:c r="J34" s="2"/>
    </x:row>
    <x:row r="35" ht="36" customHeight="1">
      <x:c r="A35" s="2"/>
      <x:c r="B35" s="2"/>
      <x:c r="C35" s="18" t="str">
        <x:v>正式财报、交易草案、审计新潮、管理层IR分别标记；完整原件及页码见source-index.md。</x:v>
      </x:c>
      <x:c r="D35" s="18"/>
      <x:c r="E35" s="18"/>
      <x:c r="F35" s="18"/>
      <x:c r="G35" s="18"/>
      <x:c r="H35" s="18"/>
      <x:c r="I35" s="18"/>
      <x:c r="J35" s="18"/>
    </x:row>
    <x:row r="36" ht="24" customHeight="1">
      <x:c r="A36" s="2"/>
      <x:c r="B36" s="2"/>
      <x:c r="C36" s="2"/>
      <x:c r="D36" s="2"/>
      <x:c r="E36" s="2"/>
      <x:c r="F36" s="2"/>
      <x:c r="G36" s="2"/>
      <x:c r="H36" s="2"/>
      <x:c r="I36" s="2"/>
      <x:c r="J36" s="2"/>
    </x:row>
    <x:row r="37" ht="24" customHeight="1">
      <x:c r="A37" s="2"/>
      <x:c r="B37" s="2"/>
      <x:c r="C37" s="2"/>
      <x:c r="D37" s="2"/>
      <x:c r="E37" s="2"/>
      <x:c r="F37" s="2"/>
      <x:c r="G37" s="2"/>
      <x:c r="H37" s="2"/>
      <x:c r="I37" s="2"/>
      <x:c r="J37" s="2"/>
    </x:row>
  </x:sheetData>
  <x:mergeCells>
    <x:mergeCell ref="F19:J19"/>
    <x:mergeCell ref="F20:J20"/>
    <x:mergeCell ref="F21:J21"/>
    <x:mergeCell ref="F22:J22"/>
    <x:mergeCell ref="F23:J23"/>
    <x:mergeCell ref="F24:J24"/>
    <x:mergeCell ref="F25:J25"/>
    <x:mergeCell ref="F26:J26"/>
    <x:mergeCell ref="F27:J27"/>
    <x:mergeCell ref="F28:J28"/>
    <x:mergeCell ref="F29:J29"/>
    <x:mergeCell ref="F30:J30"/>
    <x:mergeCell ref="F31:J31"/>
    <x:mergeCell ref="C35:J35"/>
  </x:mergeCells>
  <x:conditionalFormatting sqref="D7:D14">
    <x:cfRule type="expression" dxfId="0" priority="1">
      <x:formula>ABS(D7)&gt;0.01</x:formula>
    </x:cfRule>
  </x:conditionalFormatting>
  <x:pageMargins left="0.7" right="0.7" top="0.75" bottom="0.75" header="0.3" footer="0.3"/>
</x:worksheet>
</file>
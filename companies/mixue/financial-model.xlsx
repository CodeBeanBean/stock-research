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95bef6dc6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e1beda1a4324764"/>
    <x:sheet xmlns:r="http://schemas.openxmlformats.org/officeDocument/2006/relationships" name="Valuation" sheetId="2" r:id="R09b903ed686e46dc"/>
    <x:sheet xmlns:r="http://schemas.openxmlformats.org/officeDocument/2006/relationships" name="Assumptions" sheetId="3" r:id="R2cd0aba000514061"/>
    <x:sheet xmlns:r="http://schemas.openxmlformats.org/officeDocument/2006/relationships" name="Actuals" sheetId="4" r:id="Raa12da3ba35f495b"/>
    <x:sheet xmlns:r="http://schemas.openxmlformats.org/officeDocument/2006/relationships" name="Stores" sheetId="5" r:id="R2016e059096e4bb4"/>
    <x:sheet xmlns:r="http://schemas.openxmlformats.org/officeDocument/2006/relationships" name="Cash" sheetId="6" r:id="Rc9f481e77b7e4629"/>
    <x:sheet xmlns:r="http://schemas.openxmlformats.org/officeDocument/2006/relationships" name="Audit" sheetId="7" r:id="Rbf3f4323c318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;(#,##0.00);&quot;-&quot;"/>
    <x:numFmt numFmtId="201" formatCode="0.0%;(0.0%);&quot;-&quot;"/>
    <x:numFmt numFmtId="202" formatCode="#,##0"/>
    <x:numFmt numFmtId="203" formatCode="0.00000"/>
    <x:numFmt numFmtId="204" formatCode="0"/>
    <x:numFmt numFmtId="205" formatCode="0.0"/>
    <x:numFmt numFmtId="206" formatCode="0.00;(0.00);0.00"/>
  </x:numFmts>
  <x:fonts count="9">
    <x:font>
      <x:sz val="11"/>
      <x:name val="Carlito"/>
    </x:font>
    <x:font>
      <x:sz val="10"/>
      <x:color rgb="FF172B3A"/>
      <x:name val="Microsoft YaHei"/>
    </x:font>
    <x:font>
      <x:b/>
      <x:sz val="17"/>
      <x:color rgb="FF172B3A"/>
      <x:name val="Microsoft YaHei"/>
    </x:font>
    <x:font>
      <x:sz val="10"/>
      <x:color rgb="FF667085"/>
      <x:name val="Microsoft YaHei"/>
    </x:font>
    <x:font>
      <x:sz val="10"/>
      <x:color rgb="FF00800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000000"/>
      <x:name val="Microsoft YaHei"/>
    </x:font>
    <x:font>
      <x:b/>
      <x:sz val="10"/>
      <x:color rgb="FF243C55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EDF1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C55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d389bc0e54326" /><Relationship Type="http://schemas.openxmlformats.org/officeDocument/2006/relationships/theme" Target="/xl/theme/theme1.xml" Id="R793b0b701506459e" /><Relationship Type="http://schemas.openxmlformats.org/officeDocument/2006/relationships/sharedStrings" Target="/xl/sharedStrings.xml" Id="Rccaed6fd225a4468" /><Relationship Type="http://schemas.openxmlformats.org/officeDocument/2006/relationships/worksheet" Target="/xl/worksheets/sheet1.xml" Id="Rde1beda1a4324764" /><Relationship Type="http://schemas.openxmlformats.org/officeDocument/2006/relationships/worksheet" Target="/xl/worksheets/sheet2.xml" Id="R09b903ed686e46dc" /><Relationship Type="http://schemas.openxmlformats.org/officeDocument/2006/relationships/worksheet" Target="/xl/worksheets/sheet3.xml" Id="R2cd0aba000514061" /><Relationship Type="http://schemas.openxmlformats.org/officeDocument/2006/relationships/worksheet" Target="/xl/worksheets/sheet4.xml" Id="Raa12da3ba35f495b" /><Relationship Type="http://schemas.openxmlformats.org/officeDocument/2006/relationships/worksheet" Target="/xl/worksheets/sheet5.xml" Id="R2016e059096e4bb4" /><Relationship Type="http://schemas.openxmlformats.org/officeDocument/2006/relationships/worksheet" Target="/xl/worksheets/sheet6.xml" Id="Rc9f481e77b7e4629" /><Relationship Type="http://schemas.openxmlformats.org/officeDocument/2006/relationships/worksheet" Target="/xl/worksheets/sheet7.xml" Id="Rbf3f4323c31841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7ae066e64b4c94" /><Relationship Type="http://schemas.openxmlformats.org/officeDocument/2006/relationships/chart" Target="/xl/drawings/charts/chart2.xml" Id="Rbaf613ba027c4a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每股价值与参考价（港元）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spPr>
            <a:solidFill xmlns:a="http://schemas.openxmlformats.org/drawingml/2006/main">
              <a:srgbClr val="2E6B63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'Cover'!$D$15:$D$17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参考价</c:v>
          </c:tx>
          <c:spPr>
            <a:solidFill xmlns:a="http://schemas.openxmlformats.org/drawingml/2006/main">
              <a:srgbClr val="A9B8C7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'Cover'!$E$15:$E$17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H1利润与经营现金（百万元）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归母利润</c:v>
          </c:tx>
          <c:spPr>
            <a:solidFill xmlns:a="http://schemas.openxmlformats.org/drawingml/2006/main">
              <a:srgbClr val="2E6B63"/>
            </a:solidFill>
          </c:spPr>
          <c:invertIfNegative val="0"/>
          <c:cat>
            <c:strRef>
              <c:f>'Cover'!$C$25:$C$26</c:f>
              <c:strCache>
                <c:ptCount val="0"/>
              </c:strCache>
            </c:strRef>
          </c:cat>
          <c:val>
            <c:numRef>
              <c:f>'Cover'!$D$25:$D$26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经营现金</c:v>
          </c:tx>
          <c:spPr>
            <a:solidFill xmlns:a="http://schemas.openxmlformats.org/drawingml/2006/main">
              <a:srgbClr val="A9B8C7"/>
            </a:solidFill>
          </c:spPr>
          <c:invertIfNegative val="0"/>
          <c:cat>
            <c:strRef>
              <c:f>'Cover'!$C$25:$C$26</c:f>
              <c:strCache>
                <c:ptCount val="0"/>
              </c:strCache>
            </c:strRef>
          </c:cat>
          <c:val>
            <c:numRef>
              <c:f>'Cover'!$E$25:$E$26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7ae066e64b4c94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f613ba027c4a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16afc6ae4341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2"/>
      <x:c r="B2" s="2"/>
      <x:c r="C2" s="3" t="str">
        <x:v>蜜雪集团财务与估值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/>
      <x:c r="B4" s="2"/>
      <x:c r="C4" s="5" t="str">
        <x:v>02097.HK，研究截止2026-10-12，价格采用2026-10-09收盘。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5" customHeight="1">
      <x:c r="A6" s="2"/>
      <x:c r="B6" s="2"/>
      <x:c r="C6" s="2" t="str">
        <x:v>当前判断</x:v>
      </x:c>
      <x:c r="D6" s="2" t="str">
        <x:v>中性观察</x:v>
      </x:c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/>
      <x:c r="B8" s="2"/>
      <x:c r="C8" s="2" t="str">
        <x:v>参考价（港元）</x:v>
      </x:c>
      <x:c r="D8" s="20" t="n">
        <x:f>'Valuation'!D8</x:f>
        <x:v>171.9</x:v>
      </x:c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/>
      <x:c r="B9" s="2"/>
      <x:c r="C9" s="2" t="str">
        <x:v>基准价值（港元）</x:v>
      </x:c>
      <x:c r="D9" s="20" t="n">
        <x:f>'Valuation'!E37</x:f>
        <x:v>199.98744783664299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/>
      <x:c r="B10" s="2"/>
      <x:c r="C10" s="2" t="str">
        <x:v>基准空间</x:v>
      </x:c>
      <x:c r="D10" s="21" t="n">
        <x:f>'Valuation'!E38</x:f>
        <x:v>0.16339411190600917</x:v>
      </x:c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/>
      <x:c r="B11" s="2"/>
      <x:c r="C11" s="2" t="str">
        <x:v>当前情景</x:v>
      </x:c>
      <x:c r="D11" s="6" t="str">
        <x:f>'Assumptions'!D33</x:f>
        <x:v>Base</x:v>
      </x:c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8" t="str">
        <x:v>情景</x:v>
      </x:c>
      <x:c r="D14" s="8" t="str">
        <x:v>每股价值</x:v>
      </x:c>
      <x:c r="E14" s="8" t="str">
        <x:v>参考价</x:v>
      </x:c>
      <x:c r="F14" s="2"/>
      <x:c r="G14" s="2"/>
      <x:c r="H14" s="2"/>
      <x:c r="I14" s="2"/>
      <x:c r="J14" s="2"/>
      <x:c r="K14" s="2"/>
      <x:c r="L14" s="2"/>
    </x:row>
    <x:row r="15" ht="25" customHeight="1">
      <x:c r="A15" s="2"/>
      <x:c r="B15" s="2"/>
      <x:c r="C15" s="2" t="str">
        <x:v>Bear</x:v>
      </x:c>
      <x:c r="D15" s="29" t="n">
        <x:f>'Valuation'!D37</x:f>
        <x:v>114.57614198974338</x:v>
      </x:c>
      <x:c r="E15" s="29" t="n">
        <x:f>'Valuation'!D8</x:f>
        <x:v>171.9</x:v>
      </x:c>
      <x:c r="F15" s="2"/>
      <x:c r="G15" s="2"/>
      <x:c r="H15" s="2"/>
      <x:c r="I15" s="2"/>
      <x:c r="J15" s="2"/>
      <x:c r="K15" s="2"/>
      <x:c r="L15" s="2"/>
    </x:row>
    <x:row r="16" ht="25" customHeight="1">
      <x:c r="A16" s="2"/>
      <x:c r="B16" s="2"/>
      <x:c r="C16" s="2" t="str">
        <x:v>Base</x:v>
      </x:c>
      <x:c r="D16" s="29" t="n">
        <x:f>'Valuation'!E37</x:f>
        <x:v>199.98744783664299</x:v>
      </x:c>
      <x:c r="E16" s="29" t="n">
        <x:f>'Valuation'!D8</x:f>
        <x:v>171.9</x:v>
      </x:c>
      <x:c r="F16" s="2"/>
      <x:c r="G16" s="2"/>
      <x:c r="H16" s="2"/>
      <x:c r="I16" s="2"/>
      <x:c r="J16" s="2"/>
      <x:c r="K16" s="2"/>
      <x:c r="L16" s="2"/>
    </x:row>
    <x:row r="17" ht="25" customHeight="1">
      <x:c r="A17" s="2"/>
      <x:c r="B17" s="2"/>
      <x:c r="C17" s="2" t="str">
        <x:v>Bull</x:v>
      </x:c>
      <x:c r="D17" s="29" t="n">
        <x:f>'Valuation'!F37</x:f>
        <x:v>332.12201158585356</x:v>
      </x:c>
      <x:c r="E17" s="29" t="n">
        <x:f>'Valuation'!D8</x:f>
        <x:v>171.9</x:v>
      </x:c>
      <x:c r="F17" s="2"/>
      <x:c r="G17" s="2"/>
      <x:c r="H17" s="2"/>
      <x:c r="I17" s="2"/>
      <x:c r="J17" s="2"/>
      <x:c r="K17" s="2"/>
      <x:c r="L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8" t="str">
        <x:v>H1经营（百万元）</x:v>
      </x:c>
      <x:c r="D24" s="8" t="str">
        <x:v>归母利润</x:v>
      </x:c>
      <x:c r="E24" s="8" t="str">
        <x:v>经营现金</x:v>
      </x:c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 t="str">
        <x:v>2025H1</x:v>
      </x:c>
      <x:c r="D25" s="30" t="n">
        <x:f>'Actuals'!F10</x:f>
        <x:v>2692.884</x:v>
      </x:c>
      <x:c r="E25" s="30" t="n">
        <x:f>'Actuals'!F14</x:f>
        <x:v>3275.383</x:v>
      </x:c>
      <x:c r="F25" s="2"/>
      <x:c r="G25" s="2"/>
      <x:c r="H25" s="2"/>
      <x:c r="I25" s="2"/>
      <x:c r="J25" s="2"/>
      <x:c r="K25" s="2"/>
      <x:c r="L25" s="2"/>
    </x:row>
    <x:row r="26" ht="25" customHeight="1">
      <x:c r="A26" s="2"/>
      <x:c r="B26" s="2"/>
      <x:c r="C26" s="2" t="str">
        <x:v>2026H1</x:v>
      </x:c>
      <x:c r="D26" s="30" t="n">
        <x:f>'Actuals'!G10</x:f>
        <x:v>2296.314</x:v>
      </x:c>
      <x:c r="E26" s="30" t="n">
        <x:f>'Actuals'!G14</x:f>
        <x:v>2049.818</x:v>
      </x:c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38" customHeight="1">
      <x:c r="A30" s="2"/>
      <x:c r="B30" s="2"/>
      <x:c r="C30" s="31" t="str">
        <x:v>供货增长、海外质量与奖励摊薄</x:v>
      </x:c>
      <x:c r="D30" s="31"/>
      <x:c r="E30" s="31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38" customHeight="1">
      <x:c r="A32" s="2"/>
      <x:c r="B32" s="2"/>
      <x:c r="C32" s="14" t="str">
        <x:v>门店规模扩大，但盈利与现金增长放缓。</x:v>
      </x:c>
      <x:c r="D32" s="14"/>
      <x:c r="E32" s="14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38" customHeight="1">
      <x:c r="A35" s="2"/>
      <x:c r="B35" s="2"/>
      <x:c r="C35" s="14" t="str">
        <x:v>查看Valuation和Stores，跟踪每股回报。</x:v>
      </x:c>
      <x:c r="D35" s="14"/>
      <x:c r="E35" s="14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</x:sheetData>
  <x:mergeCells>
    <x:mergeCell ref="C2:L2"/>
    <x:mergeCell ref="C4:L4"/>
    <x:mergeCell ref="C30:E30"/>
    <x:mergeCell ref="C32:E32"/>
    <x:mergeCell ref="C35:E35"/>
  </x:mergeCells>
  <x:pageMargins left="0.7" right="0.7" top="0.75" bottom="0.75" header="0.3" footer="0.3"/>
  <x:drawing xmlns:r="http://schemas.openxmlformats.org/officeDocument/2006/relationships" r:id="R4316afc6ae4341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2027年利润估值与敏感性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每股价值为港元。含资金收益的P/E，不额外叠加净现金。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'Assumptions'!D33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5" customHeight="1">
      <x:c r="A8" s="2"/>
      <x:c r="B8" s="2"/>
      <x:c r="C8" s="2" t="str">
        <x:v>参考价（港元）</x:v>
      </x:c>
      <x:c r="D8" s="20" t="n">
        <x:f>'Assumptions'!D7</x:f>
        <x:v>171.9</x:v>
      </x:c>
      <x:c r="E8" s="2"/>
      <x:c r="F8" s="2"/>
      <x:c r="G8" s="2"/>
      <x:c r="H8" s="2"/>
      <x:c r="I8" s="2"/>
    </x:row>
    <x:row r="9" ht="25" customHeight="1">
      <x:c r="A9" s="2"/>
      <x:c r="B9" s="2"/>
      <x:c r="C9" s="2" t="str">
        <x:v>1港元折人民币</x:v>
      </x:c>
      <x:c r="D9" s="25" t="n">
        <x:f>'Assumptions'!D8</x:f>
        <x:v>0.85798</x:v>
      </x:c>
      <x:c r="E9" s="2"/>
      <x:c r="F9" s="2"/>
      <x:c r="G9" s="2"/>
      <x:c r="H9" s="2"/>
      <x:c r="I9" s="2"/>
    </x:row>
    <x:row r="10" ht="25" customHeight="1">
      <x:c r="A10" s="2"/>
      <x:c r="B10" s="2"/>
      <x:c r="C10" s="2" t="str">
        <x:v>已发行股份（百万股）</x:v>
      </x:c>
      <x:c r="D10" s="20" t="n">
        <x:f>'Assumptions'!D10</x:f>
        <x:v>379.6188</x:v>
      </x:c>
      <x:c r="E10" s="2"/>
      <x:c r="F10" s="2"/>
      <x:c r="G10" s="2"/>
      <x:c r="H10" s="2"/>
      <x:c r="I10" s="2"/>
    </x:row>
    <x:row r="11" ht="25" customHeight="1">
      <x:c r="A11" s="2"/>
      <x:c r="B11" s="2"/>
      <x:c r="C11" s="2" t="str">
        <x:v>潜在奖励股份（百万股）</x:v>
      </x:c>
      <x:c r="D11" s="20" t="n">
        <x:f>'Assumptions'!D11</x:f>
        <x:v>12.0233</x:v>
      </x:c>
      <x:c r="E11" s="2"/>
      <x:c r="F11" s="2"/>
      <x:c r="G11" s="2"/>
      <x:c r="H11" s="2"/>
      <x:c r="I11" s="2"/>
    </x:row>
    <x:row r="12" ht="25" customHeight="1">
      <x:c r="A12" s="2"/>
      <x:c r="B12" s="2"/>
      <x:c r="C12" s="2" t="str">
        <x:v>TTM归母利润（百万元）</x:v>
      </x:c>
      <x:c r="D12" s="20" t="n">
        <x:f>'Actuals'!E10-'Actuals'!F10+'Actuals'!G10</x:f>
        <x:v>5490.134</x:v>
      </x:c>
      <x:c r="E12" s="2"/>
      <x:c r="F12" s="2"/>
      <x:c r="G12" s="2"/>
      <x:c r="H12" s="2"/>
      <x:c r="I12" s="2"/>
    </x:row>
    <x:row r="13" ht="25" customHeight="1">
      <x:c r="A13" s="2"/>
      <x:c r="B13" s="2"/>
      <x:c r="C13" s="2" t="str">
        <x:v>当前总市值（人民币百万元）</x:v>
      </x:c>
      <x:c r="D13" s="13" t="n">
        <x:f>D8*D9*D10</x:f>
        <x:v>55988.7476063256</x:v>
      </x:c>
      <x:c r="E13" s="2"/>
      <x:c r="F13" s="2"/>
      <x:c r="G13" s="2"/>
      <x:c r="H13" s="2"/>
      <x:c r="I13" s="2"/>
    </x:row>
    <x:row r="14" ht="25" customHeight="1">
      <x:c r="A14" s="2"/>
      <x:c r="B14" s="2"/>
      <x:c r="C14" s="2" t="str">
        <x:v>报告TTM P/E</x:v>
      </x:c>
      <x:c r="D14" s="13" t="n">
        <x:f>D13/D12</x:f>
        <x:v>10.198065767852952</x:v>
      </x:c>
      <x:c r="E14" s="2"/>
      <x:c r="F14" s="2"/>
      <x:c r="G14" s="2"/>
      <x:c r="H14" s="2"/>
      <x:c r="I14" s="2"/>
    </x:row>
    <x:row r="15" ht="25" customHeight="1">
      <x:c r="A15" s="2"/>
      <x:c r="B15" s="2"/>
      <x:c r="C15" s="2"/>
      <x:c r="D15" s="9"/>
      <x:c r="E15" s="2"/>
      <x:c r="F15" s="2"/>
      <x:c r="G15" s="2"/>
      <x:c r="H15" s="2"/>
      <x:c r="I15" s="2"/>
    </x:row>
    <x:row r="16" ht="25" customHeight="1">
      <x:c r="A16" s="2"/>
      <x:c r="B16" s="2"/>
      <x:c r="C16" s="2"/>
      <x:c r="D16" s="9"/>
      <x:c r="E16" s="2"/>
      <x:c r="F16" s="2"/>
      <x:c r="G16" s="2"/>
      <x:c r="H16" s="2"/>
      <x:c r="I16" s="2"/>
    </x:row>
    <x:row r="17" ht="25" customHeight="1">
      <x:c r="A17" s="2"/>
      <x:c r="B17" s="2"/>
      <x:c r="C17" s="2" t="str">
        <x:v>新增奖励费用前归母利润</x:v>
      </x:c>
      <x:c r="D17" s="20" t="n">
        <x:f>'Assumptions'!D15</x:f>
        <x:v>5400</x:v>
      </x:c>
      <x:c r="E17" s="2"/>
      <x:c r="F17" s="2"/>
      <x:c r="G17" s="2"/>
      <x:c r="H17" s="2"/>
      <x:c r="I17" s="2"/>
    </x:row>
    <x:row r="18" ht="25" customHeight="1">
      <x:c r="A18" s="2"/>
      <x:c r="B18" s="2"/>
      <x:c r="C18" s="2" t="str">
        <x:v>新增奖励税后费用</x:v>
      </x:c>
      <x:c r="D18" s="20" t="n">
        <x:f>'Assumptions'!D21</x:f>
        <x:v>600</x:v>
      </x:c>
      <x:c r="E18" s="2"/>
      <x:c r="F18" s="2"/>
      <x:c r="G18" s="2"/>
      <x:c r="H18" s="2"/>
      <x:c r="I18" s="2"/>
    </x:row>
    <x:row r="19" ht="25" customHeight="1">
      <x:c r="A19" s="2"/>
      <x:c r="B19" s="2"/>
      <x:c r="C19" s="2" t="str">
        <x:v>2027估值归母利润</x:v>
      </x:c>
      <x:c r="D19" s="13" t="n">
        <x:f>IF(OR(D17="n.a.",D18="n.a."),"n.a.",D17-D18)</x:f>
        <x:v>4800</x:v>
      </x:c>
      <x:c r="E19" s="2"/>
      <x:c r="F19" s="2"/>
      <x:c r="G19" s="2"/>
      <x:c r="H19" s="2"/>
      <x:c r="I19" s="2"/>
    </x:row>
    <x:row r="20" ht="25" customHeight="1">
      <x:c r="A20" s="2"/>
      <x:c r="B20" s="2"/>
      <x:c r="C20" s="2" t="str">
        <x:v>前瞻摊薄股份（百万股）</x:v>
      </x:c>
      <x:c r="D20" s="13" t="n">
        <x:f>SUM(D10:D11)</x:f>
        <x:v>391.6421</x:v>
      </x:c>
      <x:c r="E20" s="2"/>
      <x:c r="F20" s="2"/>
      <x:c r="G20" s="2"/>
      <x:c r="H20" s="2"/>
      <x:c r="I20" s="2"/>
    </x:row>
    <x:row r="21" ht="25" customHeight="1">
      <x:c r="A21" s="2"/>
      <x:c r="B21" s="2"/>
      <x:c r="C21" s="2" t="str">
        <x:v>合理P/E</x:v>
      </x:c>
      <x:c r="D21" s="20" t="n">
        <x:f>'Assumptions'!D27</x:f>
        <x:v>14</x:v>
      </x:c>
      <x:c r="E21" s="2"/>
      <x:c r="F21" s="2"/>
      <x:c r="G21" s="2"/>
      <x:c r="H21" s="2"/>
      <x:c r="I21" s="2"/>
    </x:row>
    <x:row r="22" ht="25" customHeight="1">
      <x:c r="A22" s="2"/>
      <x:c r="B22" s="2"/>
      <x:c r="C22" s="26" t="str">
        <x:v>每股价值（港元）</x:v>
      </x:c>
      <x:c r="D22" s="27" t="n">
        <x:f>IF(OR(D19="n.a.",D21="n.a."),"n.a.",D19*D21/D20/D9)</x:f>
        <x:v>199.98744783664299</x:v>
      </x:c>
      <x:c r="E22" s="2"/>
      <x:c r="F22" s="2"/>
      <x:c r="G22" s="2"/>
      <x:c r="H22" s="2"/>
      <x:c r="I22" s="2"/>
    </x:row>
    <x:row r="23" ht="25" customHeight="1">
      <x:c r="A23" s="2"/>
      <x:c r="B23" s="2"/>
      <x:c r="C23" s="26" t="str">
        <x:v>相对参考价</x:v>
      </x:c>
      <x:c r="D23" s="28" t="n">
        <x:f>IF(D22="n.a.","n.a.",D22/D8-1)</x:f>
        <x:v>0.16339411190600917</x:v>
      </x:c>
      <x:c r="E23" s="2"/>
      <x:c r="F23" s="2"/>
      <x:c r="G23" s="2"/>
      <x:c r="H23" s="2"/>
      <x:c r="I23" s="2"/>
    </x:row>
    <x:row r="24" ht="25" customHeight="1">
      <x:c r="A24" s="2"/>
      <x:c r="B24" s="2"/>
      <x:c r="C24" s="2"/>
      <x:c r="D24" s="9"/>
      <x:c r="E24" s="2"/>
      <x:c r="F24" s="2"/>
      <x:c r="G24" s="2"/>
      <x:c r="H24" s="2"/>
      <x:c r="I24" s="2"/>
    </x:row>
    <x:row r="25" ht="25" customHeight="1">
      <x:c r="A25" s="2"/>
      <x:c r="B25" s="2"/>
      <x:c r="C25" s="2" t="str">
        <x:v>假设未来股息（港元）</x:v>
      </x:c>
      <x:c r="D25" s="20" t="n">
        <x:f>IF(D19="n.a.","n.a.",D19/D20/D9*'Assumptions'!D12)</x:f>
        <x:v>4.285445310785207</x:v>
      </x:c>
      <x:c r="E25" s="2"/>
      <x:c r="F25" s="2"/>
      <x:c r="G25" s="2"/>
      <x:c r="H25" s="2"/>
      <x:c r="I25" s="2"/>
    </x:row>
    <x:row r="26" ht="25" customHeight="1">
      <x:c r="A26" s="2"/>
      <x:c r="B26" s="2"/>
      <x:c r="C26" s="2" t="str">
        <x:v>假设未来股息率</x:v>
      </x:c>
      <x:c r="D26" s="12" t="n">
        <x:f>IF(D25="n.a.","n.a.",D25/D8)</x:f>
        <x:v>0.024929873826557338</x:v>
      </x:c>
      <x:c r="E26" s="2"/>
      <x:c r="F26" s="2"/>
      <x:c r="G26" s="2"/>
      <x:c r="H26" s="2"/>
      <x:c r="I26" s="2"/>
    </x:row>
    <x:row r="27" ht="25" customHeight="1">
      <x:c r="A27" s="2"/>
      <x:c r="B27" s="2"/>
      <x:c r="C27" s="2" t="str">
        <x:v>参考价隐含归母利润（百万元）</x:v>
      </x:c>
      <x:c r="D27" s="13" t="n">
        <x:f>IF(D21="n.a.","n.a.",D8*D9*D20/D21)</x:f>
        <x:v>4125.858942277157</x:v>
      </x:c>
      <x:c r="E27" s="2"/>
      <x:c r="F27" s="2"/>
      <x:c r="G27" s="2"/>
      <x:c r="H27" s="2"/>
      <x:c r="I27" s="2"/>
    </x:row>
    <x:row r="28" ht="25" customHeight="1">
      <x:c r="A28" s="2"/>
      <x:c r="B28" s="2"/>
      <x:c r="C28" s="2" t="str">
        <x:v>每增加1亿元费用的价值影响</x:v>
      </x:c>
      <x:c r="D28" s="13" t="n">
        <x:f>IF(D21="n.a.","n.a.",-100*D21/D20/D9)</x:f>
        <x:v>-4.166405163263396</x:v>
      </x:c>
      <x:c r="E28" s="2"/>
      <x:c r="F28" s="2"/>
      <x:c r="G28" s="2"/>
      <x:c r="H28" s="2"/>
      <x:c r="I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8" t="str">
        <x:v>简明利润倍数比较</x:v>
      </x:c>
      <x:c r="D32" s="8" t="str">
        <x:v>Bear</x:v>
      </x:c>
      <x:c r="E32" s="8" t="str">
        <x:v>Base</x:v>
      </x:c>
      <x:c r="F32" s="8" t="str">
        <x:v>Bull</x:v>
      </x:c>
      <x:c r="G32" s="2"/>
      <x:c r="H32" s="2"/>
      <x:c r="I32" s="2"/>
    </x:row>
    <x:row r="33" ht="25" customHeight="1">
      <x:c r="A33" s="2"/>
      <x:c r="B33" s="2"/>
      <x:c r="C33" s="2" t="str">
        <x:v>新增奖励费用前归母利润</x:v>
      </x:c>
      <x:c r="D33" s="20" t="n">
        <x:f>IF(ISBLANK('Assumptions'!D16),"n.a.",'Assumptions'!D16)</x:f>
        <x:v>4200</x:v>
      </x:c>
      <x:c r="E33" s="20" t="n">
        <x:f>IF(ISBLANK('Assumptions'!D17),"n.a.",'Assumptions'!D17)</x:f>
        <x:v>5400</x:v>
      </x:c>
      <x:c r="F33" s="20" t="n">
        <x:f>IF(ISBLANK('Assumptions'!D18),"n.a.",'Assumptions'!D18)</x:f>
        <x:v>6700</x:v>
      </x:c>
      <x:c r="G33" s="2"/>
      <x:c r="H33" s="2"/>
      <x:c r="I33" s="2"/>
    </x:row>
    <x:row r="34" ht="25" customHeight="1">
      <x:c r="A34" s="2"/>
      <x:c r="B34" s="2"/>
      <x:c r="C34" s="2" t="str">
        <x:v>新增奖励税后费用</x:v>
      </x:c>
      <x:c r="D34" s="20" t="n">
        <x:f>IF(ISBLANK('Assumptions'!D22),"n.a.",'Assumptions'!D22)</x:f>
        <x:v>700</x:v>
      </x:c>
      <x:c r="E34" s="20" t="n">
        <x:f>IF(ISBLANK('Assumptions'!D23),"n.a.",'Assumptions'!D23)</x:f>
        <x:v>600</x:v>
      </x:c>
      <x:c r="F34" s="20" t="n">
        <x:f>IF(ISBLANK('Assumptions'!D24),"n.a.",'Assumptions'!D24)</x:f>
        <x:v>500</x:v>
      </x:c>
      <x:c r="G34" s="2"/>
      <x:c r="H34" s="2"/>
      <x:c r="I34" s="2"/>
    </x:row>
    <x:row r="35" ht="25" customHeight="1">
      <x:c r="A35" s="2"/>
      <x:c r="B35" s="2"/>
      <x:c r="C35" s="2" t="str">
        <x:v>2027估值归母利润</x:v>
      </x:c>
      <x:c r="D35" s="13" t="n">
        <x:f>IF(OR(D33="n.a.",D34="n.a."),"n.a.",D33-D34)</x:f>
        <x:v>3500</x:v>
      </x:c>
      <x:c r="E35" s="13" t="n">
        <x:f>IF(OR(E33="n.a.",E34="n.a."),"n.a.",E33-E34)</x:f>
        <x:v>4800</x:v>
      </x:c>
      <x:c r="F35" s="13" t="n">
        <x:f>IF(OR(F33="n.a.",F34="n.a."),"n.a.",F33-F34)</x:f>
        <x:v>6200</x:v>
      </x:c>
      <x:c r="G35" s="2"/>
      <x:c r="H35" s="2"/>
      <x:c r="I35" s="2"/>
    </x:row>
    <x:row r="36" ht="25" customHeight="1">
      <x:c r="A36" s="2"/>
      <x:c r="B36" s="2"/>
      <x:c r="C36" s="2" t="str">
        <x:v>合理P/E</x:v>
      </x:c>
      <x:c r="D36" s="20" t="n">
        <x:f>IF(ISBLANK('Assumptions'!D28),"n.a.",'Assumptions'!D28)</x:f>
        <x:v>11</x:v>
      </x:c>
      <x:c r="E36" s="20" t="n">
        <x:f>IF(ISBLANK('Assumptions'!D29),"n.a.",'Assumptions'!D29)</x:f>
        <x:v>14</x:v>
      </x:c>
      <x:c r="F36" s="20" t="n">
        <x:f>IF(ISBLANK('Assumptions'!D30),"n.a.",'Assumptions'!D30)</x:f>
        <x:v>18</x:v>
      </x:c>
      <x:c r="G36" s="2"/>
      <x:c r="H36" s="2"/>
      <x:c r="I36" s="2"/>
    </x:row>
    <x:row r="37" ht="25" customHeight="1">
      <x:c r="A37" s="2"/>
      <x:c r="B37" s="2"/>
      <x:c r="C37" s="26" t="str">
        <x:v>每股价值（港元）</x:v>
      </x:c>
      <x:c r="D37" s="27" t="n">
        <x:f>IF(OR(D35="n.a.",D36="n.a."),"n.a.",D35*D36/$D$20/$D$9)</x:f>
        <x:v>114.57614198974338</x:v>
      </x:c>
      <x:c r="E37" s="27" t="n">
        <x:f>IF(OR(E35="n.a.",E36="n.a."),"n.a.",E35*E36/$D$20/$D$9)</x:f>
        <x:v>199.98744783664299</x:v>
      </x:c>
      <x:c r="F37" s="27" t="n">
        <x:f>IF(OR(F35="n.a.",F36="n.a."),"n.a.",F35*F36/$D$20/$D$9)</x:f>
        <x:v>332.12201158585356</x:v>
      </x:c>
      <x:c r="G37" s="2"/>
      <x:c r="H37" s="2"/>
      <x:c r="I37" s="2"/>
    </x:row>
    <x:row r="38" ht="25" customHeight="1">
      <x:c r="A38" s="2"/>
      <x:c r="B38" s="2"/>
      <x:c r="C38" s="26" t="str">
        <x:v>相对参考价</x:v>
      </x:c>
      <x:c r="D38" s="28" t="n">
        <x:f>IF(D37="n.a.","n.a.",D37/$D$8-1)</x:f>
        <x:v>-0.33347212338718224</x:v>
      </x:c>
      <x:c r="E38" s="28" t="n">
        <x:f>IF(E37="n.a.","n.a.",E37/$D$8-1)</x:f>
        <x:v>0.16339411190600917</x:v>
      </x:c>
      <x:c r="F38" s="28" t="n">
        <x:f>IF(F37="n.a.","n.a.",F37/$D$8-1)</x:f>
        <x:v>0.9320652215581939</x:v>
      </x:c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38" customHeight="1">
      <x:c r="A40" s="2"/>
      <x:c r="B40" s="2"/>
      <x:c r="C40" s="14" t="str">
        <x:v>特别股息已在10月5日除息。10月9日参考价和每股价值均按除息口径，不另加该次股息。</x:v>
      </x:c>
      <x:c r="D40" s="14"/>
      <x:c r="E40" s="14"/>
      <x:c r="F40" s="14"/>
      <x:c r="G40" s="14"/>
      <x:c r="H40" s="14"/>
      <x:c r="I40" s="14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8" customHeight="1">
      <x:c r="A42" s="2"/>
      <x:c r="B42" s="2"/>
      <x:c r="C42" s="14" t="str">
        <x:v>假设未来30%派息仅为现金回报校验。不能把特别股息当成每年固定分红。</x:v>
      </x:c>
      <x:c r="D42" s="14"/>
      <x:c r="E42" s="14"/>
      <x:c r="F42" s="14"/>
      <x:c r="G42" s="14"/>
      <x:c r="H42" s="14"/>
      <x:c r="I42" s="14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8" customHeight="1">
      <x:c r="A44" s="2"/>
      <x:c r="B44" s="2"/>
      <x:c r="C44" s="14" t="str">
        <x:v>2027价值采用前瞻盈利倍数，无额外机械年化、目标回报或固定折现。</x:v>
      </x:c>
      <x:c r="D44" s="14"/>
      <x:c r="E44" s="14"/>
      <x:c r="F44" s="14"/>
      <x:c r="G44" s="14"/>
      <x:c r="H44" s="14"/>
      <x:c r="I44" s="14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</x:row>
  </x:sheetData>
  <x:mergeCells>
    <x:mergeCell ref="C2:I2"/>
    <x:mergeCell ref="C4:I4"/>
    <x:mergeCell ref="C40:I40"/>
    <x:mergeCell ref="C42:I42"/>
    <x:mergeCell ref="C44:I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估值假设与情景控制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2027年归母利润，人民币百万元。蓝色为输入，绿色为跨表公式。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8" t="str">
        <x:v>市场与股本输入</x:v>
      </x:c>
      <x:c r="D6" s="8" t="str">
        <x:v>数值</x:v>
      </x:c>
      <x:c r="E6" s="8" t="str">
        <x:v>来源/性质</x:v>
      </x:c>
      <x:c r="F6" s="2"/>
      <x:c r="G6" s="2"/>
      <x:c r="H6" s="2"/>
      <x:c r="I6" s="2"/>
    </x:row>
    <x:row r="7" ht="25" customHeight="1">
      <x:c r="A7" s="2"/>
      <x:c r="B7" s="2"/>
      <x:c r="C7" s="2" t="str">
        <x:v>参考收盘价（港元）</x:v>
      </x:c>
      <x:c r="D7" s="10" t="n">
        <x:v>171.9</x:v>
      </x:c>
      <x:c r="E7" s="2" t="str">
        <x:v>S7 2026-10-09</x:v>
      </x:c>
      <x:c r="F7" s="2"/>
      <x:c r="G7" s="2"/>
      <x:c r="H7" s="2"/>
      <x:c r="I7" s="2"/>
    </x:row>
    <x:row r="8" ht="25" customHeight="1">
      <x:c r="A8" s="2"/>
      <x:c r="B8" s="2"/>
      <x:c r="C8" s="2" t="str">
        <x:v>1港元折人民币</x:v>
      </x:c>
      <x:c r="D8" s="22" t="n">
        <x:v>0.85798</x:v>
      </x:c>
      <x:c r="E8" s="2" t="str">
        <x:v>S8 同日官方中间价</x:v>
      </x:c>
      <x:c r="F8" s="2"/>
      <x:c r="G8" s="2"/>
      <x:c r="H8" s="2"/>
      <x:c r="I8" s="2"/>
    </x:row>
    <x:row r="9" ht="25" customHeight="1">
      <x:c r="A9" s="2"/>
      <x:c r="B9" s="2"/>
      <x:c r="C9" s="2" t="str">
        <x:v>情景选择 1/2/3</x:v>
      </x:c>
      <x:c r="D9" s="23" t="n">
        <x:v>2</x:v>
      </x:c>
      <x:c r="E9" s="2" t="str">
        <x:v>Bear/Base/Bull</x:v>
      </x:c>
      <x:c r="F9" s="2"/>
      <x:c r="G9" s="2"/>
      <x:c r="H9" s="2"/>
      <x:c r="I9" s="2"/>
    </x:row>
    <x:row r="10" ht="25" customHeight="1">
      <x:c r="A10" s="2"/>
      <x:c r="B10" s="2"/>
      <x:c r="C10" s="2" t="str">
        <x:v>已发行股数（百万股）</x:v>
      </x:c>
      <x:c r="D10" s="10" t="n">
        <x:v>379.6188</x:v>
      </x:c>
      <x:c r="E10" s="2" t="str">
        <x:v>S3 2026-09月报</x:v>
      </x:c>
      <x:c r="F10" s="2"/>
      <x:c r="G10" s="2"/>
      <x:c r="H10" s="2"/>
      <x:c r="I10" s="2"/>
    </x:row>
    <x:row r="11" ht="25" customHeight="1">
      <x:c r="A11" s="2"/>
      <x:c r="B11" s="2"/>
      <x:c r="C11" s="2" t="str">
        <x:v>授予新股（百万股）</x:v>
      </x:c>
      <x:c r="D11" s="10" t="n">
        <x:v>12.0233</x:v>
      </x:c>
      <x:c r="E11" s="2" t="str">
        <x:v>S5 全额潜在摊薄</x:v>
      </x:c>
      <x:c r="F11" s="2"/>
      <x:c r="G11" s="2"/>
      <x:c r="H11" s="2"/>
      <x:c r="I11" s="2"/>
    </x:row>
    <x:row r="12" ht="25" customHeight="1">
      <x:c r="A12" s="2"/>
      <x:c r="B12" s="2"/>
      <x:c r="C12" s="2" t="str">
        <x:v>未来派息率</x:v>
      </x:c>
      <x:c r="D12" s="24" t="n">
        <x:v>0.3</x:v>
      </x:c>
      <x:c r="E12" s="2" t="str">
        <x:v>研究假设，非公司承诺</x:v>
      </x:c>
      <x:c r="F12" s="2"/>
      <x:c r="G12" s="2"/>
      <x:c r="H12" s="2"/>
      <x:c r="I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5" customHeight="1">
      <x:c r="A14" s="2"/>
      <x:c r="B14" s="2"/>
      <x:c r="C14" s="8" t="str">
        <x:v>新增奖励费用前归母利润</x:v>
      </x:c>
      <x:c r="D14" s="8" t="str">
        <x:v>2027E</x:v>
      </x:c>
      <x:c r="E14" s="2"/>
      <x:c r="F14" s="2"/>
      <x:c r="G14" s="2"/>
      <x:c r="H14" s="2"/>
      <x:c r="I14" s="2"/>
    </x:row>
    <x:row r="15" ht="25" customHeight="1">
      <x:c r="A15" s="2"/>
      <x:c r="B15" s="2"/>
      <x:c r="C15" s="2" t="str">
        <x:v>Active Selection</x:v>
      </x:c>
      <x:c r="D15" s="13" t="n">
        <x:f>IF(CHOOSE($D$9,ISBLANK(D16),ISBLANK(D17),ISBLANK(D18)),"n.a.",CHOOSE($D$9,D16,D17,D18))</x:f>
        <x:v>5400</x:v>
      </x:c>
      <x:c r="E15" s="2"/>
      <x:c r="F15" s="2"/>
      <x:c r="G15" s="2"/>
      <x:c r="H15" s="2"/>
      <x:c r="I15" s="2"/>
    </x:row>
    <x:row r="16" ht="25" customHeight="1">
      <x:c r="A16" s="2"/>
      <x:c r="B16" s="2"/>
      <x:c r="C16" s="2" t="str">
        <x:v>Bear</x:v>
      </x:c>
      <x:c r="D16" s="10" t="n">
        <x:v>4200</x:v>
      </x:c>
      <x:c r="E16" s="2"/>
      <x:c r="F16" s="2"/>
      <x:c r="G16" s="2"/>
      <x:c r="H16" s="2"/>
      <x:c r="I16" s="2"/>
    </x:row>
    <x:row r="17" ht="25" customHeight="1">
      <x:c r="A17" s="2"/>
      <x:c r="B17" s="2"/>
      <x:c r="C17" s="2" t="str">
        <x:v>Base</x:v>
      </x:c>
      <x:c r="D17" s="10" t="n">
        <x:v>5400</x:v>
      </x:c>
      <x:c r="E17" s="2"/>
      <x:c r="F17" s="2"/>
      <x:c r="G17" s="2"/>
      <x:c r="H17" s="2"/>
      <x:c r="I17" s="2"/>
    </x:row>
    <x:row r="18" ht="25" customHeight="1">
      <x:c r="A18" s="2"/>
      <x:c r="B18" s="2"/>
      <x:c r="C18" s="2" t="str">
        <x:v>Bull</x:v>
      </x:c>
      <x:c r="D18" s="10" t="n">
        <x:v>6700</x:v>
      </x:c>
      <x:c r="E18" s="2"/>
      <x:c r="F18" s="2"/>
      <x:c r="G18" s="2"/>
      <x:c r="H18" s="2"/>
      <x:c r="I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5" customHeight="1">
      <x:c r="A20" s="2"/>
      <x:c r="B20" s="2"/>
      <x:c r="C20" s="8" t="str">
        <x:v>新增奖励税后年度费用</x:v>
      </x:c>
      <x:c r="D20" s="8" t="str">
        <x:v>2027E</x:v>
      </x:c>
      <x:c r="E20" s="2"/>
      <x:c r="F20" s="2"/>
      <x:c r="G20" s="2"/>
      <x:c r="H20" s="2"/>
      <x:c r="I20" s="2"/>
    </x:row>
    <x:row r="21" ht="25" customHeight="1">
      <x:c r="A21" s="2"/>
      <x:c r="B21" s="2"/>
      <x:c r="C21" s="2" t="str">
        <x:v>Active Selection</x:v>
      </x:c>
      <x:c r="D21" s="13" t="n">
        <x:f>IF(CHOOSE($D$9,ISBLANK(D22),ISBLANK(D23),ISBLANK(D24)),"n.a.",CHOOSE($D$9,D22,D23,D24))</x:f>
        <x:v>600</x:v>
      </x:c>
      <x:c r="E21" s="2"/>
      <x:c r="F21" s="2"/>
      <x:c r="G21" s="2"/>
      <x:c r="H21" s="2"/>
      <x:c r="I21" s="2"/>
    </x:row>
    <x:row r="22" ht="25" customHeight="1">
      <x:c r="A22" s="2"/>
      <x:c r="B22" s="2"/>
      <x:c r="C22" s="2" t="str">
        <x:v>Bear</x:v>
      </x:c>
      <x:c r="D22" s="10" t="n">
        <x:v>700</x:v>
      </x:c>
      <x:c r="E22" s="2"/>
      <x:c r="F22" s="2"/>
      <x:c r="G22" s="2"/>
      <x:c r="H22" s="2"/>
      <x:c r="I22" s="2"/>
    </x:row>
    <x:row r="23" ht="25" customHeight="1">
      <x:c r="A23" s="2"/>
      <x:c r="B23" s="2"/>
      <x:c r="C23" s="2" t="str">
        <x:v>Base</x:v>
      </x:c>
      <x:c r="D23" s="10" t="n">
        <x:v>600</x:v>
      </x:c>
      <x:c r="E23" s="2"/>
      <x:c r="F23" s="2"/>
      <x:c r="G23" s="2"/>
      <x:c r="H23" s="2"/>
      <x:c r="I23" s="2"/>
    </x:row>
    <x:row r="24" ht="25" customHeight="1">
      <x:c r="A24" s="2"/>
      <x:c r="B24" s="2"/>
      <x:c r="C24" s="2" t="str">
        <x:v>Bull</x:v>
      </x:c>
      <x:c r="D24" s="10" t="n">
        <x:v>500</x:v>
      </x:c>
      <x:c r="E24" s="2"/>
      <x:c r="F24" s="2"/>
      <x:c r="G24" s="2"/>
      <x:c r="H24" s="2"/>
      <x:c r="I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5" customHeight="1">
      <x:c r="A26" s="2"/>
      <x:c r="B26" s="2"/>
      <x:c r="C26" s="8" t="str">
        <x:v>合理P/E</x:v>
      </x:c>
      <x:c r="D26" s="8" t="str">
        <x:v>2027E</x:v>
      </x:c>
      <x:c r="E26" s="2"/>
      <x:c r="F26" s="2"/>
      <x:c r="G26" s="2"/>
      <x:c r="H26" s="2"/>
      <x:c r="I26" s="2"/>
    </x:row>
    <x:row r="27" ht="25" customHeight="1">
      <x:c r="A27" s="2"/>
      <x:c r="B27" s="2"/>
      <x:c r="C27" s="2" t="str">
        <x:v>Active Selection</x:v>
      </x:c>
      <x:c r="D27" s="13" t="n">
        <x:f>IF(CHOOSE($D$9,ISBLANK(D28),ISBLANK(D29),ISBLANK(D30)),"n.a.",CHOOSE($D$9,D28,D29,D30))</x:f>
        <x:v>14</x:v>
      </x:c>
      <x:c r="E27" s="2"/>
      <x:c r="F27" s="2"/>
      <x:c r="G27" s="2"/>
      <x:c r="H27" s="2"/>
      <x:c r="I27" s="2"/>
    </x:row>
    <x:row r="28" ht="25" customHeight="1">
      <x:c r="A28" s="2"/>
      <x:c r="B28" s="2"/>
      <x:c r="C28" s="2" t="str">
        <x:v>Bear</x:v>
      </x:c>
      <x:c r="D28" s="10" t="n">
        <x:v>11</x:v>
      </x:c>
      <x:c r="E28" s="2"/>
      <x:c r="F28" s="2"/>
      <x:c r="G28" s="2"/>
      <x:c r="H28" s="2"/>
      <x:c r="I28" s="2"/>
    </x:row>
    <x:row r="29" ht="25" customHeight="1">
      <x:c r="A29" s="2"/>
      <x:c r="B29" s="2"/>
      <x:c r="C29" s="2" t="str">
        <x:v>Base</x:v>
      </x:c>
      <x:c r="D29" s="10" t="n">
        <x:v>14</x:v>
      </x:c>
      <x:c r="E29" s="2"/>
      <x:c r="F29" s="2"/>
      <x:c r="G29" s="2"/>
      <x:c r="H29" s="2"/>
      <x:c r="I29" s="2"/>
    </x:row>
    <x:row r="30" ht="25" customHeight="1">
      <x:c r="A30" s="2"/>
      <x:c r="B30" s="2"/>
      <x:c r="C30" s="2" t="str">
        <x:v>Bull</x:v>
      </x:c>
      <x:c r="D30" s="10" t="n">
        <x:v>18</x:v>
      </x:c>
      <x:c r="E30" s="2"/>
      <x:c r="F30" s="2"/>
      <x:c r="G30" s="2"/>
      <x:c r="H30" s="2"/>
      <x:c r="I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5" customHeight="1">
      <x:c r="A33" s="2"/>
      <x:c r="B33" s="2"/>
      <x:c r="C33" s="2" t="str">
        <x:v>当前情景</x:v>
      </x:c>
      <x:c r="D33" s="11" t="str">
        <x:f>CHOOSE(D9,"Bear","Base","Bull")</x:f>
        <x:v>Base</x:v>
      </x:c>
      <x:c r="E33" s="2"/>
      <x:c r="F33" s="2"/>
      <x:c r="G33" s="2"/>
      <x:c r="H33" s="2"/>
      <x:c r="I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8" customHeight="1">
      <x:c r="A35" s="2"/>
      <x:c r="B35" s="2"/>
      <x:c r="C35" s="14" t="str">
        <x:v>利润前值42/54/67亿元，已考虑供货增长放缓与费用压力。该口径仅剔除2026年9月新授予费用。</x:v>
      </x:c>
      <x:c r="D35" s="14"/>
      <x:c r="E35" s="14"/>
      <x:c r="F35" s="14"/>
      <x:c r="G35" s="14"/>
      <x:c r="H35" s="14"/>
      <x:c r="I35" s="14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8" customHeight="1">
      <x:c r="A37" s="2"/>
      <x:c r="B37" s="2"/>
      <x:c r="C37" s="14" t="str">
        <x:v>新增费用7/6/5亿元为税后研究假设。授予价差×股份×汇率÷3约5.72亿元，仅为数量级代理。</x:v>
      </x:c>
      <x:c r="D37" s="14"/>
      <x:c r="E37" s="14"/>
      <x:c r="F37" s="14"/>
      <x:c r="G37" s="14"/>
      <x:c r="H37" s="14"/>
      <x:c r="I37" s="14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8" customHeight="1">
      <x:c r="A39" s="2"/>
      <x:c r="B39" s="2"/>
      <x:c r="C39" s="14" t="str">
        <x:v>11/14/18倍为研究判断，不是同业实时报价。对应衰退、低速稳定及供货与海外回暖。</x:v>
      </x:c>
      <x:c r="D39" s="14"/>
      <x:c r="E39" s="14"/>
      <x:c r="F39" s="14"/>
      <x:c r="G39" s="14"/>
      <x:c r="H39" s="14"/>
      <x:c r="I39" s="14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8" customHeight="1">
      <x:c r="A41" s="2"/>
      <x:c r="B41" s="2"/>
      <x:c r="C41" s="14" t="str">
        <x:v>估值全额增加授予股份，忽略认购款的估值增益。实际EPS依归属、时间权重及会计规则。</x:v>
      </x:c>
      <x:c r="D41" s="14"/>
      <x:c r="E41" s="14"/>
      <x:c r="F41" s="14"/>
      <x:c r="G41" s="14"/>
      <x:c r="H41" s="14"/>
      <x:c r="I41" s="14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</x:sheetData>
  <x:mergeCells>
    <x:mergeCell ref="C2:I2"/>
    <x:mergeCell ref="C4:I4"/>
    <x:mergeCell ref="C35:I35"/>
    <x:mergeCell ref="C37:I37"/>
    <x:mergeCell ref="C39:I39"/>
    <x:mergeCell ref="C41:I41"/>
  </x:mergeCells>
  <x:dataValidations count="1">
    <x:dataValidation type="whole" operator="between" sqref="D9">
      <x:formula1>1</x:formula1>
      <x:formula2>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实际业绩与现金转换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人民币百万元，年度和半年度分列。S2为审计年报，S1为经审阅中报。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'Assumptions'!D33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项目</x:v>
      </x:c>
      <x:c r="D7" s="8" t="str">
        <x:v>2024A</x:v>
      </x:c>
      <x:c r="E7" s="8" t="str">
        <x:v>2025A</x:v>
      </x:c>
      <x:c r="F7" s="8" t="str">
        <x:v>2025H1</x:v>
      </x:c>
      <x:c r="G7" s="8" t="str">
        <x:v>2026H1</x:v>
      </x:c>
      <x:c r="H7" s="8" t="str">
        <x:v>来源</x:v>
      </x:c>
      <x:c r="I7" s="2"/>
    </x:row>
    <x:row r="8" ht="25" customHeight="1">
      <x:c r="A8" s="2"/>
      <x:c r="B8" s="2"/>
      <x:c r="C8" s="2" t="str">
        <x:v>收入</x:v>
      </x:c>
      <x:c r="D8" s="10" t="n">
        <x:v>24828.874</x:v>
      </x:c>
      <x:c r="E8" s="10" t="n">
        <x:v>33559.923</x:v>
      </x:c>
      <x:c r="F8" s="10" t="n">
        <x:v>14874.809</x:v>
      </x:c>
      <x:c r="G8" s="10" t="n">
        <x:v>15215.804</x:v>
      </x:c>
      <x:c r="H8" s="2" t="str">
        <x:v>S2 p107 / S1 p44</x:v>
      </x:c>
      <x:c r="I8" s="2"/>
    </x:row>
    <x:row r="9" ht="25" customHeight="1">
      <x:c r="A9" s="2"/>
      <x:c r="B9" s="2"/>
      <x:c r="C9" s="2" t="str">
        <x:v>毛利</x:v>
      </x:c>
      <x:c r="D9" s="10" t="n">
        <x:v>8060.207</x:v>
      </x:c>
      <x:c r="E9" s="10" t="n">
        <x:v>10451.762</x:v>
      </x:c>
      <x:c r="F9" s="10" t="n">
        <x:v>4706.373</x:v>
      </x:c>
      <x:c r="G9" s="10" t="n">
        <x:v>4629.693</x:v>
      </x:c>
      <x:c r="H9" s="2" t="str">
        <x:v>S2 p107 / S1 p44</x:v>
      </x:c>
      <x:c r="I9" s="2"/>
    </x:row>
    <x:row r="10" ht="25" customHeight="1">
      <x:c r="A10" s="2"/>
      <x:c r="B10" s="2"/>
      <x:c r="C10" s="2" t="str">
        <x:v>归母净利润</x:v>
      </x:c>
      <x:c r="D10" s="10" t="n">
        <x:v>4436.504</x:v>
      </x:c>
      <x:c r="E10" s="10" t="n">
        <x:v>5886.704</x:v>
      </x:c>
      <x:c r="F10" s="10" t="n">
        <x:v>2692.884</x:v>
      </x:c>
      <x:c r="G10" s="10" t="n">
        <x:v>2296.314</x:v>
      </x:c>
      <x:c r="H10" s="2" t="str">
        <x:v>S2 p107 / S1 p44</x:v>
      </x:c>
      <x:c r="I10" s="2"/>
    </x:row>
    <x:row r="11" ht="25" customHeight="1">
      <x:c r="A11" s="2"/>
      <x:c r="B11" s="2"/>
      <x:c r="C11" s="2" t="str">
        <x:v>合并净利润</x:v>
      </x:c>
      <x:c r="D11" s="10" t="n">
        <x:v>4454.203</x:v>
      </x:c>
      <x:c r="E11" s="10" t="n">
        <x:v>5927.077</x:v>
      </x:c>
      <x:c r="F11" s="10" t="n">
        <x:v>2718.214</x:v>
      </x:c>
      <x:c r="G11" s="10" t="n">
        <x:v>2319.272</x:v>
      </x:c>
      <x:c r="H11" s="2" t="str">
        <x:v>S2 p107 / S1 p44</x:v>
      </x:c>
      <x:c r="I11" s="2"/>
    </x:row>
    <x:row r="12" ht="25" customHeight="1">
      <x:c r="A12" s="2"/>
      <x:c r="B12" s="2"/>
      <x:c r="C12" s="2" t="str">
        <x:v>销售及分销费用</x:v>
      </x:c>
      <x:c r="D12" s="10" t="n">
        <x:v>1599.474</x:v>
      </x:c>
      <x:c r="E12" s="10" t="n">
        <x:v>2036.88</x:v>
      </x:c>
      <x:c r="F12" s="10" t="n">
        <x:v>913.679</x:v>
      </x:c>
      <x:c r="G12" s="10" t="n">
        <x:v>1122.937</x:v>
      </x:c>
      <x:c r="H12" s="2" t="str">
        <x:v>S2 p107 / S1 p44</x:v>
      </x:c>
      <x:c r="I12" s="2"/>
    </x:row>
    <x:row r="13" ht="25" customHeight="1">
      <x:c r="A13" s="2"/>
      <x:c r="B13" s="2"/>
      <x:c r="C13" s="2" t="str">
        <x:v>行政费用</x:v>
      </x:c>
      <x:c r="D13" s="10" t="n">
        <x:v>755.115</x:v>
      </x:c>
      <x:c r="E13" s="10" t="n">
        <x:v>1081.535</x:v>
      </x:c>
      <x:c r="F13" s="10" t="n">
        <x:v>437.65</x:v>
      </x:c>
      <x:c r="G13" s="10" t="n">
        <x:v>610.046</x:v>
      </x:c>
      <x:c r="H13" s="2" t="str">
        <x:v>S2 p107 / S1 p44</x:v>
      </x:c>
      <x:c r="I13" s="2"/>
    </x:row>
    <x:row r="14" ht="25" customHeight="1">
      <x:c r="A14" s="2"/>
      <x:c r="B14" s="2"/>
      <x:c r="C14" s="2" t="str">
        <x:v>经营现金净额</x:v>
      </x:c>
      <x:c r="D14" s="10" t="n">
        <x:v>6008.708</x:v>
      </x:c>
      <x:c r="E14" s="10" t="n">
        <x:v>6039.033</x:v>
      </x:c>
      <x:c r="F14" s="10" t="n">
        <x:v>3275.383</x:v>
      </x:c>
      <x:c r="G14" s="10" t="n">
        <x:v>2049.818</x:v>
      </x:c>
      <x:c r="H14" s="2" t="str">
        <x:v>S2 p114–116 / S1 p51–53</x:v>
      </x:c>
      <x:c r="I14" s="2"/>
    </x:row>
    <x:row r="15" ht="25" customHeight="1">
      <x:c r="A15" s="2"/>
      <x:c r="B15" s="2"/>
      <x:c r="C15" s="2" t="str">
        <x:v>现金购置固定资产</x:v>
      </x:c>
      <x:c r="D15" s="10" t="n">
        <x:v>1438.614</x:v>
      </x:c>
      <x:c r="E15" s="10" t="n">
        <x:v>685.13</x:v>
      </x:c>
      <x:c r="F15" s="10" t="n">
        <x:v>305.841</x:v>
      </x:c>
      <x:c r="G15" s="10" t="n">
        <x:v>289.367</x:v>
      </x:c>
      <x:c r="H15" s="2" t="str">
        <x:v>S2 p114–116 / S1 p51–53</x:v>
      </x:c>
      <x:c r="I15" s="2"/>
    </x:row>
    <x:row r="16" ht="25" customHeight="1">
      <x:c r="A16" s="2"/>
      <x:c r="B16" s="2"/>
      <x:c r="C16" s="2" t="str">
        <x:v>无形资产购置</x:v>
      </x:c>
      <x:c r="D16" s="10" t="n">
        <x:v>9.858</x:v>
      </x:c>
      <x:c r="E16" s="10" t="n">
        <x:v>0.047</x:v>
      </x:c>
      <x:c r="F16" s="10" t="n">
        <x:v>0.51</x:v>
      </x:c>
      <x:c r="G16" s="10" t="n">
        <x:v>2.828</x:v>
      </x:c>
      <x:c r="H16" s="2" t="str">
        <x:v>S2 p114–116 / S1 p51–53</x:v>
      </x:c>
      <x:c r="I16" s="2"/>
    </x:row>
    <x:row r="17" ht="25" customHeight="1">
      <x:c r="A17" s="2"/>
      <x:c r="B17" s="2"/>
      <x:c r="C17" s="2" t="str">
        <x:v>土地及使用权预付购置</x:v>
      </x:c>
      <x:c r="D17" s="10" t="n">
        <x:v>1.34</x:v>
      </x:c>
      <x:c r="E17" s="10" t="n">
        <x:v>6.358</x:v>
      </x:c>
      <x:c r="F17" s="10" t="n">
        <x:v>0</x:v>
      </x:c>
      <x:c r="G17" s="10" t="n">
        <x:v>38.409</x:v>
      </x:c>
      <x:c r="H17" s="2" t="str">
        <x:v>S2 p114–116 / S1 p51–53</x:v>
      </x:c>
      <x:c r="I17" s="2"/>
    </x:row>
    <x:row r="18" ht="25" customHeight="1">
      <x:c r="A18" s="2"/>
      <x:c r="B18" s="2"/>
      <x:c r="C18" s="2" t="str">
        <x:v>租赁本金支付</x:v>
      </x:c>
      <x:c r="D18" s="10" t="n">
        <x:v>83.49</x:v>
      </x:c>
      <x:c r="E18" s="10" t="n">
        <x:v>91.705</x:v>
      </x:c>
      <x:c r="F18" s="10" t="n">
        <x:v>35.689</x:v>
      </x:c>
      <x:c r="G18" s="10" t="n">
        <x:v>54.285</x:v>
      </x:c>
      <x:c r="H18" s="2" t="str">
        <x:v>S2 p114–116 / S1 p51–53</x:v>
      </x:c>
      <x:c r="I18" s="2"/>
    </x:row>
    <x:row r="19" ht="25" customHeight="1">
      <x:c r="A19" s="2"/>
      <x:c r="B19" s="2"/>
      <x:c r="C19" s="2" t="str">
        <x:v>租赁利息支付</x:v>
      </x:c>
      <x:c r="D19" s="10" t="n">
        <x:v>4.127</x:v>
      </x:c>
      <x:c r="E19" s="10" t="n">
        <x:v>4.874</x:v>
      </x:c>
      <x:c r="F19" s="10" t="n">
        <x:v>2.072</x:v>
      </x:c>
      <x:c r="G19" s="10" t="n">
        <x:v>3.163</x:v>
      </x:c>
      <x:c r="H19" s="2" t="str">
        <x:v>S2 p114–116 / S1 p51–53</x:v>
      </x:c>
      <x:c r="I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2" t="str">
        <x:v>毛利率</x:v>
      </x:c>
      <x:c r="D22" s="12" t="n">
        <x:f>D9/D8</x:f>
        <x:v>0.324630387991014</x:v>
      </x:c>
      <x:c r="E22" s="12" t="n">
        <x:f>E9/E8</x:f>
        <x:v>0.3114358158688266</x:v>
      </x:c>
      <x:c r="F22" s="12" t="n">
        <x:f>F9/F8</x:f>
        <x:v>0.3163988861974631</x:v>
      </x:c>
      <x:c r="G22" s="12" t="n">
        <x:f>G9/G8</x:f>
        <x:v>0.30426870640552417</x:v>
      </x:c>
      <x:c r="H22" s="2"/>
      <x:c r="I22" s="2"/>
    </x:row>
    <x:row r="23" ht="25" customHeight="1">
      <x:c r="A23" s="2"/>
      <x:c r="B23" s="2"/>
      <x:c r="C23" s="2" t="str">
        <x:v>归母净利率</x:v>
      </x:c>
      <x:c r="D23" s="12" t="n">
        <x:f>D10/D8</x:f>
        <x:v>0.17868325402110463</x:v>
      </x:c>
      <x:c r="E23" s="12" t="n">
        <x:f>E10/E8</x:f>
        <x:v>0.17540874572328427</x:v>
      </x:c>
      <x:c r="F23" s="12" t="n">
        <x:f>F10/F8</x:f>
        <x:v>0.18103654305746045</x:v>
      </x:c>
      <x:c r="G23" s="12" t="n">
        <x:f>G10/G8</x:f>
        <x:v>0.15091637615731643</x:v>
      </x:c>
      <x:c r="H23" s="2"/>
      <x:c r="I23" s="2"/>
    </x:row>
    <x:row r="24" ht="25" customHeight="1">
      <x:c r="A24" s="2"/>
      <x:c r="B24" s="2"/>
      <x:c r="C24" s="2" t="str">
        <x:v>销售及行政费率</x:v>
      </x:c>
      <x:c r="D24" s="12" t="n">
        <x:f>SUM(D12:D13)/D8</x:f>
        <x:v>0.0948326935808688</x:v>
      </x:c>
      <x:c r="E24" s="12" t="n">
        <x:f>SUM(E12:E13)/E8</x:f>
        <x:v>0.09292080318539467</x:v>
      </x:c>
      <x:c r="F24" s="12" t="n">
        <x:f>SUM(F12:F13)/F8</x:f>
        <x:v>0.09084681356244642</x:v>
      </x:c>
      <x:c r="G24" s="12" t="n">
        <x:f>SUM(G12:G13)/G8</x:f>
        <x:v>0.11389362008080545</x:v>
      </x:c>
      <x:c r="H24" s="2"/>
      <x:c r="I24" s="2"/>
    </x:row>
    <x:row r="25" ht="25" customHeight="1">
      <x:c r="A25" s="2"/>
      <x:c r="B25" s="2"/>
      <x:c r="C25" s="2" t="str">
        <x:v>经营现金/合并利润</x:v>
      </x:c>
      <x:c r="D25" s="12" t="n">
        <x:f>D14/D11</x:f>
        <x:v>1.3489973402649136</x:v>
      </x:c>
      <x:c r="E25" s="12" t="n">
        <x:f>E14/E11</x:f>
        <x:v>1.0188889059480752</x:v>
      </x:c>
      <x:c r="F25" s="12" t="n">
        <x:f>F14/F11</x:f>
        <x:v>1.2049761350651567</x:v>
      </x:c>
      <x:c r="G25" s="12" t="n">
        <x:f>G14/G11</x:f>
        <x:v>0.8838195778675378</x:v>
      </x:c>
      <x:c r="H25" s="2"/>
      <x:c r="I25" s="2"/>
    </x:row>
    <x:row r="26" ht="25" customHeight="1">
      <x:c r="A26" s="2"/>
      <x:c r="B26" s="2"/>
      <x:c r="C26" s="2" t="str">
        <x:v>扣资本开支和租赁现金代理</x:v>
      </x:c>
      <x:c r="D26" s="13" t="n">
        <x:f>D14-SUM(D15:D19)</x:f>
        <x:v>4471.2789999999995</x:v>
      </x:c>
      <x:c r="E26" s="13" t="n">
        <x:f>E14-SUM(E15:E19)</x:f>
        <x:v>5250.919</x:v>
      </x:c>
      <x:c r="F26" s="13" t="n">
        <x:f>F14-SUM(F15:F19)</x:f>
        <x:v>2931.2709999999997</x:v>
      </x:c>
      <x:c r="G26" s="13" t="n">
        <x:f>G14-SUM(G15:G19)</x:f>
        <x:v>1661.766</x:v>
      </x:c>
      <x:c r="H26" s="2"/>
      <x:c r="I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"/>
      <x:c r="C29" s="8" t="str">
        <x:v>2026H1同比</x:v>
      </x:c>
      <x:c r="D29" s="8" t="str">
        <x:v>数值</x:v>
      </x:c>
      <x:c r="E29" s="2"/>
      <x:c r="F29" s="2"/>
      <x:c r="G29" s="2"/>
      <x:c r="H29" s="2"/>
      <x:c r="I29" s="2"/>
    </x:row>
    <x:row r="30" ht="25" customHeight="1">
      <x:c r="A30" s="2"/>
      <x:c r="B30" s="2"/>
      <x:c r="C30" s="2" t="str">
        <x:v>收入</x:v>
      </x:c>
      <x:c r="D30" s="12" t="n">
        <x:f>G8/F8-1</x:f>
        <x:v>0.02292432796952215</x:v>
      </x:c>
      <x:c r="E30" s="2"/>
      <x:c r="F30" s="2"/>
      <x:c r="G30" s="2"/>
      <x:c r="H30" s="2"/>
      <x:c r="I30" s="2"/>
    </x:row>
    <x:row r="31" ht="25" customHeight="1">
      <x:c r="A31" s="2"/>
      <x:c r="B31" s="2"/>
      <x:c r="C31" s="2" t="str">
        <x:v>归母利润</x:v>
      </x:c>
      <x:c r="D31" s="12" t="n">
        <x:f>G10/F10-1</x:f>
        <x:v>-0.14726590525251004</x:v>
      </x:c>
      <x:c r="E31" s="2"/>
      <x:c r="F31" s="2"/>
      <x:c r="G31" s="2"/>
      <x:c r="H31" s="2"/>
      <x:c r="I31" s="2"/>
    </x:row>
    <x:row r="32" ht="25" customHeight="1">
      <x:c r="A32" s="2"/>
      <x:c r="B32" s="2"/>
      <x:c r="C32" s="2" t="str">
        <x:v>经营现金</x:v>
      </x:c>
      <x:c r="D32" s="12" t="n">
        <x:f>G14/F14-1</x:f>
        <x:v>-0.37417456218097234</x:v>
      </x:c>
      <x:c r="E32" s="2"/>
      <x:c r="F32" s="2"/>
      <x:c r="G32" s="2"/>
      <x:c r="H32" s="2"/>
      <x:c r="I32" s="2"/>
    </x:row>
    <x:row r="33" ht="25" customHeight="1">
      <x:c r="A33" s="2"/>
      <x:c r="B33" s="2"/>
      <x:c r="C33" s="2" t="str">
        <x:v>毛利率百分点变动</x:v>
      </x:c>
      <x:c r="D33" s="12" t="n">
        <x:f>G22-F22</x:f>
        <x:v>-0.012130179791938922</x:v>
      </x:c>
      <x:c r="E33" s="2"/>
      <x:c r="F33" s="2"/>
      <x:c r="G33" s="2"/>
      <x:c r="H33" s="2"/>
      <x:c r="I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8" customHeight="1">
      <x:c r="A35" s="2"/>
      <x:c r="B35" s="2"/>
      <x:c r="C35" s="14" t="str">
        <x:v>现金代理为合并口径，含扩产支出，不含并购或少数股东分配。不把半年度现金转换率年化。</x:v>
      </x:c>
      <x:c r="D35" s="14"/>
      <x:c r="E35" s="14"/>
      <x:c r="F35" s="14"/>
      <x:c r="G35" s="14"/>
      <x:c r="H35" s="14"/>
      <x:c r="I35" s="14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8" customHeight="1">
      <x:c r="A37" s="2"/>
      <x:c r="B37" s="2"/>
      <x:c r="C37" s="14" t="str">
        <x:v>2026H1归母22.963亿元，合并利润23.193亿元。P/E只使用归母利润。</x:v>
      </x:c>
      <x:c r="D37" s="14"/>
      <x:c r="E37" s="14"/>
      <x:c r="F37" s="14"/>
      <x:c r="G37" s="14"/>
      <x:c r="H37" s="14"/>
      <x:c r="I37" s="14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C2:I2"/>
    <x:mergeCell ref="C4:I4"/>
    <x:mergeCell ref="C35:I35"/>
    <x:mergeCell ref="C37:I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门店增长与供货密度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门店为期末存量，收入为期间流量。供货密度仅为观察代理。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'Assumptions'!D33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项目</x:v>
      </x:c>
      <x:c r="D7" s="8" t="str">
        <x:v>2024末</x:v>
      </x:c>
      <x:c r="E7" s="8" t="str">
        <x:v>2025H1末</x:v>
      </x:c>
      <x:c r="F7" s="8" t="str">
        <x:v>2025末</x:v>
      </x:c>
      <x:c r="G7" s="8" t="str">
        <x:v>2026H1末</x:v>
      </x:c>
      <x:c r="H7" s="8" t="str">
        <x:v>来源</x:v>
      </x:c>
      <x:c r="I7" s="2"/>
    </x:row>
    <x:row r="8" ht="25" customHeight="1">
      <x:c r="A8" s="2"/>
      <x:c r="B8" s="2"/>
      <x:c r="C8" s="2" t="str">
        <x:v>加盟门店</x:v>
      </x:c>
      <x:c r="D8" s="16" t="n">
        <x:v>46462</x:v>
      </x:c>
      <x:c r="E8" s="16" t="n">
        <x:v>52996</x:v>
      </x:c>
      <x:c r="F8" s="16" t="n">
        <x:v>59785</x:v>
      </x:c>
      <x:c r="G8" s="16" t="n">
        <x:v>63951</x:v>
      </x:c>
      <x:c r="H8" s="2" t="str">
        <x:v>S2 p14–17 / S1 p16–18</x:v>
      </x:c>
      <x:c r="I8" s="2"/>
    </x:row>
    <x:row r="9" ht="25" customHeight="1">
      <x:c r="A9" s="2"/>
      <x:c r="B9" s="2"/>
      <x:c r="C9" s="2" t="str">
        <x:v>直营门店</x:v>
      </x:c>
      <x:c r="D9" s="16" t="n">
        <x:v>17</x:v>
      </x:c>
      <x:c r="E9" s="16" t="n">
        <x:v>18</x:v>
      </x:c>
      <x:c r="F9" s="16" t="n">
        <x:v>38</x:v>
      </x:c>
      <x:c r="G9" s="16" t="n">
        <x:v>36</x:v>
      </x:c>
      <x:c r="H9" s="2" t="str">
        <x:v>S2 p14–17 / S1 p16–18</x:v>
      </x:c>
      <x:c r="I9" s="2"/>
    </x:row>
    <x:row r="10" ht="25" customHeight="1">
      <x:c r="A10" s="2"/>
      <x:c r="B10" s="2"/>
      <x:c r="C10" s="2" t="str">
        <x:v>中国内地总门店</x:v>
      </x:c>
      <x:c r="D10" s="16" t="n">
        <x:v>41584</x:v>
      </x:c>
      <x:c r="E10" s="16" t="n">
        <x:v>48281</x:v>
      </x:c>
      <x:c r="F10" s="16" t="n">
        <x:v>55356</x:v>
      </x:c>
      <x:c r="G10" s="16" t="n">
        <x:v>59609</x:v>
      </x:c>
      <x:c r="H10" s="2" t="str">
        <x:v>S2 p14–17 / S1 p16–18</x:v>
      </x:c>
      <x:c r="I10" s="2"/>
    </x:row>
    <x:row r="11" ht="25" customHeight="1">
      <x:c r="A11" s="2"/>
      <x:c r="B11" s="2"/>
      <x:c r="C11" s="2" t="str">
        <x:v>境外总门店</x:v>
      </x:c>
      <x:c r="D11" s="16" t="n">
        <x:v>4895</x:v>
      </x:c>
      <x:c r="E11" s="16" t="n">
        <x:v>4733</x:v>
      </x:c>
      <x:c r="F11" s="16" t="n">
        <x:v>4467</x:v>
      </x:c>
      <x:c r="G11" s="16" t="n">
        <x:v>4378</x:v>
      </x:c>
      <x:c r="H11" s="2" t="str">
        <x:v>S2 p14–17 / S1 p16–18</x:v>
      </x:c>
      <x:c r="I11" s="2"/>
    </x:row>
    <x:row r="12" ht="25" customHeight="1">
      <x:c r="A12" s="2"/>
      <x:c r="B12" s="2"/>
      <x:c r="C12" s="2" t="str">
        <x:v>期间新增加盟门店</x:v>
      </x:c>
      <x:c r="D12" s="16" t="n">
        <x:v>10555</x:v>
      </x:c>
      <x:c r="E12" s="16" t="n">
        <x:v>7721</x:v>
      </x:c>
      <x:c r="F12" s="16" t="n">
        <x:v>14496</x:v>
      </x:c>
      <x:c r="G12" s="16" t="n">
        <x:v>5455</x:v>
      </x:c>
      <x:c r="H12" s="2" t="str">
        <x:v>S2 p14–17 / S1 p16–18</x:v>
      </x:c>
      <x:c r="I12" s="2"/>
    </x:row>
    <x:row r="13" ht="25" customHeight="1">
      <x:c r="A13" s="2"/>
      <x:c r="B13" s="2"/>
      <x:c r="C13" s="2" t="str">
        <x:v>期间关闭加盟门店</x:v>
      </x:c>
      <x:c r="D13" s="16" t="n">
        <x:v>1609</x:v>
      </x:c>
      <x:c r="E13" s="16" t="n">
        <x:v>1187</x:v>
      </x:c>
      <x:c r="F13" s="16" t="n">
        <x:v>2527</x:v>
      </x:c>
      <x:c r="G13" s="16" t="n">
        <x:v>1289</x:v>
      </x:c>
      <x:c r="H13" s="2" t="str">
        <x:v>S2 p14–17 / S1 p16–18</x:v>
      </x:c>
      <x:c r="I13" s="2"/>
    </x:row>
    <x:row r="14" ht="25" customHeight="1">
      <x:c r="A14" s="2"/>
      <x:c r="B14" s="2"/>
      <x:c r="C14" s="2" t="str">
        <x:v>收购新增加盟门店</x:v>
      </x:c>
      <x:c r="D14" s="16" t="n">
        <x:v>0</x:v>
      </x:c>
      <x:c r="E14" s="16" t="n">
        <x:v>0</x:v>
      </x:c>
      <x:c r="F14" s="16" t="n">
        <x:v>1354</x:v>
      </x:c>
      <x:c r="G14" s="16" t="n">
        <x:v>0</x:v>
      </x:c>
      <x:c r="H14" s="2" t="str">
        <x:v>S2 p14–17 / S1 p16–18</x:v>
      </x:c>
      <x:c r="I14" s="2"/>
    </x:row>
    <x:row r="15" ht="25" customHeight="1">
      <x:c r="A15" s="2"/>
      <x:c r="B15" s="2"/>
      <x:c r="C15" s="2" t="str">
        <x:v>期初加盟门店</x:v>
      </x:c>
      <x:c r="D15" s="16" t="n">
        <x:v>37516</x:v>
      </x:c>
      <x:c r="E15" s="16" t="n">
        <x:v>46462</x:v>
      </x:c>
      <x:c r="F15" s="16" t="n">
        <x:v>46462</x:v>
      </x:c>
      <x:c r="G15" s="16" t="n">
        <x:v>59785</x:v>
      </x:c>
      <x:c r="H15" s="2" t="str">
        <x:v>S2 p14–17 / S1 p16–18</x:v>
      </x:c>
      <x:c r="I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2"/>
      <x:c r="B18" s="2"/>
      <x:c r="C18" s="2" t="str">
        <x:v>关闭数/期初门店</x:v>
      </x:c>
      <x:c r="D18" s="12" t="n">
        <x:f>D13/D15</x:f>
        <x:v>0.04288836762981128</x:v>
      </x:c>
      <x:c r="E18" s="12" t="n">
        <x:f>E13/E15</x:f>
        <x:v>0.02554775945934312</x:v>
      </x:c>
      <x:c r="F18" s="12" t="n">
        <x:f>F13/F15</x:f>
        <x:v>0.05438853256424605</x:v>
      </x:c>
      <x:c r="G18" s="12" t="n">
        <x:f>G13/G15</x:f>
        <x:v>0.021560592121769674</x:v>
      </x:c>
      <x:c r="H18" s="2"/>
      <x:c r="I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/>
      <x:c r="B21" s="2"/>
      <x:c r="C21" s="8" t="str">
        <x:v>H1可比指标</x:v>
      </x:c>
      <x:c r="D21" s="8" t="str">
        <x:v>2025H1</x:v>
      </x:c>
      <x:c r="E21" s="8" t="str">
        <x:v>2026H1</x:v>
      </x:c>
      <x:c r="F21" s="8" t="str">
        <x:v>同比</x:v>
      </x:c>
      <x:c r="G21" s="2"/>
      <x:c r="H21" s="2"/>
      <x:c r="I21" s="2"/>
    </x:row>
    <x:row r="22" ht="25" customHeight="1">
      <x:c r="A22" s="2"/>
      <x:c r="B22" s="2"/>
      <x:c r="C22" s="2" t="str">
        <x:v>商品销售收入（百万元）</x:v>
      </x:c>
      <x:c r="D22" s="10" t="n">
        <x:v>13843.184</x:v>
      </x:c>
      <x:c r="E22" s="10" t="n">
        <x:v>14264.907</x:v>
      </x:c>
      <x:c r="F22" s="12" t="n">
        <x:f>E22/D22-1</x:f>
        <x:v>0.03046430647746945</x:v>
      </x:c>
      <x:c r="G22" s="2"/>
      <x:c r="H22" s="2"/>
      <x:c r="I22" s="2"/>
    </x:row>
    <x:row r="23" ht="25" customHeight="1">
      <x:c r="A23" s="2"/>
      <x:c r="B23" s="2"/>
      <x:c r="C23" s="2" t="str">
        <x:v>设备销售收入（百万元）</x:v>
      </x:c>
      <x:c r="D23" s="10" t="n">
        <x:v>651.504</x:v>
      </x:c>
      <x:c r="E23" s="10" t="n">
        <x:v>532.656</x:v>
      </x:c>
      <x:c r="F23" s="12" t="n">
        <x:f>E23/D23-1</x:f>
        <x:v>-0.18242098283356678</x:v>
      </x:c>
      <x:c r="G23" s="2"/>
      <x:c r="H23" s="2"/>
      <x:c r="I23" s="2"/>
    </x:row>
    <x:row r="24" ht="25" customHeight="1">
      <x:c r="A24" s="2"/>
      <x:c r="B24" s="2"/>
      <x:c r="C24" s="2" t="str">
        <x:v>加盟及服务收入（百万元）</x:v>
      </x:c>
      <x:c r="D24" s="10" t="n">
        <x:v>380.121</x:v>
      </x:c>
      <x:c r="E24" s="10" t="n">
        <x:v>418.241</x:v>
      </x:c>
      <x:c r="F24" s="12" t="n">
        <x:f>E24/D24-1</x:f>
        <x:v>0.10028385698238185</x:v>
      </x:c>
      <x:c r="G24" s="2"/>
      <x:c r="H24" s="2"/>
      <x:c r="I24" s="2"/>
    </x:row>
    <x:row r="25" ht="25" customHeight="1">
      <x:c r="A25" s="2"/>
      <x:c r="B25" s="2"/>
      <x:c r="C25" s="2"/>
      <x:c r="D25" s="9"/>
      <x:c r="E25" s="9"/>
      <x:c r="F25" s="18"/>
      <x:c r="G25" s="2"/>
      <x:c r="H25" s="2"/>
      <x:c r="I25" s="2"/>
    </x:row>
    <x:row r="26" ht="25" customHeight="1">
      <x:c r="A26" s="2"/>
      <x:c r="B26" s="2"/>
      <x:c r="C26" s="2" t="str">
        <x:v>首尾均值加盟门店数</x:v>
      </x:c>
      <x:c r="D26" s="19" t="n">
        <x:f>AVERAGE(E8,E15)</x:f>
        <x:v>49729</x:v>
      </x:c>
      <x:c r="E26" s="19" t="n">
        <x:f>AVERAGE(G8,G15)</x:f>
        <x:v>61868</x:v>
      </x:c>
      <x:c r="F26" s="18"/>
      <x:c r="G26" s="2"/>
      <x:c r="H26" s="2"/>
      <x:c r="I26" s="2"/>
    </x:row>
    <x:row r="27" ht="25" customHeight="1">
      <x:c r="A27" s="2"/>
      <x:c r="B27" s="2"/>
      <x:c r="C27" s="2" t="str">
        <x:v>每均值门店商品供货（万元）</x:v>
      </x:c>
      <x:c r="D27" s="13" t="n">
        <x:f>D22/D26*100</x:f>
        <x:v>27.83724587262965</x:v>
      </x:c>
      <x:c r="E27" s="13" t="n">
        <x:f>E22/E26*100</x:f>
        <x:v>23.057003620611624</x:v>
      </x:c>
      <x:c r="F27" s="12" t="n">
        <x:f>E27/D27-1</x:f>
        <x:v>-0.17172109173048955</x:v>
      </x:c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5" customHeight="1">
      <x:c r="A30" s="2"/>
      <x:c r="B30" s="2"/>
      <x:c r="C30" s="8" t="str">
        <x:v>H1门店同比/新开变化</x:v>
      </x:c>
      <x:c r="D30" s="8" t="str">
        <x:v>数值</x:v>
      </x:c>
      <x:c r="E30" s="2"/>
      <x:c r="F30" s="2"/>
      <x:c r="G30" s="2"/>
      <x:c r="H30" s="2"/>
      <x:c r="I30" s="2"/>
    </x:row>
    <x:row r="31" ht="25" customHeight="1">
      <x:c r="A31" s="2"/>
      <x:c r="B31" s="2"/>
      <x:c r="C31" s="2" t="str">
        <x:v>全球期末门店同比</x:v>
      </x:c>
      <x:c r="D31" s="12" t="n">
        <x:f>SUM(G8:G9)/SUM(E8:E9)-1</x:f>
        <x:v>0.20698306107820574</x:v>
      </x:c>
      <x:c r="E31" s="2"/>
      <x:c r="F31" s="2"/>
      <x:c r="G31" s="2"/>
      <x:c r="H31" s="2"/>
      <x:c r="I31" s="2"/>
    </x:row>
    <x:row r="32" ht="25" customHeight="1">
      <x:c r="A32" s="2"/>
      <x:c r="B32" s="2"/>
      <x:c r="C32" s="2" t="str">
        <x:v>境外期末门店同比</x:v>
      </x:c>
      <x:c r="D32" s="12" t="n">
        <x:f>G11/E11-1</x:f>
        <x:v>-0.0750052820621171</x:v>
      </x:c>
      <x:c r="E32" s="2"/>
      <x:c r="F32" s="2"/>
      <x:c r="G32" s="2"/>
      <x:c r="H32" s="2"/>
      <x:c r="I32" s="2"/>
    </x:row>
    <x:row r="33" ht="25" customHeight="1">
      <x:c r="A33" s="2"/>
      <x:c r="B33" s="2"/>
      <x:c r="C33" s="2" t="str">
        <x:v>新开加盟门店同比</x:v>
      </x:c>
      <x:c r="D33" s="12" t="n">
        <x:f>G12/E12-1</x:f>
        <x:v>-0.2934852998316281</x:v>
      </x:c>
      <x:c r="E33" s="2"/>
      <x:c r="F33" s="2"/>
      <x:c r="G33" s="2"/>
      <x:c r="H33" s="2"/>
      <x:c r="I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8" customHeight="1">
      <x:c r="A35" s="2"/>
      <x:c r="B35" s="2"/>
      <x:c r="C35" s="14" t="str">
        <x:v>供货代理使用首尾门店均值，不是同店销售。缺月度有效营业天数、新店爬坡及品牌混合数据。</x:v>
      </x:c>
      <x:c r="D35" s="14"/>
      <x:c r="E35" s="14"/>
      <x:c r="F35" s="14"/>
      <x:c r="G35" s="14"/>
      <x:c r="H35" s="14"/>
      <x:c r="I35" s="14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8" customHeight="1">
      <x:c r="A37" s="2"/>
      <x:c r="B37" s="2"/>
      <x:c r="C37" s="14" t="str">
        <x:v>2025末并入福鹿家1,354家加盟门店。2026H1同比门店增幅含并购口径影响。</x:v>
      </x:c>
      <x:c r="D37" s="14"/>
      <x:c r="E37" s="14"/>
      <x:c r="F37" s="14"/>
      <x:c r="G37" s="14"/>
      <x:c r="H37" s="14"/>
      <x:c r="I37" s="14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8" customHeight="1">
      <x:c r="A39" s="2"/>
      <x:c r="B39" s="2"/>
      <x:c r="C39" s="14" t="str">
        <x:v>2026H1商品/设备/服务收入见S1 p60。设备收入下降与新开门店放缓方向一致。</x:v>
      </x:c>
      <x:c r="D39" s="14"/>
      <x:c r="E39" s="14"/>
      <x:c r="F39" s="14"/>
      <x:c r="G39" s="14"/>
      <x:c r="H39" s="14"/>
      <x:c r="I39" s="14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8" customHeight="1">
      <x:c r="A41" s="2"/>
      <x:c r="B41" s="2"/>
      <x:c r="C41" s="14" t="str">
        <x:v>境外门店收缩，管理层称经营质量改善，尚缺单独利润与同店供货量验证。</x:v>
      </x:c>
      <x:c r="D41" s="14"/>
      <x:c r="E41" s="14"/>
      <x:c r="F41" s="14"/>
      <x:c r="G41" s="14"/>
      <x:c r="H41" s="14"/>
      <x:c r="I41" s="14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</x:row>
  </x:sheetData>
  <x:mergeCells>
    <x:mergeCell ref="C2:I2"/>
    <x:mergeCell ref="C4:I4"/>
    <x:mergeCell ref="C35:I35"/>
    <x:mergeCell ref="C37:I37"/>
    <x:mergeCell ref="C39:I39"/>
    <x:mergeCell ref="C41:I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8" hidden="0" customWidth="1"/>
    <x:col min="5" max="5" width="18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2"/>
      <x:c r="C2" s="3" t="str">
        <x:v>资金安全与资本分配</x:v>
      </x:c>
      <x:c r="D2" s="2"/>
      <x:c r="E2" s="2"/>
      <x:c r="F2" s="2"/>
      <x:c r="G2" s="2"/>
      <x:c r="H2" s="2"/>
      <x:c r="I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5" customHeight="1">
      <x:c r="A4" s="2"/>
      <x:c r="B4" s="2"/>
      <x:c r="C4" s="5" t="str">
        <x:v>人民币百万元。H1静态余额，特别股息已除权但尚待支付。</x:v>
      </x:c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 t="str">
        <x:v>当前情景</x:v>
      </x:c>
      <x:c r="D5" s="6" t="str">
        <x:f>'Assumptions'!D33</x:f>
        <x:v>Base</x:v>
      </x:c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5" customHeight="1">
      <x:c r="A7" s="2"/>
      <x:c r="B7" s="2"/>
      <x:c r="C7" s="8" t="str">
        <x:v>项目</x:v>
      </x:c>
      <x:c r="D7" s="8" t="str">
        <x:v>2025末</x:v>
      </x:c>
      <x:c r="E7" s="8" t="str">
        <x:v>2026H1末</x:v>
      </x:c>
      <x:c r="F7" s="8" t="str">
        <x:v>来源</x:v>
      </x:c>
      <x:c r="G7" s="2"/>
      <x:c r="H7" s="2"/>
      <x:c r="I7" s="2"/>
    </x:row>
    <x:row r="8" ht="25" customHeight="1">
      <x:c r="A8" s="2"/>
      <x:c r="B8" s="2"/>
      <x:c r="C8" s="2" t="str">
        <x:v>现金及银行余额</x:v>
      </x:c>
      <x:c r="D8" s="10" t="n">
        <x:v>11054.889</x:v>
      </x:c>
      <x:c r="E8" s="10" t="n">
        <x:v>13554.686</x:v>
      </x:c>
      <x:c r="F8" s="2" t="str">
        <x:v>S2 p109–110、S1 p46–47/66</x:v>
      </x:c>
      <x:c r="G8" s="2"/>
      <x:c r="H8" s="2"/>
      <x:c r="I8" s="2"/>
    </x:row>
    <x:row r="9" ht="25" customHeight="1">
      <x:c r="A9" s="2"/>
      <x:c r="B9" s="2"/>
      <x:c r="C9" s="2" t="str">
        <x:v>公允价值计入损益金融资产</x:v>
      </x:c>
      <x:c r="D9" s="10" t="n">
        <x:v>8935.127</x:v>
      </x:c>
      <x:c r="E9" s="10" t="n">
        <x:v>8096.059</x:v>
      </x:c>
      <x:c r="F9" s="2" t="str">
        <x:v>S2 p109–110、S1 p46–47/66</x:v>
      </x:c>
      <x:c r="G9" s="2"/>
      <x:c r="H9" s="2"/>
      <x:c r="I9" s="2"/>
    </x:row>
    <x:row r="10" ht="25" customHeight="1">
      <x:c r="A10" s="2"/>
      <x:c r="B10" s="2"/>
      <x:c r="C10" s="2" t="str">
        <x:v>受限现金</x:v>
      </x:c>
      <x:c r="D10" s="10" t="n">
        <x:v>37.324</x:v>
      </x:c>
      <x:c r="E10" s="10" t="n">
        <x:v>11.488</x:v>
      </x:c>
      <x:c r="F10" s="2" t="str">
        <x:v>S2 p109–110、S1 p46–47/66</x:v>
      </x:c>
      <x:c r="G10" s="2"/>
      <x:c r="H10" s="2"/>
      <x:c r="I10" s="2"/>
    </x:row>
    <x:row r="11" ht="25" customHeight="1">
      <x:c r="A11" s="2"/>
      <x:c r="B11" s="2"/>
      <x:c r="C11" s="2" t="str">
        <x:v>银行借款</x:v>
      </x:c>
      <x:c r="D11" s="10" t="n">
        <x:v>28.166</x:v>
      </x:c>
      <x:c r="E11" s="10" t="n">
        <x:v>0</x:v>
      </x:c>
      <x:c r="F11" s="2" t="str">
        <x:v>S2 p109–110、S1 p46–47/66</x:v>
      </x:c>
      <x:c r="G11" s="2"/>
      <x:c r="H11" s="2"/>
      <x:c r="I11" s="2"/>
    </x:row>
    <x:row r="12" ht="25" customHeight="1">
      <x:c r="A12" s="2"/>
      <x:c r="B12" s="2"/>
      <x:c r="C12" s="2" t="str">
        <x:v>流动租赁负债</x:v>
      </x:c>
      <x:c r="D12" s="10" t="n">
        <x:v>74.725</x:v>
      </x:c>
      <x:c r="E12" s="10" t="n">
        <x:v>94.076</x:v>
      </x:c>
      <x:c r="F12" s="2" t="str">
        <x:v>S2 p109–110、S1 p46–47/66</x:v>
      </x:c>
      <x:c r="G12" s="2"/>
      <x:c r="H12" s="2"/>
      <x:c r="I12" s="2"/>
    </x:row>
    <x:row r="13" ht="25" customHeight="1">
      <x:c r="A13" s="2"/>
      <x:c r="B13" s="2"/>
      <x:c r="C13" s="2" t="str">
        <x:v>非流动租赁负债</x:v>
      </x:c>
      <x:c r="D13" s="10" t="n">
        <x:v>84.371</x:v>
      </x:c>
      <x:c r="E13" s="10" t="n">
        <x:v>133.674</x:v>
      </x:c>
      <x:c r="F13" s="2" t="str">
        <x:v>S2 p109–110、S1 p46–47/66</x:v>
      </x:c>
      <x:c r="G13" s="2"/>
      <x:c r="H13" s="2"/>
      <x:c r="I13" s="2"/>
    </x:row>
    <x:row r="14" ht="25" customHeight="1">
      <x:c r="A14" s="2"/>
      <x:c r="B14" s="2"/>
      <x:c r="C14" s="2" t="str">
        <x:v>扣受限、借款和租赁资金</x:v>
      </x:c>
      <x:c r="D14" s="13" t="n">
        <x:f>SUM(D8:D9)-SUM(D10:D13)</x:f>
        <x:v>19765.43</x:v>
      </x:c>
      <x:c r="E14" s="13" t="n">
        <x:f>SUM(E8:E9)-SUM(E10:E13)</x:f>
        <x:v>21411.506999999998</x:v>
      </x:c>
      <x:c r="F14" s="2" t="str">
        <x:v>S2 p109–110、S1 p46–47/66</x:v>
      </x:c>
      <x:c r="G14" s="2"/>
      <x:c r="H14" s="2"/>
      <x:c r="I14" s="2"/>
    </x:row>
    <x:row r="15" ht="25" customHeight="1">
      <x:c r="A15" s="2"/>
      <x:c r="B15" s="2"/>
      <x:c r="C15" s="2" t="str">
        <x:v>存货</x:v>
      </x:c>
      <x:c r="D15" s="10" t="n">
        <x:v>3673.031</x:v>
      </x:c>
      <x:c r="E15" s="10" t="n">
        <x:v>3828.176</x:v>
      </x:c>
      <x:c r="F15" s="2" t="str">
        <x:v>S2 p109–110、S1 p46–47/66</x:v>
      </x:c>
      <x:c r="G15" s="2"/>
      <x:c r="H15" s="2"/>
      <x:c r="I15" s="2"/>
    </x:row>
    <x:row r="16" ht="25" customHeight="1">
      <x:c r="A16" s="2"/>
      <x:c r="B16" s="2"/>
      <x:c r="C16" s="2" t="str">
        <x:v>贸易应收</x:v>
      </x:c>
      <x:c r="D16" s="10" t="n">
        <x:v>30.197</x:v>
      </x:c>
      <x:c r="E16" s="10" t="n">
        <x:v>60.92</x:v>
      </x:c>
      <x:c r="F16" s="2" t="str">
        <x:v>S2 p109–110、S1 p46–47/66</x:v>
      </x:c>
      <x:c r="G16" s="2"/>
      <x:c r="H16" s="2"/>
      <x:c r="I16" s="2"/>
    </x:row>
    <x:row r="17" ht="25" customHeight="1">
      <x:c r="A17" s="2"/>
      <x:c r="B17" s="2"/>
      <x:c r="C17" s="2" t="str">
        <x:v>贸易应付</x:v>
      </x:c>
      <x:c r="D17" s="10" t="n">
        <x:v>2212.515</x:v>
      </x:c>
      <x:c r="E17" s="10" t="n">
        <x:v>1859.852</x:v>
      </x:c>
      <x:c r="F17" s="2" t="str">
        <x:v>S2 p109–110、S1 p46–47/66</x:v>
      </x:c>
      <x:c r="G17" s="2"/>
      <x:c r="H17" s="2"/>
      <x:c r="I17" s="2"/>
    </x:row>
    <x:row r="18" ht="25" customHeight="1">
      <x:c r="A18" s="2"/>
      <x:c r="B18" s="2"/>
      <x:c r="C18" s="2" t="str">
        <x:v>合同负债（含非流动）</x:v>
      </x:c>
      <x:c r="D18" s="10" t="n">
        <x:v>485.137</x:v>
      </x:c>
      <x:c r="E18" s="10" t="n">
        <x:v>600.641</x:v>
      </x:c>
      <x:c r="F18" s="2" t="str">
        <x:v>S2 p109–110、S1 p46–47/66</x:v>
      </x:c>
      <x:c r="G18" s="2"/>
      <x:c r="H18" s="2"/>
      <x:c r="I18" s="2"/>
    </x:row>
    <x:row r="19" ht="25" customHeight="1">
      <x:c r="A19" s="2"/>
      <x:c r="B19" s="2"/>
      <x:c r="C19" s="2" t="str">
        <x:v>归母净资产</x:v>
      </x:c>
      <x:c r="D19" s="10" t="n">
        <x:v>24449.037</x:v>
      </x:c>
      <x:c r="E19" s="10" t="n">
        <x:v>26730.991</x:v>
      </x:c>
      <x:c r="F19" s="2" t="str">
        <x:v>S2 p109–110、S1 p46–47/66</x:v>
      </x:c>
      <x:c r="G19" s="2"/>
      <x:c r="H19" s="2"/>
      <x:c r="I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8" t="str">
        <x:v>H1资金余额用途桥</x:v>
      </x:c>
      <x:c r="D22" s="8" t="str">
        <x:v>金额</x:v>
      </x:c>
      <x:c r="E22" s="8" t="str">
        <x:v>来源</x:v>
      </x:c>
      <x:c r="F22" s="2"/>
      <x:c r="G22" s="2"/>
      <x:c r="H22" s="2"/>
      <x:c r="I22" s="2"/>
    </x:row>
    <x:row r="23" ht="25" customHeight="1">
      <x:c r="A23" s="2"/>
      <x:c r="B23" s="2"/>
      <x:c r="C23" s="2" t="str">
        <x:v>租赁调整资金余额</x:v>
      </x:c>
      <x:c r="D23" s="13" t="n">
        <x:f>E14</x:f>
        <x:v>21411.506999999998</x:v>
      </x:c>
      <x:c r="E23" s="2"/>
      <x:c r="F23" s="2"/>
      <x:c r="G23" s="2"/>
      <x:c r="H23" s="2"/>
      <x:c r="I23" s="2"/>
    </x:row>
    <x:row r="24" ht="25" customHeight="1">
      <x:c r="A24" s="2"/>
      <x:c r="B24" s="2"/>
      <x:c r="C24" s="2" t="str">
        <x:v>特别股息应付总额</x:v>
      </x:c>
      <x:c r="D24" s="20" t="n">
        <x:f>'Assumptions'!D10*2.65</x:f>
        <x:v>1005.98982</x:v>
      </x:c>
      <x:c r="E24" s="2"/>
      <x:c r="F24" s="2"/>
      <x:c r="G24" s="2"/>
      <x:c r="H24" s="2"/>
      <x:c r="I24" s="2"/>
    </x:row>
    <x:row r="25" ht="25" customHeight="1">
      <x:c r="A25" s="2"/>
      <x:c r="B25" s="2"/>
      <x:c r="C25" s="2" t="str">
        <x:v>扣股息后的静态资金余额</x:v>
      </x:c>
      <x:c r="D25" s="13" t="n">
        <x:f>D23-D24</x:f>
        <x:v>20405.51718</x:v>
      </x:c>
      <x:c r="E25" s="2"/>
      <x:c r="F25" s="2"/>
      <x:c r="G25" s="2"/>
      <x:c r="H25" s="2"/>
      <x:c r="I25" s="2"/>
    </x:row>
    <x:row r="26" ht="25" customHeight="1">
      <x:c r="A26" s="2"/>
      <x:c r="B26" s="2"/>
      <x:c r="C26" s="2" t="str">
        <x:v>资金余额/当前市值</x:v>
      </x:c>
      <x:c r="D26" s="21" t="n">
        <x:f>D25/'Valuation'!D13</x:f>
        <x:v>0.36445746783760147</x:v>
      </x:c>
      <x:c r="E26" s="2"/>
      <x:c r="F26" s="2"/>
      <x:c r="G26" s="2"/>
      <x:c r="H26" s="2"/>
      <x:c r="I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5" customHeight="1">
      <x:c r="A29" s="2"/>
      <x:c r="B29" s="2"/>
      <x:c r="C29" s="8" t="str">
        <x:v>H1营运资金现金影响</x:v>
      </x:c>
      <x:c r="D29" s="8" t="str">
        <x:v>2025H1</x:v>
      </x:c>
      <x:c r="E29" s="8" t="str">
        <x:v>2026H1</x:v>
      </x:c>
      <x:c r="F29" s="8" t="str">
        <x:v>来源</x:v>
      </x:c>
      <x:c r="G29" s="2"/>
      <x:c r="H29" s="2"/>
      <x:c r="I29" s="2"/>
    </x:row>
    <x:row r="30" ht="25" customHeight="1">
      <x:c r="A30" s="2"/>
      <x:c r="B30" s="2"/>
      <x:c r="C30" s="2" t="str">
        <x:v>贸易应付变动</x:v>
      </x:c>
      <x:c r="D30" s="9" t="n">
        <x:v>739.426</x:v>
      </x:c>
      <x:c r="E30" s="9" t="n">
        <x:v>-378.718</x:v>
      </x:c>
      <x:c r="F30" s="2" t="str">
        <x:v>S1 p51</x:v>
      </x:c>
      <x:c r="G30" s="2"/>
      <x:c r="H30" s="2"/>
      <x:c r="I30" s="2"/>
    </x:row>
    <x:row r="31" ht="25" customHeight="1">
      <x:c r="A31" s="2"/>
      <x:c r="B31" s="2"/>
      <x:c r="C31" s="2" t="str">
        <x:v>存货变动</x:v>
      </x:c>
      <x:c r="D31" s="9" t="n">
        <x:v>-808.901</x:v>
      </x:c>
      <x:c r="E31" s="9" t="n">
        <x:v>-176.121</x:v>
      </x:c>
      <x:c r="F31" s="2" t="str">
        <x:v>S1 p51</x:v>
      </x:c>
      <x:c r="G31" s="2"/>
      <x:c r="H31" s="2"/>
      <x:c r="I31" s="2"/>
    </x:row>
    <x:row r="32" ht="25" customHeight="1">
      <x:c r="A32" s="2"/>
      <x:c r="B32" s="2"/>
      <x:c r="C32" s="2" t="str">
        <x:v>合同负债变动</x:v>
      </x:c>
      <x:c r="D32" s="9" t="n">
        <x:v>171.279</x:v>
      </x:c>
      <x:c r="E32" s="9" t="n">
        <x:v>115.504</x:v>
      </x:c>
      <x:c r="F32" s="2" t="str">
        <x:v>S1 p51</x:v>
      </x:c>
      <x:c r="G32" s="2"/>
      <x:c r="H32" s="2"/>
      <x:c r="I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38" customHeight="1">
      <x:c r="A34" s="2"/>
      <x:c r="B34" s="2"/>
      <x:c r="C34" s="14" t="str">
        <x:v>金融资产含理财，不等同现金等价物。静态桥没有计入7月至10月经营、其他资金用途。</x:v>
      </x:c>
      <x:c r="D34" s="14"/>
      <x:c r="E34" s="14"/>
      <x:c r="F34" s="14"/>
      <x:c r="G34" s="14"/>
      <x:c r="H34" s="14"/>
      <x:c r="I34" s="14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38" customHeight="1">
      <x:c r="A36" s="2"/>
      <x:c r="B36" s="2"/>
      <x:c r="C36" s="14" t="str">
        <x:v>特别股息RMB2.65/股，H股HKD3.08304/股。10月5日除息，11月6日支付（S4）。</x:v>
      </x:c>
      <x:c r="D36" s="14"/>
      <x:c r="E36" s="14"/>
      <x:c r="F36" s="14"/>
      <x:c r="G36" s="14"/>
      <x:c r="H36" s="14"/>
      <x:c r="I36" s="14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8" customHeight="1">
      <x:c r="A38" s="2"/>
      <x:c r="B38" s="2"/>
      <x:c r="C38" s="14" t="str">
        <x:v>P/E含合理资金收益，不另加资金余额。低现金收益和低派息率可能约束估值倍数。</x:v>
      </x:c>
      <x:c r="D38" s="14"/>
      <x:c r="E38" s="14"/>
      <x:c r="F38" s="14"/>
      <x:c r="G38" s="14"/>
      <x:c r="H38" s="14"/>
      <x:c r="I38" s="14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38" customHeight="1">
      <x:c r="A40" s="2"/>
      <x:c r="B40" s="2"/>
      <x:c r="C40" s="14" t="str">
        <x:v>应付回落是现金减弱的因素。资金余额能缓冲扩张，但不能替代加盟商盈利。</x:v>
      </x:c>
      <x:c r="D40" s="14"/>
      <x:c r="E40" s="14"/>
      <x:c r="F40" s="14"/>
      <x:c r="G40" s="14"/>
      <x:c r="H40" s="14"/>
      <x:c r="I40" s="14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</x:row>
  </x:sheetData>
  <x:mergeCells>
    <x:mergeCell ref="C2:I2"/>
    <x:mergeCell ref="C4:I4"/>
    <x:mergeCell ref="C34:I34"/>
    <x:mergeCell ref="C36:I36"/>
    <x:mergeCell ref="C38:I38"/>
    <x:mergeCell ref="C40:I4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33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2"/>
      <x:c r="C2" s="3" t="str">
        <x:v>来源与财务检查</x:v>
      </x:c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/>
      <x:c r="B4" s="2"/>
      <x:c r="C4" s="5" t="str">
        <x:v>检查只验证结果，不为经营或估值计算提供输入。</x:v>
      </x:c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 t="str">
        <x:v>当前情景</x:v>
      </x:c>
      <x:c r="D5" s="6" t="str">
        <x:f>'Assumptions'!D33</x:f>
        <x:v>Base</x:v>
      </x:c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2"/>
      <x:c r="B7" s="2"/>
      <x:c r="C7" s="8" t="str">
        <x:v>检查项</x:v>
      </x:c>
      <x:c r="D7" s="8" t="str">
        <x:v>差额</x:v>
      </x:c>
      <x:c r="E7" s="2"/>
      <x:c r="F7" s="2"/>
      <x:c r="G7" s="2"/>
      <x:c r="H7" s="2"/>
      <x:c r="I7" s="2"/>
      <x:c r="J7" s="2"/>
    </x:row>
    <x:row r="8" ht="25" customHeight="1">
      <x:c r="A8" s="2"/>
      <x:c r="B8" s="2"/>
      <x:c r="C8" s="2" t="str">
        <x:v>中报收入构成</x:v>
      </x:c>
      <x:c r="D8" s="33" t="n">
        <x:f>ROUND('Stores'!E22+'Stores'!E23+'Stores'!E24-'Actuals'!G8,6)</x:f>
        <x:v>0</x:v>
      </x:c>
      <x:c r="E8" s="2"/>
      <x:c r="F8" s="2"/>
      <x:c r="G8" s="2"/>
      <x:c r="H8" s="2"/>
      <x:c r="I8" s="2"/>
      <x:c r="J8" s="2"/>
    </x:row>
    <x:row r="9" ht="25" customHeight="1">
      <x:c r="A9" s="2"/>
      <x:c r="B9" s="2"/>
      <x:c r="C9" s="2" t="str">
        <x:v>期末门店构成</x:v>
      </x:c>
      <x:c r="D9" s="33" t="n">
        <x:f>ROUND(SUM('Stores'!G8:G9)-SUM('Stores'!G10:G11),6)</x:f>
        <x:v>0</x:v>
      </x:c>
      <x:c r="E9" s="2"/>
      <x:c r="F9" s="2"/>
      <x:c r="G9" s="2"/>
      <x:c r="H9" s="2"/>
      <x:c r="I9" s="2"/>
      <x:c r="J9" s="2"/>
    </x:row>
    <x:row r="10" ht="25" customHeight="1">
      <x:c r="A10" s="2"/>
      <x:c r="B10" s="2"/>
      <x:c r="C10" s="2" t="str">
        <x:v>2026H1加盟门店桥</x:v>
      </x:c>
      <x:c r="D10" s="33" t="n">
        <x:f>ROUND('Stores'!G15+'Stores'!G12-'Stores'!G13-'Stores'!G8,6)</x:f>
        <x:v>0</x:v>
      </x:c>
      <x:c r="E10" s="2"/>
      <x:c r="F10" s="2"/>
      <x:c r="G10" s="2"/>
      <x:c r="H10" s="2"/>
      <x:c r="I10" s="2"/>
      <x:c r="J10" s="2"/>
    </x:row>
    <x:row r="11" ht="25" customHeight="1">
      <x:c r="A11" s="2"/>
      <x:c r="B11" s="2"/>
      <x:c r="C11" s="2" t="str">
        <x:v>2025加盟门店桥</x:v>
      </x:c>
      <x:c r="D11" s="33" t="n">
        <x:f>ROUND('Stores'!F15+'Stores'!F12+'Stores'!F14-'Stores'!F13-'Stores'!F8,6)</x:f>
        <x:v>0</x:v>
      </x:c>
      <x:c r="E11" s="2"/>
      <x:c r="F11" s="2"/>
      <x:c r="G11" s="2"/>
      <x:c r="H11" s="2"/>
      <x:c r="I11" s="2"/>
      <x:c r="J11" s="2"/>
    </x:row>
    <x:row r="12" ht="25" customHeight="1">
      <x:c r="A12" s="2"/>
      <x:c r="B12" s="2"/>
      <x:c r="C12" s="2" t="str">
        <x:v>TTM利润独立核对</x:v>
      </x:c>
      <x:c r="D12" s="33" t="n">
        <x:f>ROUND('Valuation'!D12-5490.134,6)</x:f>
        <x:v>0</x:v>
      </x:c>
      <x:c r="E12" s="2"/>
      <x:c r="F12" s="2"/>
      <x:c r="G12" s="2"/>
      <x:c r="H12" s="2"/>
      <x:c r="I12" s="2"/>
      <x:c r="J12" s="2"/>
    </x:row>
    <x:row r="13" ht="25" customHeight="1">
      <x:c r="A13" s="2"/>
      <x:c r="B13" s="2"/>
      <x:c r="C13" s="2" t="str">
        <x:v>股本独立核对</x:v>
      </x:c>
      <x:c r="D13" s="33" t="n">
        <x:f>ROUND('Valuation'!D20-391.6421,6)</x:f>
        <x:v>0</x:v>
      </x:c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 t="str">
        <x:v>静态现金桥独立核对</x:v>
      </x:c>
      <x:c r="D14" s="33" t="n">
        <x:f>ROUND('Cash'!D25-20405.51718,6)</x:f>
        <x:v>0</x:v>
      </x:c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 t="str">
        <x:v>H1资本开支租赁后现金</x:v>
      </x:c>
      <x:c r="D15" s="33" t="n">
        <x:f>ROUND('Actuals'!G26-1661.766,6)</x:f>
        <x:v>0</x:v>
      </x:c>
      <x:c r="E15" s="2"/>
      <x:c r="F15" s="2"/>
      <x:c r="G15" s="2"/>
      <x:c r="H15" s="2"/>
      <x:c r="I15" s="2"/>
      <x:c r="J15" s="2"/>
    </x:row>
    <x:row r="16" ht="25" customHeight="1">
      <x:c r="A16" s="2"/>
      <x:c r="B16" s="2"/>
      <x:c r="C16" s="2" t="str">
        <x:v>当前情景估值乘除桥</x:v>
      </x:c>
      <x:c r="D16" s="33" t="n">
        <x:f>ROUND('Valuation'!D22*'Valuation'!D20*'Valuation'!D9-'Valuation'!D19*'Valuation'!D21,6)</x:f>
        <x:v>0</x:v>
      </x:c>
      <x:c r="E16" s="2"/>
      <x:c r="F16" s="2"/>
      <x:c r="G16" s="2"/>
      <x:c r="H16" s="2"/>
      <x:c r="I16" s="2"/>
      <x:c r="J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5" customHeight="1">
      <x:c r="A19" s="2"/>
      <x:c r="B19" s="2"/>
      <x:c r="C19" s="8" t="str">
        <x:v>编号</x:v>
      </x:c>
      <x:c r="D19" s="8" t="str">
        <x:v>正式文件/来源</x:v>
      </x:c>
      <x:c r="E19" s="8" t="str">
        <x:v>发布日期</x:v>
      </x:c>
      <x:c r="F19" s="8" t="str">
        <x:v>链接</x:v>
      </x:c>
      <x:c r="G19" s="2"/>
      <x:c r="H19" s="2"/>
      <x:c r="I19" s="2"/>
      <x:c r="J19" s="2"/>
    </x:row>
    <x:row r="20" ht="48" customHeight="1">
      <x:c r="A20" s="2"/>
      <x:c r="B20" s="2"/>
      <x:c r="C20" s="2" t="str">
        <x:v>S1</x:v>
      </x:c>
      <x:c r="D20" s="2" t="str">
        <x:v>2026中期报告</x:v>
      </x:c>
      <x:c r="E20" s="2" t="str">
        <x:v>2026-09-23</x:v>
      </x:c>
      <x:c r="F20" s="14" t="str">
        <x:v>https://www1.hkexnews.hk/listedco/listconews/sehk/2026/0923/2026092300281_c.pdf</x:v>
      </x:c>
      <x:c r="G20" s="14"/>
      <x:c r="H20" s="14"/>
      <x:c r="I20" s="14"/>
      <x:c r="J20" s="14"/>
    </x:row>
    <x:row r="21" ht="48" customHeight="1">
      <x:c r="A21" s="2"/>
      <x:c r="B21" s="2"/>
      <x:c r="C21" s="2" t="str">
        <x:v>S2</x:v>
      </x:c>
      <x:c r="D21" s="2" t="str">
        <x:v>2025年度报告</x:v>
      </x:c>
      <x:c r="E21" s="2" t="str">
        <x:v>2026-04-23</x:v>
      </x:c>
      <x:c r="F21" s="14" t="str">
        <x:v>https://www1.hkexnews.hk/listedco/listconews/sehk/2026/0423/2026042301902_c.pdf</x:v>
      </x:c>
      <x:c r="G21" s="14"/>
      <x:c r="H21" s="14"/>
      <x:c r="I21" s="14"/>
      <x:c r="J21" s="14"/>
    </x:row>
    <x:row r="22" ht="48" customHeight="1">
      <x:c r="A22" s="2"/>
      <x:c r="B22" s="2"/>
      <x:c r="C22" s="2" t="str">
        <x:v>S3</x:v>
      </x:c>
      <x:c r="D22" s="2" t="str">
        <x:v>2026年9月股份月报</x:v>
      </x:c>
      <x:c r="E22" s="2" t="str">
        <x:v>2026-10-07</x:v>
      </x:c>
      <x:c r="F22" s="14" t="str">
        <x:v>https://www1.hkexnews.hk/listedco/listconews/sehk/2026/1007/2026100701028.pdf</x:v>
      </x:c>
      <x:c r="G22" s="14"/>
      <x:c r="H22" s="14"/>
      <x:c r="I22" s="14"/>
      <x:c r="J22" s="14"/>
    </x:row>
    <x:row r="23" ht="48" customHeight="1">
      <x:c r="A23" s="2"/>
      <x:c r="B23" s="2"/>
      <x:c r="C23" s="2" t="str">
        <x:v>S4</x:v>
      </x:c>
      <x:c r="D23" s="2" t="str">
        <x:v>特别股息更新</x:v>
      </x:c>
      <x:c r="E23" s="2" t="str">
        <x:v>2026-09-30</x:v>
      </x:c>
      <x:c r="F23" s="14" t="str">
        <x:v>https://www1.hkexnews.hk/listedco/listconews/sehk/2026/0930/2026093002265.pdf</x:v>
      </x:c>
      <x:c r="G23" s="14"/>
      <x:c r="H23" s="14"/>
      <x:c r="I23" s="14"/>
      <x:c r="J23" s="14"/>
    </x:row>
    <x:row r="24" ht="48" customHeight="1">
      <x:c r="A24" s="2"/>
      <x:c r="B24" s="2"/>
      <x:c r="C24" s="2" t="str">
        <x:v>S5</x:v>
      </x:c>
      <x:c r="D24" s="2" t="str">
        <x:v>H股奖励授予公告</x:v>
      </x:c>
      <x:c r="E24" s="2" t="str">
        <x:v>2026-09-28</x:v>
      </x:c>
      <x:c r="F24" s="14" t="str">
        <x:v>https://www1.hkexnews.hk/listedco/listconews/sehk/2026/0928/2026092801979.pdf</x:v>
      </x:c>
      <x:c r="G24" s="14"/>
      <x:c r="H24" s="14"/>
      <x:c r="I24" s="14"/>
      <x:c r="J24" s="14"/>
    </x:row>
    <x:row r="25" ht="48" customHeight="1">
      <x:c r="A25" s="2"/>
      <x:c r="B25" s="2"/>
      <x:c r="C25" s="2" t="str">
        <x:v>S6</x:v>
      </x:c>
      <x:c r="D25" s="2" t="str">
        <x:v>福鹿家关联交易公告</x:v>
      </x:c>
      <x:c r="E25" s="2" t="str">
        <x:v>2025-10-01</x:v>
      </x:c>
      <x:c r="F25" s="14" t="str">
        <x:v>https://www1.hkexnews.hk/listedco/listconews/sehk/2025/1001/2025100100021.pdf</x:v>
      </x:c>
      <x:c r="G25" s="14"/>
      <x:c r="H25" s="14"/>
      <x:c r="I25" s="14"/>
      <x:c r="J25" s="14"/>
    </x:row>
    <x:row r="26" ht="48" customHeight="1">
      <x:c r="A26" s="2"/>
      <x:c r="B26" s="2"/>
      <x:c r="C26" s="2" t="str">
        <x:v>S7</x:v>
      </x:c>
      <x:c r="D26" s="2" t="str">
        <x:v>Investing 历史收盘</x:v>
      </x:c>
      <x:c r="E26" s="2" t="str">
        <x:v>2026-10-09</x:v>
      </x:c>
      <x:c r="F26" s="14" t="str">
        <x:v>https://cn.investing.com/equities/mixue-historical-data</x:v>
      </x:c>
      <x:c r="G26" s="14"/>
      <x:c r="H26" s="14"/>
      <x:c r="I26" s="14"/>
      <x:c r="J26" s="14"/>
    </x:row>
    <x:row r="27" ht="48" customHeight="1">
      <x:c r="A27" s="2"/>
      <x:c r="B27" s="2"/>
      <x:c r="C27" s="2" t="str">
        <x:v>S8</x:v>
      </x:c>
      <x:c r="D27" s="2" t="str">
        <x:v>中国货币网中间价</x:v>
      </x:c>
      <x:c r="E27" s="2" t="str">
        <x:v>2026-10-09</x:v>
      </x:c>
      <x:c r="F27" s="14" t="str">
        <x:v>https://www.chinamoney.com.cn/chinese/bkccpr/index.html?tab=2</x:v>
      </x:c>
      <x:c r="G27" s="14"/>
      <x:c r="H27" s="14"/>
      <x:c r="I27" s="14"/>
      <x:c r="J27" s="14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38" customHeight="1">
      <x:c r="A30" s="2"/>
      <x:c r="B30" s="2"/>
      <x:c r="C30" s="14" t="str">
        <x:v>S1原件中文字体提取部分乱码。关键财务经英文列及原件损益表视觉核对。</x:v>
      </x:c>
      <x:c r="D30" s="14"/>
      <x:c r="E30" s="14"/>
      <x:c r="F30" s="14"/>
      <x:c r="G30" s="14"/>
      <x:c r="H30" s="14"/>
      <x:c r="I30" s="14"/>
      <x:c r="J30" s="14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38" customHeight="1">
      <x:c r="A32" s="2"/>
      <x:c r="B32" s="2"/>
      <x:c r="C32" s="14" t="str">
        <x:v>所有研究假设见Assumptions。报告及source-index.md保留原件、页码与待验证问题。</x:v>
      </x:c>
      <x:c r="D32" s="14"/>
      <x:c r="E32" s="14"/>
      <x:c r="F32" s="14"/>
      <x:c r="G32" s="14"/>
      <x:c r="H32" s="14"/>
      <x:c r="I32" s="14"/>
      <x:c r="J32" s="14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mergeCells>
    <x:mergeCell ref="C2:J2"/>
    <x:mergeCell ref="C4:J4"/>
    <x:mergeCell ref="F20:J20"/>
    <x:mergeCell ref="F21:J21"/>
    <x:mergeCell ref="F22:J22"/>
    <x:mergeCell ref="F23:J23"/>
    <x:mergeCell ref="F24:J24"/>
    <x:mergeCell ref="F25:J25"/>
    <x:mergeCell ref="F26:J26"/>
    <x:mergeCell ref="F27:J27"/>
    <x:mergeCell ref="C30:J30"/>
    <x:mergeCell ref="C32:J32"/>
  </x:mergeCells>
  <x:conditionalFormatting sqref="D8:D16">
    <x:cfRule type="expression" dxfId="0" priority="1">
      <x:formula>ABS(D8)&gt;0.01</x:formula>
    </x:cfRule>
  </x:conditionalFormatting>
  <x:pageMargins left="0.7" right="0.7" top="0.75" bottom="0.75" header="0.3" footer="0.3"/>
</x:worksheet>
</file>
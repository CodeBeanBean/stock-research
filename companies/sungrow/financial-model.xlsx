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ecbaf7dfd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76d0f7423944ea3"/>
    <x:sheet xmlns:r="http://schemas.openxmlformats.org/officeDocument/2006/relationships" name="Historical" sheetId="2" r:id="Rc9e60cbe22d14d49"/>
    <x:sheet xmlns:r="http://schemas.openxmlformats.org/officeDocument/2006/relationships" name="Segments" sheetId="3" r:id="R1900acc31a6947b1"/>
    <x:sheet xmlns:r="http://schemas.openxmlformats.org/officeDocument/2006/relationships" name="Balance Sheet" sheetId="4" r:id="Rea66061adc184adc"/>
    <x:sheet xmlns:r="http://schemas.openxmlformats.org/officeDocument/2006/relationships" name="Assumptions" sheetId="5" r:id="R2395bb34785f40aa"/>
    <x:sheet xmlns:r="http://schemas.openxmlformats.org/officeDocument/2006/relationships" name="Valuation" sheetId="6" r:id="R07cf3b9b642a489f"/>
    <x:sheet xmlns:r="http://schemas.openxmlformats.org/officeDocument/2006/relationships" name="DCF" sheetId="7" r:id="R2f4192a76cb245c1"/>
    <x:sheet xmlns:r="http://schemas.openxmlformats.org/officeDocument/2006/relationships" name="Checks" sheetId="8" r:id="R8880f930c3a24e03"/>
    <x:sheet xmlns:r="http://schemas.openxmlformats.org/officeDocument/2006/relationships" name="Sources" sheetId="9" r:id="R1ad0f076131a45fe"/>
  </x:sheets>
</x:workbook>
</file>

<file path=xl/comments1.xml><?xml version="1.0" encoding="utf-8"?>
<x:comments xmlns:x="http://schemas.openxmlformats.org/spreadsheetml/2006/main">
  <x:authors>
    <x:author>tc={D2B714EC-09D1-4BC6-BFFB-C91CF4F801B3}</x:author>
    <x:author>tc={DCC6C994-F7CE-4BC6-ADC4-86BB8A2242C3}</x:author>
    <x:author>tc={66EFC517-2F08-408A-8674-294BBDDA7515}</x:author>
    <x:author>tc={A5A2D5F6-CDFD-4EED-8AA8-2867F9C60053}</x:author>
    <x:author>tc={C70E28A9-8111-42B6-9962-EF6A28A84D1D}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Investing.com and EODData, 2026-08-31 close.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2026H1 dividend base excluding shares in repurchase account.</x:t>
        </x:r>
      </x:text>
    </x:comment>
    <x:comment ref="D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Research assumption, not company guidance. Base 2026E net profit RMB11.5bn.</x:t>
        </x:r>
      </x:text>
    </x:comment>
    <x:comment ref="D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Research assumption. P/E incorporates balance-sheet quality and business cyclicality.</x:t>
        </x:r>
      </x:text>
    </x:comment>
    <x:comment ref="C2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Research assumption. Simplified DCF cross-check uses 10.5% WACC and 2.5% terminal growth.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0;[Red](0.00);-"/>
    <x:numFmt numFmtId="203" formatCode="0.0x;[Red](0.0x);-"/>
    <x:numFmt numFmtId="204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C62828"/>
      <x:name val="Carlito"/>
    </x:font>
    <x:font>
      <x:i/>
      <x:sz val="11"/>
      <x:color rgb="FF5B6573"/>
      <x:name val="Carlito"/>
    </x:font>
    <x:font>
      <x:sz val="11"/>
      <x:color rgb="FF008000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0000FF"/>
      <x:name val="Carlito"/>
    </x:font>
    <x:font>
      <x:b/>
      <x:sz val="17"/>
      <x:color rgb="FF2E7D32"/>
      <x:name val="Carlito"/>
    </x:font>
    <x:font>
      <x:b/>
      <x:sz val="15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45DA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7FA"/>
      </x:patternFill>
    </x:fill>
    <x:fill>
      <x:patternFill patternType="solid">
        <x:fgColor rgb="FFD9EAD3"/>
      </x:patternFill>
    </x:fill>
    <x:fill>
      <x:patternFill patternType="solid">
        <x:fgColor rgb="FFFCE8E6"/>
      </x:patternFill>
    </x:fill>
  </x:fills>
  <x:borders count="9">
    <x:border/>
    <x:border>
      <x:left style="thin">
        <x:color rgb="FFC9D3DE"/>
      </x:left>
      <x:top style="thin">
        <x:color rgb="FFC9D3DE"/>
      </x:top>
      <x:bottom style="thin">
        <x:color rgb="FFC9D3DE"/>
      </x:bottom>
    </x:border>
    <x:border>
      <x:top style="thin">
        <x:color rgb="FFC9D3DE"/>
      </x:top>
      <x:bottom style="thin">
        <x:color rgb="FFC9D3DE"/>
      </x:bottom>
    </x:border>
    <x:border>
      <x:right style="thin">
        <x:color rgb="FFC9D3DE"/>
      </x:right>
      <x:top style="thin">
        <x:color rgb="FFC9D3DE"/>
      </x:top>
      <x:bottom style="thin">
        <x:color rgb="FFC9D3DE"/>
      </x:bottom>
    </x:border>
    <x:border>
      <x:bottom style="thin">
        <x:color rgb="FFC9D3DE"/>
      </x:bottom>
    </x:border>
    <x:border>
      <x:top style="thin">
        <x:color rgb="FFC9D3DE"/>
      </x:top>
    </x:border>
    <x:border>
      <x:top style="thin">
        <x:color rgb="FF0B1F3A"/>
      </x:top>
      <x:bottom style="double">
        <x:color rgb="FF0B1F3A"/>
      </x:bottom>
    </x:border>
    <x:border>
      <x:top style="thin">
        <x:color rgb="FF0B1F3A"/>
      </x:top>
    </x:border>
    <x:border>
      <x:bottom style="double">
        <x:color rgb="FF0B1F3A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0" fillId="0" borderId="0" xfId="0" applyNumberFormat="1" applyFont="1" applyFill="1" applyBorder="1"/>
    <x:xf numFmtId="201" fontId="5" fillId="0" borderId="0" xfId="0" applyNumberFormat="1" applyFont="1" applyFill="1" applyBorder="1"/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2" fontId="5" fillId="0" borderId="0" xfId="0" applyNumberFormat="1" applyFont="1" applyFill="1" applyBorder="1"/>
    <x:xf numFmtId="0" fontId="0" fillId="4" borderId="0" xfId="0" applyNumberFormat="1" applyFont="1" applyFill="1" applyBorder="1"/>
    <x:xf numFmtId="200" fontId="5" fillId="4" borderId="0" xfId="0" applyNumberFormat="1" applyFont="1" applyFill="1" applyBorder="1"/>
    <x:xf numFmtId="200" fontId="6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0" fontId="7" fillId="4" borderId="6" xfId="0" applyNumberFormat="1" applyFont="1" applyFill="1" applyBorder="1"/>
    <x:xf numFmtId="200" fontId="7" fillId="4" borderId="6" xfId="0" applyNumberFormat="1" applyFont="1" applyFill="1" applyBorder="1"/>
    <x:xf numFmtId="200" fontId="0" fillId="4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201" fontId="6" fillId="4" borderId="0" xfId="0" applyNumberFormat="1" applyFont="1" applyFill="1" applyBorder="1"/>
    <x:xf numFmtId="201" fontId="0" fillId="4" borderId="0" xfId="0" applyNumberFormat="1" applyFont="1" applyFill="1" applyBorder="1"/>
    <x:xf numFmtId="201" fontId="7" fillId="4" borderId="0" xfId="0" applyNumberFormat="1" applyFont="1" applyFill="1" applyBorder="1"/>
    <x:xf numFmtId="201" fontId="7" fillId="4" borderId="6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/>
    <x:xf numFmtId="203" fontId="6" fillId="4" borderId="0" xfId="0" applyNumberFormat="1" applyFont="1" applyFill="1" applyBorder="1"/>
    <x:xf numFmtId="203" fontId="7" fillId="4" borderId="0" xfId="0" applyNumberFormat="1" applyFont="1" applyFill="1" applyBorder="1"/>
    <x:xf numFmtId="0" fontId="7" fillId="4" borderId="7" xfId="0" applyNumberFormat="1" applyFont="1" applyFill="1" applyBorder="1"/>
    <x:xf numFmtId="200" fontId="7" fillId="4" borderId="7" xfId="0" applyNumberFormat="1" applyFont="1" applyFill="1" applyBorder="1"/>
    <x:xf numFmtId="0" fontId="7" fillId="4" borderId="8" xfId="0" applyNumberFormat="1" applyFont="1" applyFill="1" applyBorder="1"/>
    <x:xf numFmtId="203" fontId="7" fillId="4" borderId="8" xfId="0" applyNumberFormat="1" applyFont="1" applyFill="1" applyBorder="1"/>
    <x:xf numFmtId="201" fontId="7" fillId="4" borderId="8" xfId="0" applyNumberFormat="1" applyFont="1" applyFill="1" applyBorder="1"/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202" fontId="8" fillId="5" borderId="0" xfId="0" applyNumberFormat="1" applyFont="1" applyFill="1" applyBorder="1"/>
    <x:xf numFmtId="200" fontId="8" fillId="5" borderId="0" xfId="0" applyNumberFormat="1" applyFont="1" applyFill="1" applyBorder="1"/>
    <x:xf numFmtId="203" fontId="8" fillId="5" borderId="0" xfId="0" applyNumberFormat="1" applyFont="1" applyFill="1" applyBorder="1"/>
    <x:xf numFmtId="201" fontId="8" fillId="5" borderId="0" xfId="0" applyNumberFormat="1" applyFont="1" applyFill="1" applyBorder="1"/>
    <x:xf numFmtId="204" fontId="8" fillId="5" borderId="0" xfId="0" applyNumberFormat="1" applyFont="1" applyFill="1" applyBorder="1"/>
    <x:xf numFmtId="203" fontId="5" fillId="0" borderId="0" xfId="0" applyNumberFormat="1" applyFont="1" applyFill="1" applyBorder="1"/>
    <x:xf numFmtId="202" fontId="6" fillId="0" borderId="0" xfId="0" applyNumberFormat="1" applyFont="1" applyFill="1" applyBorder="1"/>
    <x:xf numFmtId="202" fontId="0" fillId="0" borderId="0" xfId="0" applyNumberFormat="1" applyFont="1" applyFill="1" applyBorder="1"/>
    <x:xf numFmtId="202" fontId="6" fillId="4" borderId="0" xfId="0" applyNumberFormat="1" applyFont="1" applyFill="1" applyBorder="1"/>
    <x:xf numFmtId="202" fontId="0" fillId="4" borderId="0" xfId="0" applyNumberFormat="1" applyFont="1" applyFill="1" applyBorder="1"/>
    <x:xf numFmtId="202" fontId="7" fillId="4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202" fontId="10" fillId="6" borderId="0" xfId="0" applyNumberFormat="1" applyFont="1" applyFill="1" applyBorder="1"/>
    <x:xf numFmtId="202" fontId="10" fillId="6" borderId="0" xfId="0" applyNumberFormat="1" applyFont="1" applyFill="1" applyBorder="1" applyAlignment="1">
      <x:alignment horizontal="center"/>
    </x:xf>
    <x:xf numFmtId="202" fontId="10" fillId="6" borderId="0" xfId="0" applyNumberFormat="1" applyFont="1" applyFill="1" applyBorder="1" applyAlignment="1">
      <x:alignment horizontal="center" vertical="center"/>
    </x:xf>
    <x:xf numFmtId="201" fontId="10" fillId="6" borderId="0" xfId="0" applyNumberFormat="1" applyFont="1" applyFill="1" applyBorder="1"/>
    <x:xf numFmtId="201" fontId="10" fillId="6" borderId="0" xfId="0" applyNumberFormat="1" applyFont="1" applyFill="1" applyBorder="1" applyAlignment="1">
      <x:alignment horizontal="center"/>
    </x:xf>
    <x:xf numFmtId="201" fontId="10" fillId="6" borderId="0" xfId="0" applyNumberFormat="1" applyFont="1" applyFill="1" applyBorder="1" applyAlignment="1">
      <x:alignment horizontal="center" vertical="center"/>
    </x:xf>
    <x:xf numFmtId="203" fontId="10" fillId="6" borderId="0" xfId="0" applyNumberFormat="1" applyFont="1" applyFill="1" applyBorder="1"/>
    <x:xf numFmtId="203" fontId="10" fillId="6" borderId="0" xfId="0" applyNumberFormat="1" applyFont="1" applyFill="1" applyBorder="1" applyAlignment="1">
      <x:alignment horizontal="center"/>
    </x:xf>
    <x:xf numFmtId="203" fontId="10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878a06f864c77" /><Relationship Type="http://schemas.openxmlformats.org/officeDocument/2006/relationships/theme" Target="/xl/theme/theme1.xml" Id="R7db77c490f04436d" /><Relationship Type="http://schemas.openxmlformats.org/officeDocument/2006/relationships/sharedStrings" Target="/xl/sharedStrings.xml" Id="R7247758c38ba441e" /><Relationship Type="http://schemas.openxmlformats.org/officeDocument/2006/relationships/worksheet" Target="/xl/worksheets/sheet1.xml" Id="R176d0f7423944ea3" /><Relationship Type="http://schemas.openxmlformats.org/officeDocument/2006/relationships/worksheet" Target="/xl/worksheets/sheet2.xml" Id="Rc9e60cbe22d14d49" /><Relationship Type="http://schemas.openxmlformats.org/officeDocument/2006/relationships/worksheet" Target="/xl/worksheets/sheet3.xml" Id="R1900acc31a6947b1" /><Relationship Type="http://schemas.openxmlformats.org/officeDocument/2006/relationships/worksheet" Target="/xl/worksheets/sheet4.xml" Id="Rea66061adc184adc" /><Relationship Type="http://schemas.openxmlformats.org/officeDocument/2006/relationships/worksheet" Target="/xl/worksheets/sheet5.xml" Id="R2395bb34785f40aa" /><Relationship Type="http://schemas.openxmlformats.org/officeDocument/2006/relationships/worksheet" Target="/xl/worksheets/sheet6.xml" Id="R07cf3b9b642a489f" /><Relationship Type="http://schemas.openxmlformats.org/officeDocument/2006/relationships/worksheet" Target="/xl/worksheets/sheet7.xml" Id="R2f4192a76cb245c1" /><Relationship Type="http://schemas.openxmlformats.org/officeDocument/2006/relationships/worksheet" Target="/xl/worksheets/sheet8.xml" Id="R8880f930c3a24e03" /><Relationship Type="http://schemas.openxmlformats.org/officeDocument/2006/relationships/worksheet" Target="/xl/worksheets/sheet9.xml" Id="R1ad0f076131a45fe" /><Relationship Type="http://schemas.microsoft.com/office/2017/10/relationships/person" Target="/xl/persons/person.xml" Id="R853480009c0041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cc701eed0d4653" /><Relationship Type="http://schemas.openxmlformats.org/officeDocument/2006/relationships/chart" Target="/xl/drawings/charts/chart2.xml" Id="R61423d1f32684a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储能占比上升，但收入同比下降（RMB mn）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2025H1</c:v>
          </c:tx>
          <c:cat>
            <c:strRef>
              <c:f>'Cover'!$A$17:$A$20</c:f>
              <c:strCache>
                <c:ptCount val="0"/>
              </c:strCache>
            </c:strRef>
          </c:cat>
          <c:val>
            <c:numRef>
              <c:f>'Cover'!$B$17:$B$20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2026H1</c:v>
          </c:tx>
          <c:cat>
            <c:strRef>
              <c:f>'Cover'!$A$17:$A$20</c:f>
              <c:strCache>
                <c:ptCount val="0"/>
              </c:strCache>
            </c:strRef>
          </c:cat>
          <c:val>
            <c:numRef>
              <c:f>'Cover'!$C$17:$C$20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估值情景与现价（RMB/share）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每股价值</c:v>
          </c:tx>
          <c:cat>
            <c:strRef>
              <c:f>'Cover'!$G$17:$G$20</c:f>
              <c:strCache>
                <c:ptCount val="0"/>
              </c:strCache>
            </c:strRef>
          </c:cat>
          <c:val>
            <c:numRef>
              <c:f>'Cover'!$H$17:$H$20</c:f>
              <c:numCache>
                <c:formatCode>0.00;[Red](0.00);-</c:formatCode>
                <c:ptCount val="0"/>
              </c:numCache>
            </c:numRef>
          </c:val>
        </c:ser>
        <c:ser>
          <c:idx val="1"/>
          <c:order val="1"/>
          <c:tx>
            <c:v>现价</c:v>
          </c:tx>
          <c:cat>
            <c:strRef>
              <c:f>'Cover'!$G$17:$G$20</c:f>
              <c:strCache>
                <c:ptCount val="0"/>
              </c:strCache>
            </c:strRef>
          </c:cat>
          <c:val>
            <c:numRef>
              <c:f>'Cover'!$I$17:$I$20</c:f>
              <c:numCache>
                <c:formatCode>0.00;[Red](0.00);-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cc701eed0d465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423d1f32684ae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A875BE6-6698-4914-A7C3-94CA3E3ED3F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9-01T05:47:50.796" personId="{EA875BE6-6698-4914-A7C3-94CA3E3ED3FA}" id="{D2B714EC-09D1-4BC6-BFFB-C91CF4F801B3}">
    <xltc:text>Source: Investing.com and EODData, 2026-08-31 close.</xltc:text>
  </xltc:threadedComment>
  <xltc:threadedComment ref="B8" dT="2026-09-01T05:47:50.798" personId="{EA875BE6-6698-4914-A7C3-94CA3E3ED3FA}" id="{DCC6C994-F7CE-4BC6-ADC4-86BB8A2242C3}">
    <xltc:text>Source: 2026H1 dividend base excluding shares in repurchase account.</xltc:text>
  </xltc:threadedComment>
  <xltc:threadedComment ref="D10" dT="2026-09-01T05:47:50.799" personId="{EA875BE6-6698-4914-A7C3-94CA3E3ED3FA}" id="{66EFC517-2F08-408A-8674-294BBDDA7515}">
    <xltc:text>Research assumption, not company guidance. Base 2026E net profit RMB11.5bn.</xltc:text>
  </xltc:threadedComment>
  <xltc:threadedComment ref="D11" dT="2026-09-01T05:47:50.799" personId="{EA875BE6-6698-4914-A7C3-94CA3E3ED3FA}" id="{A5A2D5F6-CDFD-4EED-8AA8-2867F9C60053}">
    <xltc:text>Research assumption. P/E incorporates balance-sheet quality and business cyclicality.</xltc:text>
  </xltc:threadedComment>
  <xltc:threadedComment ref="C23" dT="2026-09-01T05:47:50.799" personId="{EA875BE6-6698-4914-A7C3-94CA3E3ED3FA}" id="{C70E28A9-8111-42B6-9962-EF6A28A84D1D}">
    <xltc:text>Research assumption. Simplified DCF cross-check uses 10.5% WACC and 2.5% terminal growth.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079f335cf246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2ab5c8cdd3cc4799" /><Relationship Type="http://schemas.openxmlformats.org/officeDocument/2006/relationships/vmlDrawing" Target="/xl/drawings/vmldrawing.vml" Id="R65f9d0383b214586" /><Relationship Type="http://schemas.microsoft.com/office/2017/10/relationships/threadedComment" Target="/xl/threadedcomments/threadedcomment.xml" Id="R711f2d249c8143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4" t="str">
        <x:v>阳光电源（300274.SZ）基本面与估值模型</x:v>
      </x:c>
      <x:c r="B1" s="4" t="str">
        <x:v>阳光电源（300274.SZ）基本面与估值模型</x:v>
      </x:c>
      <x:c r="C1" s="4" t="str">
        <x:v>阳光电源（300274.SZ）基本面与估值模型</x:v>
      </x:c>
      <x:c r="D1" s="4" t="str">
        <x:v>阳光电源（300274.SZ）基本面与估值模型</x:v>
      </x:c>
      <x:c r="E1" s="4" t="str">
        <x:v>阳光电源（300274.SZ）基本面与估值模型</x:v>
      </x:c>
      <x:c r="F1" s="4" t="str">
        <x:v>阳光电源（300274.SZ）基本面与估值模型</x:v>
      </x:c>
      <x:c r="G1" s="4" t="str">
        <x:v>阳光电源（300274.SZ）基本面与估值模型</x:v>
      </x:c>
      <x:c r="H1" s="4" t="str">
        <x:v>阳光电源（300274.SZ）基本面与估值模型</x:v>
      </x:c>
      <x:c r="I1" s="4" t="str">
        <x:v>阳光电源（300274.SZ）基本面与估值模型</x:v>
      </x:c>
      <x:c r="J1" s="4" t="str">
        <x:v>阳光电源（300274.SZ）基本面与估值模型</x:v>
      </x:c>
      <x:c r="K1" s="4" t="str">
        <x:v>阳光电源（300274.SZ）基本面与估值模型</x:v>
      </x:c>
      <x:c r="L1" s="4" t="str">
        <x:v>阳光电源（300274.SZ）基本面与估值模型</x:v>
      </x:c>
    </x:row>
    <x:row r="2">
      <x:c r="A2" s="81" t="str">
        <x:v>首次建立：2026-09-01 | 资料截止：2026-09-01 | 市场价格：2026-08-31 收盘 | 单位：人民币百万元，另有说明除外</x:v>
      </x:c>
      <x:c r="B2" s="81" t="str">
        <x:v>首次建立：2026-09-01 | 资料截止：2026-09-01 | 市场价格：2026-08-31 收盘 | 单位：人民币百万元，另有说明除外</x:v>
      </x:c>
      <x:c r="C2" s="81" t="str">
        <x:v>首次建立：2026-09-01 | 资料截止：2026-09-01 | 市场价格：2026-08-31 收盘 | 单位：人民币百万元，另有说明除外</x:v>
      </x:c>
      <x:c r="D2" s="81" t="str">
        <x:v>首次建立：2026-09-01 | 资料截止：2026-09-01 | 市场价格：2026-08-31 收盘 | 单位：人民币百万元，另有说明除外</x:v>
      </x:c>
      <x:c r="E2" s="81" t="str">
        <x:v>首次建立：2026-09-01 | 资料截止：2026-09-01 | 市场价格：2026-08-31 收盘 | 单位：人民币百万元，另有说明除外</x:v>
      </x:c>
      <x:c r="F2" s="81" t="str">
        <x:v>首次建立：2026-09-01 | 资料截止：2026-09-01 | 市场价格：2026-08-31 收盘 | 单位：人民币百万元，另有说明除外</x:v>
      </x:c>
      <x:c r="G2" s="81" t="str">
        <x:v>首次建立：2026-09-01 | 资料截止：2026-09-01 | 市场价格：2026-08-31 收盘 | 单位：人民币百万元，另有说明除外</x:v>
      </x:c>
      <x:c r="H2" s="81" t="str">
        <x:v>首次建立：2026-09-01 | 资料截止：2026-09-01 | 市场价格：2026-08-31 收盘 | 单位：人民币百万元，另有说明除外</x:v>
      </x:c>
      <x:c r="I2" s="81" t="str">
        <x:v>首次建立：2026-09-01 | 资料截止：2026-09-01 | 市场价格：2026-08-31 收盘 | 单位：人民币百万元，另有说明除外</x:v>
      </x:c>
      <x:c r="J2" s="81" t="str">
        <x:v>首次建立：2026-09-01 | 资料截止：2026-09-01 | 市场价格：2026-08-31 收盘 | 单位：人民币百万元，另有说明除外</x:v>
      </x:c>
      <x:c r="K2" s="81" t="str">
        <x:v>首次建立：2026-09-01 | 资料截止：2026-09-01 | 市场价格：2026-08-31 收盘 | 单位：人民币百万元，另有说明除外</x:v>
      </x:c>
      <x:c r="L2" s="81" t="str">
        <x:v>首次建立：2026-09-01 | 资料截止：2026-09-01 | 市场价格：2026-08-31 收盘 | 单位：人民币百万元，另有说明除外</x:v>
      </x:c>
    </x:row>
    <x:row r="4">
      <x:c r="A4" s="82" t="str">
        <x:v>研究结论</x:v>
      </x:c>
      <x:c r="B4" s="82" t="str">
        <x:v>研究结论</x:v>
      </x:c>
      <x:c r="C4" s="82" t="str">
        <x:v>现价</x:v>
      </x:c>
      <x:c r="D4" s="82" t="str">
        <x:v>现价</x:v>
      </x:c>
      <x:c r="E4" s="82" t="str">
        <x:v>Base 价值</x:v>
      </x:c>
      <x:c r="F4" s="82" t="str">
        <x:v>Base 价值</x:v>
      </x:c>
      <x:c r="G4" s="82" t="str">
        <x:v>Base 空间</x:v>
      </x:c>
      <x:c r="H4" s="82" t="str">
        <x:v>Base 空间</x:v>
      </x:c>
      <x:c r="I4" s="82" t="str">
        <x:v>核心 TTM P/E</x:v>
      </x:c>
      <x:c r="J4" s="82" t="str">
        <x:v>核心 TTM P/E</x:v>
      </x:c>
      <x:c r="K4" s="82" t="str">
        <x:v>净现金/股</x:v>
      </x:c>
      <x:c r="L4" s="82" t="str">
        <x:v>净现金/股</x:v>
      </x:c>
    </x:row>
    <x:row r="5">
      <x:c r="A5" s="86" t="str">
        <x:v>中性偏积极</x:v>
      </x:c>
      <x:c r="B5" s="86" t="str">
        <x:v>中性偏积极</x:v>
      </x:c>
      <x:c r="C5" s="90" t="n">
        <x:f>'Assumptions'!B6</x:f>
        <x:v>91.5</x:v>
      </x:c>
      <x:c r="D5" s="90"/>
      <x:c r="E5" s="90" t="n">
        <x:f>'Valuation'!C10</x:f>
        <x:v>100.6082957391643</x:v>
      </x:c>
      <x:c r="F5" s="90"/>
      <x:c r="G5" s="93" t="n">
        <x:f>'Valuation'!C11</x:f>
        <x:v>0.09954421572857153</x:v>
      </x:c>
      <x:c r="H5" s="93"/>
      <x:c r="I5" s="96" t="n">
        <x:f>'Valuation'!B19</x:f>
        <x:v>19.591425211958793</x:v>
      </x:c>
      <x:c r="J5" s="96"/>
      <x:c r="K5" s="90" t="n">
        <x:f>'Valuation'!B22</x:f>
        <x:v>13.48409488069948</x:v>
      </x:c>
      <x:c r="L5" s="90"/>
    </x:row>
    <x:row r="6">
      <x:c r="A6" s="86" t="str">
        <x:v>中性偏积极</x:v>
      </x:c>
      <x:c r="B6" s="86" t="str">
        <x:v>中性偏积极</x:v>
      </x:c>
      <x:c r="C6" s="90"/>
      <x:c r="D6" s="90"/>
      <x:c r="E6" s="90"/>
      <x:c r="F6" s="90"/>
      <x:c r="G6" s="93"/>
      <x:c r="H6" s="93"/>
      <x:c r="I6" s="96"/>
      <x:c r="J6" s="96"/>
      <x:c r="K6" s="90"/>
      <x:c r="L6" s="90"/>
    </x:row>
    <x:row r="8" ht="22" customHeight="1">
      <x:c r="A8" s="48" t="str">
        <x:v>投资判断</x:v>
      </x:c>
      <x:c r="B8" s="48" t="str">
        <x:v>投资判断</x:v>
      </x:c>
      <x:c r="C8" s="48" t="str">
        <x:v>投资判断</x:v>
      </x:c>
      <x:c r="D8" s="48" t="str">
        <x:v>投资判断</x:v>
      </x:c>
      <x:c r="E8" s="48" t="str">
        <x:v>投资判断</x:v>
      </x:c>
      <x:c r="F8" s="48" t="str">
        <x:v>投资判断</x:v>
      </x:c>
      <x:c r="G8" s="48" t="str">
        <x:v>关键风险</x:v>
      </x:c>
      <x:c r="H8" s="48" t="str">
        <x:v>关键风险</x:v>
      </x:c>
      <x:c r="I8" s="48" t="str">
        <x:v>关键风险</x:v>
      </x:c>
      <x:c r="J8" s="48" t="str">
        <x:v>关键风险</x:v>
      </x:c>
      <x:c r="K8" s="48" t="str">
        <x:v>关键风险</x:v>
      </x:c>
      <x:c r="L8" s="48" t="str">
        <x:v>关键风险</x:v>
      </x:c>
    </x:row>
    <x:row r="9">
      <x:c r="A9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B9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C9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D9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E9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F9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G9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H9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I9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J9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K9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L9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</x:row>
    <x:row r="10">
      <x:c r="A10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B10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C10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D10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E10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F10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G10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H10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I10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J10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K10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L10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</x:row>
    <x:row r="11">
      <x:c r="A11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B11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C11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D11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E11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F11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G11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H11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I11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J11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K11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L11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</x:row>
    <x:row r="12">
      <x:c r="A12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B12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C12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D12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E12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F12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G12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H12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I12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J12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K12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L12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</x:row>
    <x:row r="13">
      <x:c r="A13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B13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C13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D13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E13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F13" s="99" t="str">
        <x:v>逆变器品牌、技术和全球服务网络构成高质量底盘；储能和 AIDC 提供增长。但 2026H1 储能发货增长 28%，收入下降 13.2%、毛利率下降 7.49pct，显示规模不等于稳定利润。当前估值已回落，Base 空间仍不足 10%，安全边际一般。</x:v>
      </x:c>
      <x:c r="G13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H13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I13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J13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K13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  <x:c r="L13" s="103" t="str">
        <x:v>美国业务长期收缩；储能价格、长时化和电芯成本；大项目验收错位；存货与预付款上升；产品安全和预计负债；汇率与套保；AIDC 商业化晚于计划；回购用于激励而非注销。</x:v>
      </x:c>
    </x:row>
    <x:row r="15" ht="22" customHeight="1">
      <x:c r="A15" s="48" t="str">
        <x:v>2026H1 核心业务</x:v>
      </x:c>
      <x:c r="B15" s="48" t="str">
        <x:v>2026H1 核心业务</x:v>
      </x:c>
      <x:c r="C15" s="48" t="str">
        <x:v>2026H1 核心业务</x:v>
      </x:c>
      <x:c r="D15" s="48" t="str">
        <x:v>2026H1 核心业务</x:v>
      </x:c>
      <x:c r="E15" s="48" t="str">
        <x:v>2026H1 核心业务</x:v>
      </x:c>
      <x:c r="F15" s="48" t="str">
        <x:v>2026H1 核心业务</x:v>
      </x:c>
      <x:c r="G15" s="48" t="str">
        <x:v>估值情景</x:v>
      </x:c>
      <x:c r="H15" s="48" t="str">
        <x:v>估值情景</x:v>
      </x:c>
      <x:c r="I15" s="48" t="str">
        <x:v>估值情景</x:v>
      </x:c>
      <x:c r="J15" s="48" t="str">
        <x:v>估值情景</x:v>
      </x:c>
      <x:c r="K15" s="48" t="str">
        <x:v>估值情景</x:v>
      </x:c>
      <x:c r="L15" s="48" t="str">
        <x:v>估值情景</x:v>
      </x:c>
    </x:row>
    <x:row r="16">
      <x:c r="A16" s="13" t="str">
        <x:v>业务</x:v>
      </x:c>
      <x:c r="B16" s="14" t="str">
        <x:v>2025H1</x:v>
      </x:c>
      <x:c r="C16" s="15" t="str">
        <x:v>2026H1</x:v>
      </x:c>
      <x:c r="G16" s="13" t="str">
        <x:v>情景</x:v>
      </x:c>
      <x:c r="H16" s="14" t="str">
        <x:v>每股价值</x:v>
      </x:c>
      <x:c r="I16" s="15" t="str">
        <x:v>现价</x:v>
      </x:c>
    </x:row>
    <x:row r="17">
      <x:c r="A17" t="str">
        <x:v>逆变器等设备</x:v>
      </x:c>
      <x:c r="B17" s="33" t="n">
        <x:f>'Segments'!E5</x:f>
        <x:v>15327.462</x:v>
      </x:c>
      <x:c r="C17" s="33" t="n">
        <x:f>'Segments'!F5</x:f>
        <x:v>12388.454</x:v>
      </x:c>
      <x:c r="G17" t="str">
        <x:v>Bear</x:v>
      </x:c>
      <x:c r="H17" s="74" t="n">
        <x:f>'Valuation'!B10</x:f>
        <x:v>61.239832189056536</x:v>
      </x:c>
      <x:c r="I17" s="74" t="n">
        <x:f>'Assumptions'!$B$6</x:f>
        <x:v>91.5</x:v>
      </x:c>
    </x:row>
    <x:row r="18">
      <x:c r="A18" t="str">
        <x:v>储能系统</x:v>
      </x:c>
      <x:c r="B18" s="33" t="n">
        <x:f>'Segments'!E6</x:f>
        <x:v>17802.778</x:v>
      </x:c>
      <x:c r="C18" s="33" t="n">
        <x:f>'Segments'!F6</x:f>
        <x:v>15455.765</x:v>
      </x:c>
      <x:c r="G18" t="str">
        <x:v>Base</x:v>
      </x:c>
      <x:c r="H18" s="74" t="n">
        <x:f>'Valuation'!C10</x:f>
        <x:v>100.6082957391643</x:v>
      </x:c>
      <x:c r="I18" s="74" t="n">
        <x:f>'Assumptions'!$B$6</x:f>
        <x:v>91.5</x:v>
      </x:c>
    </x:row>
    <x:row r="19">
      <x:c r="A19" t="str">
        <x:v>新能源投资开发</x:v>
      </x:c>
      <x:c r="B19" s="33" t="n">
        <x:f>'Segments'!E7</x:f>
        <x:v>8397.881</x:v>
      </x:c>
      <x:c r="C19" s="33" t="n">
        <x:f>'Segments'!F7</x:f>
        <x:v>1257.637</x:v>
      </x:c>
      <x:c r="G19" t="str">
        <x:v>Bull</x:v>
      </x:c>
      <x:c r="H19" s="74" t="n">
        <x:f>'Valuation'!D10</x:f>
        <x:v>144.35103301706184</x:v>
      </x:c>
      <x:c r="I19" s="74" t="n">
        <x:f>'Assumptions'!$B$6</x:f>
        <x:v>91.5</x:v>
      </x:c>
    </x:row>
    <x:row r="20">
      <x:c r="A20" t="str">
        <x:v>其他及电站发电</x:v>
      </x:c>
      <x:c r="B20" s="33" t="n">
        <x:f>SUM('Segments'!E8:E9)</x:f>
        <x:v>2005.004</x:v>
      </x:c>
      <x:c r="C20" s="33" t="n">
        <x:f>SUM('Segments'!F8:F9)</x:f>
        <x:v>1810.4089999999999</x:v>
      </x:c>
      <x:c r="G20" t="str">
        <x:v>DCF</x:v>
      </x:c>
      <x:c r="H20" s="74" t="n">
        <x:f>'DCF'!B26</x:f>
        <x:v>104.89090908652622</x:v>
      </x:c>
      <x:c r="I20" s="74" t="n">
        <x:f>'Assumptions'!$B$6</x:f>
        <x:v>91.5</x:v>
      </x:c>
    </x:row>
    <x:row r="39" ht="22" customHeight="1">
      <x:c r="A39" s="48" t="str">
        <x:v>关键监控指标</x:v>
      </x:c>
      <x:c r="B39" s="48" t="str">
        <x:v>关键监控指标</x:v>
      </x:c>
      <x:c r="C39" s="48" t="str">
        <x:v>关键监控指标</x:v>
      </x:c>
      <x:c r="D39" s="48" t="str">
        <x:v>关键监控指标</x:v>
      </x:c>
      <x:c r="E39" s="48" t="str">
        <x:v>关键监控指标</x:v>
      </x:c>
      <x:c r="F39" s="48" t="str">
        <x:v>关键监控指标</x:v>
      </x:c>
      <x:c r="G39" s="48" t="str">
        <x:v>关键监控指标</x:v>
      </x:c>
      <x:c r="H39" s="48" t="str">
        <x:v>关键监控指标</x:v>
      </x:c>
      <x:c r="I39" s="48" t="str">
        <x:v>关键监控指标</x:v>
      </x:c>
      <x:c r="J39" s="48" t="str">
        <x:v>关键监控指标</x:v>
      </x:c>
      <x:c r="K39" s="48" t="str">
        <x:v>关键监控指标</x:v>
      </x:c>
      <x:c r="L39" s="48" t="str">
        <x:v>关键监控指标</x:v>
      </x:c>
    </x:row>
    <x:row r="40">
      <x:c r="A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B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C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D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E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F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G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H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I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J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K40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L40" s="107" t="str">
        <x:v>逆变器海外发货与毛利 | 储能发货到收入转化 | 储能季度毛利 | 存货、预付与合同负债 | 扣非利润和经营现金流 | 美国政策 | AIDC 可执行订单 | 预计负债和质量事件</x:v>
      </x:c>
    </x:row>
    <x:row r="41">
      <x:c r="A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B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C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D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E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F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G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H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I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J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K41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L41" s="107" t="str">
        <x:v>逆变器海外发货与毛利 | 储能发货到收入转化 | 储能季度毛利 | 存货、预付与合同负债 | 扣非利润和经营现金流 | 美国政策 | AIDC 可执行订单 | 预计负债和质量事件</x:v>
      </x:c>
    </x:row>
    <x:row r="42">
      <x:c r="A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B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C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D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E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F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G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H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I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J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K42" s="107" t="str">
        <x:v>逆变器海外发货与毛利 | 储能发货到收入转化 | 储能季度毛利 | 存货、预付与合同负债 | 扣非利润和经营现金流 | 美国政策 | AIDC 可执行订单 | 预计负债和质量事件</x:v>
      </x:c>
      <x:c r="L42" s="107" t="str">
        <x:v>逆变器海外发货与毛利 | 储能发货到收入转化 | 储能季度毛利 | 存货、预付与合同负债 | 扣非利润和经营现金流 | 美国政策 | AIDC 可执行订单 | 预计负债和质量事件</x:v>
      </x:c>
    </x:row>
    <x:row r="44">
      <x:c r="A44" s="108" t="str">
        <x:v>免责声明：本模型用于研究和情景分析，不构成投资建议。蓝色为研究假设，绿色为法定披露或同工作簿链接，黑色为公式。2026E 与 DCF 均非公司指引。</x:v>
      </x:c>
      <x:c r="B44" s="108" t="str">
        <x:v>免责声明：本模型用于研究和情景分析，不构成投资建议。蓝色为研究假设，绿色为法定披露或同工作簿链接，黑色为公式。2026E 与 DCF 均非公司指引。</x:v>
      </x:c>
      <x:c r="C44" s="108" t="str">
        <x:v>免责声明：本模型用于研究和情景分析，不构成投资建议。蓝色为研究假设，绿色为法定披露或同工作簿链接，黑色为公式。2026E 与 DCF 均非公司指引。</x:v>
      </x:c>
      <x:c r="D44" s="108" t="str">
        <x:v>免责声明：本模型用于研究和情景分析，不构成投资建议。蓝色为研究假设，绿色为法定披露或同工作簿链接，黑色为公式。2026E 与 DCF 均非公司指引。</x:v>
      </x:c>
      <x:c r="E44" s="108" t="str">
        <x:v>免责声明：本模型用于研究和情景分析，不构成投资建议。蓝色为研究假设，绿色为法定披露或同工作簿链接，黑色为公式。2026E 与 DCF 均非公司指引。</x:v>
      </x:c>
      <x:c r="F44" s="108" t="str">
        <x:v>免责声明：本模型用于研究和情景分析，不构成投资建议。蓝色为研究假设，绿色为法定披露或同工作簿链接，黑色为公式。2026E 与 DCF 均非公司指引。</x:v>
      </x:c>
      <x:c r="G44" s="108" t="str">
        <x:v>免责声明：本模型用于研究和情景分析，不构成投资建议。蓝色为研究假设，绿色为法定披露或同工作簿链接，黑色为公式。2026E 与 DCF 均非公司指引。</x:v>
      </x:c>
      <x:c r="H44" s="108" t="str">
        <x:v>免责声明：本模型用于研究和情景分析，不构成投资建议。蓝色为研究假设，绿色为法定披露或同工作簿链接，黑色为公式。2026E 与 DCF 均非公司指引。</x:v>
      </x:c>
      <x:c r="I44" s="108" t="str">
        <x:v>免责声明：本模型用于研究和情景分析，不构成投资建议。蓝色为研究假设，绿色为法定披露或同工作簿链接，黑色为公式。2026E 与 DCF 均非公司指引。</x:v>
      </x:c>
      <x:c r="J44" s="108" t="str">
        <x:v>免责声明：本模型用于研究和情景分析，不构成投资建议。蓝色为研究假设，绿色为法定披露或同工作簿链接，黑色为公式。2026E 与 DCF 均非公司指引。</x:v>
      </x:c>
      <x:c r="K44" s="108" t="str">
        <x:v>免责声明：本模型用于研究和情景分析，不构成投资建议。蓝色为研究假设，绿色为法定披露或同工作簿链接，黑色为公式。2026E 与 DCF 均非公司指引。</x:v>
      </x:c>
      <x:c r="L44" s="108" t="str">
        <x:v>免责声明：本模型用于研究和情景分析，不构成投资建议。蓝色为研究假设，绿色为法定披露或同工作簿链接，黑色为公式。2026E 与 DCF 均非公司指引。</x:v>
      </x:c>
    </x:row>
    <x:row r="45">
      <x:c r="A45" s="108" t="str">
        <x:v>免责声明：本模型用于研究和情景分析，不构成投资建议。蓝色为研究假设，绿色为法定披露或同工作簿链接，黑色为公式。2026E 与 DCF 均非公司指引。</x:v>
      </x:c>
      <x:c r="B45" s="108" t="str">
        <x:v>免责声明：本模型用于研究和情景分析，不构成投资建议。蓝色为研究假设，绿色为法定披露或同工作簿链接，黑色为公式。2026E 与 DCF 均非公司指引。</x:v>
      </x:c>
      <x:c r="C45" s="108" t="str">
        <x:v>免责声明：本模型用于研究和情景分析，不构成投资建议。蓝色为研究假设，绿色为法定披露或同工作簿链接，黑色为公式。2026E 与 DCF 均非公司指引。</x:v>
      </x:c>
      <x:c r="D45" s="108" t="str">
        <x:v>免责声明：本模型用于研究和情景分析，不构成投资建议。蓝色为研究假设，绿色为法定披露或同工作簿链接，黑色为公式。2026E 与 DCF 均非公司指引。</x:v>
      </x:c>
      <x:c r="E45" s="108" t="str">
        <x:v>免责声明：本模型用于研究和情景分析，不构成投资建议。蓝色为研究假设，绿色为法定披露或同工作簿链接，黑色为公式。2026E 与 DCF 均非公司指引。</x:v>
      </x:c>
      <x:c r="F45" s="108" t="str">
        <x:v>免责声明：本模型用于研究和情景分析，不构成投资建议。蓝色为研究假设，绿色为法定披露或同工作簿链接，黑色为公式。2026E 与 DCF 均非公司指引。</x:v>
      </x:c>
      <x:c r="G45" s="108" t="str">
        <x:v>免责声明：本模型用于研究和情景分析，不构成投资建议。蓝色为研究假设，绿色为法定披露或同工作簿链接，黑色为公式。2026E 与 DCF 均非公司指引。</x:v>
      </x:c>
      <x:c r="H45" s="108" t="str">
        <x:v>免责声明：本模型用于研究和情景分析，不构成投资建议。蓝色为研究假设，绿色为法定披露或同工作簿链接，黑色为公式。2026E 与 DCF 均非公司指引。</x:v>
      </x:c>
      <x:c r="I45" s="108" t="str">
        <x:v>免责声明：本模型用于研究和情景分析，不构成投资建议。蓝色为研究假设，绿色为法定披露或同工作簿链接，黑色为公式。2026E 与 DCF 均非公司指引。</x:v>
      </x:c>
      <x:c r="J45" s="108" t="str">
        <x:v>免责声明：本模型用于研究和情景分析，不构成投资建议。蓝色为研究假设，绿色为法定披露或同工作簿链接，黑色为公式。2026E 与 DCF 均非公司指引。</x:v>
      </x:c>
      <x:c r="K45" s="108" t="str">
        <x:v>免责声明：本模型用于研究和情景分析，不构成投资建议。蓝色为研究假设，绿色为法定披露或同工作簿链接，黑色为公式。2026E 与 DCF 均非公司指引。</x:v>
      </x:c>
      <x:c r="L45" s="108" t="str">
        <x:v>免责声明：本模型用于研究和情景分析，不构成投资建议。蓝色为研究假设，绿色为法定披露或同工作簿链接，黑色为公式。2026E 与 DCF 均非公司指引。</x:v>
      </x:c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F8"/>
    <x:mergeCell ref="A9:F13"/>
    <x:mergeCell ref="G8:L8"/>
    <x:mergeCell ref="G9:L13"/>
    <x:mergeCell ref="A15:F15"/>
    <x:mergeCell ref="G15:L15"/>
    <x:mergeCell ref="A39:L39"/>
    <x:mergeCell ref="A40:L42"/>
    <x:mergeCell ref="A44:L45"/>
  </x:mergeCells>
  <x:pageMargins left="0.7" right="0.7" top="0.75" bottom="0.75" header="0.3" footer="0.3"/>
  <x:drawing xmlns:r="http://schemas.openxmlformats.org/officeDocument/2006/relationships" r:id="Rb4079f335cf246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Historical Financials (RMB mn)</x:v>
      </x:c>
      <x:c r="B1" s="4" t="str">
        <x:v>Historical Financials (RMB mn)</x:v>
      </x:c>
      <x:c r="C1" s="4" t="str">
        <x:v>Historical Financials (RMB mn)</x:v>
      </x:c>
      <x:c r="D1" s="4" t="str">
        <x:v>Historical Financials (RMB mn)</x:v>
      </x:c>
      <x:c r="E1" s="4" t="str">
        <x:v>Historical Financials (RMB mn)</x:v>
      </x:c>
      <x:c r="F1" s="4" t="str">
        <x:v>Historical Financials (RMB mn)</x:v>
      </x:c>
      <x:c r="G1" s="4" t="str">
        <x:v>Historical Financials (RMB mn)</x:v>
      </x:c>
      <x:c r="H1" s="4" t="str">
        <x:v>Historical Financials (RMB mn)</x:v>
      </x:c>
    </x:row>
    <x:row r="2">
      <x:c r="A2" s="28" t="str">
        <x:v>绿色=法定披露输入；黑色=公式。TTM=2025A-2025H1+2026H1。</x:v>
      </x:c>
      <x:c r="B2" s="28"/>
      <x:c r="C2" s="28"/>
      <x:c r="D2" s="28"/>
      <x:c r="E2" s="28"/>
      <x:c r="F2" s="28"/>
      <x:c r="G2" s="28"/>
      <x:c r="H2" s="28"/>
    </x:row>
    <x:row r="4">
      <x:c r="A4" s="13" t="str">
        <x:v>指标</x:v>
      </x:c>
      <x:c r="B4" s="14" t="str">
        <x:v>2023A</x:v>
      </x:c>
      <x:c r="C4" s="14" t="str">
        <x:v>2024A</x:v>
      </x:c>
      <x:c r="D4" s="14" t="str">
        <x:v>2025A</x:v>
      </x:c>
      <x:c r="E4" s="14" t="str">
        <x:v>2025H1</x:v>
      </x:c>
      <x:c r="F4" s="14" t="str">
        <x:v>2026H1</x:v>
      </x:c>
      <x:c r="G4" s="14" t="str">
        <x:v>TTM</x:v>
      </x:c>
      <x:c r="H4" s="15" t="str">
        <x:v>备注</x:v>
      </x:c>
    </x:row>
    <x:row r="5">
      <x:c r="A5" s="43" t="str">
        <x:v>收入</x:v>
      </x:c>
      <x:c r="B5" s="44" t="n">
        <x:v>72250.675</x:v>
      </x:c>
      <x:c r="C5" s="44" t="n">
        <x:v>77856.967</x:v>
      </x:c>
      <x:c r="D5" s="44" t="n">
        <x:v>89184.357</x:v>
      </x:c>
      <x:c r="E5" s="44" t="n">
        <x:v>43533.124</x:v>
      </x:c>
      <x:c r="F5" s="44" t="n">
        <x:v>30912.266</x:v>
      </x:c>
      <x:c r="G5" s="44" t="n">
        <x:f>D5-E5+F5</x:f>
        <x:v>76563.499</x:v>
      </x:c>
      <x:c r="H5" s="43" t="str">
        <x:v>S2/S1</x:v>
      </x:c>
    </x:row>
    <x:row r="6">
      <x:c r="A6" t="str">
        <x:v>营业成本</x:v>
      </x:c>
      <x:c r="B6" s="31"/>
      <x:c r="C6" s="31" t="n">
        <x:v>54544.61</x:v>
      </x:c>
      <x:c r="D6" s="31" t="n">
        <x:v>60795.459</x:v>
      </x:c>
      <x:c r="E6" s="31" t="n">
        <x:v>28576.036</x:v>
      </x:c>
      <x:c r="F6" s="31" t="n">
        <x:v>19808.104</x:v>
      </x:c>
      <x:c r="G6" s="32" t="n">
        <x:f>D6-E6+F6</x:f>
        <x:v>52027.527</x:v>
      </x:c>
      <x:c r="H6" t="str">
        <x:v>S2/S1</x:v>
      </x:c>
    </x:row>
    <x:row r="7">
      <x:c r="A7" s="43" t="str">
        <x:v>毛利</x:v>
      </x:c>
      <x:c r="B7" s="44"/>
      <x:c r="C7" s="44" t="n">
        <x:f>C5-C6</x:f>
        <x:v>23312.357000000004</x:v>
      </x:c>
      <x:c r="D7" s="44" t="n">
        <x:f>D5-D6</x:f>
        <x:v>28388.898</x:v>
      </x:c>
      <x:c r="E7" s="44" t="n">
        <x:f>E5-E6</x:f>
        <x:v>14957.088000000003</x:v>
      </x:c>
      <x:c r="F7" s="44" t="n">
        <x:f>F5-F6</x:f>
        <x:v>11104.162</x:v>
      </x:c>
      <x:c r="G7" s="44" t="n">
        <x:f>D7-E7+F7</x:f>
        <x:v>24535.971999999998</x:v>
      </x:c>
      <x:c r="H7" s="43" t="str">
        <x:v>计算</x:v>
      </x:c>
    </x:row>
    <x:row r="8">
      <x:c r="A8" t="str">
        <x:v>毛利率</x:v>
      </x:c>
      <x:c r="B8" s="34"/>
      <x:c r="C8" s="34" t="n">
        <x:f>C7/C5</x:f>
        <x:v>0.29942544512426233</x:v>
      </x:c>
      <x:c r="D8" s="34" t="n">
        <x:f>D7/D5</x:f>
        <x:v>0.3183170115808538</x:v>
      </x:c>
      <x:c r="E8" s="34" t="n">
        <x:f>E7/E5</x:f>
        <x:v>0.3435794775490958</x:v>
      </x:c>
      <x:c r="F8" s="34" t="n">
        <x:f>F7/F5</x:f>
        <x:v>0.35921540012628</x:v>
      </x:c>
      <x:c r="G8" s="35" t="n">
        <x:f>G7/G5</x:f>
        <x:v>0.32046565687913503</x:v>
      </x:c>
      <x:c r="H8" t="str">
        <x:v>计算</x:v>
      </x:c>
    </x:row>
    <x:row r="9">
      <x:c r="A9" t="str">
        <x:v>研发费用</x:v>
      </x:c>
      <x:c r="B9" s="31" t="n">
        <x:v>2447.389</x:v>
      </x:c>
      <x:c r="C9" s="31" t="n">
        <x:v>3163.52</x:v>
      </x:c>
      <x:c r="D9" s="31" t="n">
        <x:v>4174.97</x:v>
      </x:c>
      <x:c r="E9" s="31" t="n">
        <x:v>2037.243</x:v>
      </x:c>
      <x:c r="F9" s="31" t="n">
        <x:v>2095.282</x:v>
      </x:c>
      <x:c r="G9" s="32" t="n">
        <x:f>D9-E9+F9</x:f>
        <x:v>4233.009</x:v>
      </x:c>
      <x:c r="H9" t="str">
        <x:v>S2/S1</x:v>
      </x:c>
    </x:row>
    <x:row r="10">
      <x:c r="A10" t="str">
        <x:v>研发费用率</x:v>
      </x:c>
      <x:c r="B10" s="34" t="n">
        <x:f>B9/B5</x:f>
        <x:v>0.033873579727801854</x:v>
      </x:c>
      <x:c r="C10" s="34" t="n">
        <x:f>C9/C5</x:f>
        <x:v>0.040632458749645356</x:v>
      </x:c>
      <x:c r="D10" s="34" t="n">
        <x:f>D9/D5</x:f>
        <x:v>0.046812805972240176</x:v>
      </x:c>
      <x:c r="E10" s="34" t="n">
        <x:f>E9/E5</x:f>
        <x:v>0.046797537433794084</x:v>
      </x:c>
      <x:c r="F10" s="34" t="n">
        <x:f>F9/F5</x:f>
        <x:v>0.06778157253175811</x:v>
      </x:c>
      <x:c r="G10" s="35" t="n">
        <x:f>G9/G5</x:f>
        <x:v>0.055287559415224743</x:v>
      </x:c>
      <x:c r="H10" t="str">
        <x:v>计算</x:v>
      </x:c>
    </x:row>
    <x:row r="11">
      <x:c r="A11" s="43" t="str">
        <x:v>归母净利润</x:v>
      </x:c>
      <x:c r="B11" s="44" t="n">
        <x:v>9439.562</x:v>
      </x:c>
      <x:c r="C11" s="44" t="n">
        <x:v>11036.279</x:v>
      </x:c>
      <x:c r="D11" s="44" t="n">
        <x:v>13461.28</x:v>
      </x:c>
      <x:c r="E11" s="44" t="n">
        <x:v>7734.578</x:v>
      </x:c>
      <x:c r="F11" s="44" t="n">
        <x:v>5258.509</x:v>
      </x:c>
      <x:c r="G11" s="44" t="n">
        <x:f>D11-E11+F11</x:f>
        <x:v>10985.211</x:v>
      </x:c>
      <x:c r="H11" s="43" t="str">
        <x:v>S2/S1</x:v>
      </x:c>
    </x:row>
    <x:row r="12">
      <x:c r="A12" s="43" t="str">
        <x:v>扣非归母净利润</x:v>
      </x:c>
      <x:c r="B12" s="44" t="n">
        <x:v>9215.604</x:v>
      </x:c>
      <x:c r="C12" s="44" t="n">
        <x:v>10692.732</x:v>
      </x:c>
      <x:c r="D12" s="44" t="n">
        <x:v>12829.036</x:v>
      </x:c>
      <x:c r="E12" s="44" t="n">
        <x:v>7495.239</x:v>
      </x:c>
      <x:c r="F12" s="44" t="n">
        <x:v>4275.5</x:v>
      </x:c>
      <x:c r="G12" s="44" t="n">
        <x:f>D12-E12+F12</x:f>
        <x:v>9609.297</x:v>
      </x:c>
      <x:c r="H12" s="43" t="str">
        <x:v>S2/S1</x:v>
      </x:c>
    </x:row>
    <x:row r="13">
      <x:c r="A13" s="43" t="str">
        <x:v>经营现金流</x:v>
      </x:c>
      <x:c r="B13" s="44" t="n">
        <x:v>6981.839</x:v>
      </x:c>
      <x:c r="C13" s="44" t="n">
        <x:v>12068.327</x:v>
      </x:c>
      <x:c r="D13" s="44" t="n">
        <x:v>16917.779</x:v>
      </x:c>
      <x:c r="E13" s="44" t="n">
        <x:v>3434.474</x:v>
      </x:c>
      <x:c r="F13" s="44" t="n">
        <x:v>3735.133</x:v>
      </x:c>
      <x:c r="G13" s="44" t="n">
        <x:f>D13-E13+F13</x:f>
        <x:v>17218.438</x:v>
      </x:c>
      <x:c r="H13" s="43" t="str">
        <x:v>S2/S1</x:v>
      </x:c>
    </x:row>
    <x:row r="14">
      <x:c r="A14" t="str">
        <x:v>经营现金流/归母净利润</x:v>
      </x:c>
      <x:c r="B14" s="34" t="n">
        <x:f>B13/B11</x:f>
        <x:v>0.7396359068355078</x:v>
      </x:c>
      <x:c r="C14" s="34" t="n">
        <x:f>C13/C11</x:f>
        <x:v>1.0935141273612237</x:v>
      </x:c>
      <x:c r="D14" s="34" t="n">
        <x:f>D13/D11</x:f>
        <x:v>1.2567734271926592</x:v>
      </x:c>
      <x:c r="E14" s="34" t="n">
        <x:f>E13/E11</x:f>
        <x:v>0.44404154951957303</x:v>
      </x:c>
      <x:c r="F14" s="34" t="n">
        <x:f>F13/F11</x:f>
        <x:v>0.7103026732482534</x:v>
      </x:c>
      <x:c r="G14" s="35" t="n">
        <x:f>G13/G11</x:f>
        <x:v>1.5674198702237034</x:v>
      </x:c>
      <x:c r="H14" t="str">
        <x:v>计算</x:v>
      </x:c>
    </x:row>
    <x:row r="15">
      <x:c r="A15" t="str">
        <x:v>总资产</x:v>
      </x:c>
      <x:c r="B15" s="31" t="n">
        <x:v>82876.507</x:v>
      </x:c>
      <x:c r="C15" s="31" t="n">
        <x:v>115073.771</x:v>
      </x:c>
      <x:c r="D15" s="31" t="n">
        <x:v>118679.392</x:v>
      </x:c>
      <x:c r="E15" s="31"/>
      <x:c r="F15" s="31" t="n">
        <x:v>127091.294</x:v>
      </x:c>
      <x:c r="G15" s="33"/>
      <x:c r="H15" t="str">
        <x:v>S2/S1</x:v>
      </x:c>
    </x:row>
    <x:row r="16">
      <x:c r="A16" s="43" t="str">
        <x:v>归母净资产</x:v>
      </x:c>
      <x:c r="B16" s="44" t="n">
        <x:v>27705.218</x:v>
      </x:c>
      <x:c r="C16" s="44" t="n">
        <x:v>36905.064</x:v>
      </x:c>
      <x:c r="D16" s="44" t="n">
        <x:v>46610.878</x:v>
      </x:c>
      <x:c r="E16" s="44"/>
      <x:c r="F16" s="44" t="n">
        <x:v>50140.073</x:v>
      </x:c>
      <x:c r="G16" s="44"/>
      <x:c r="H16" s="43" t="str">
        <x:v>S2/S1</x:v>
      </x:c>
    </x:row>
    <x:row r="17">
      <x:c r="A17" t="str">
        <x:v>加权 ROE</x:v>
      </x:c>
      <x:c r="B17" s="34" t="n">
        <x:v>0.4096</x:v>
      </x:c>
      <x:c r="C17" s="34" t="n">
        <x:v>0.3399</x:v>
      </x:c>
      <x:c r="D17" s="34" t="n">
        <x:v>0.3126</x:v>
      </x:c>
      <x:c r="E17" s="34" t="n">
        <x:v>0.1918</x:v>
      </x:c>
      <x:c r="F17" s="34" t="n">
        <x:v>0.1073</x:v>
      </x:c>
      <x:c r="G17" s="36"/>
      <x:c r="H17" t="str">
        <x:v>S2/S1</x:v>
      </x:c>
    </x:row>
    <x:row r="18">
      <x:c r="A18" t="str">
        <x:v>基本 EPS</x:v>
      </x:c>
      <x:c r="B18" s="37" t="n">
        <x:v>4.55</x:v>
      </x:c>
      <x:c r="C18" s="37" t="n">
        <x:v>5.32</x:v>
      </x:c>
      <x:c r="D18" s="37" t="n">
        <x:v>6.55</x:v>
      </x:c>
      <x:c r="E18" s="37" t="n">
        <x:v>3.73</x:v>
      </x:c>
      <x:c r="F18" s="37" t="n">
        <x:v>2.56</x:v>
      </x:c>
      <x:c r="G18" s="33"/>
      <x:c r="H18" t="str">
        <x:v>S2/S1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4" hidden="0" customWidth="1"/>
    <x:col min="8" max="8" width="17" hidden="0" customWidth="1"/>
  </x:cols>
  <x:sheetData>
    <x:row r="1" ht="34" customHeight="1">
      <x:c r="A1" s="4" t="str">
        <x:v>Business &amp; Geographic Mix (RMB mn)</x:v>
      </x:c>
      <x:c r="B1" s="4" t="str">
        <x:v>Business &amp; Geographic Mix (RMB mn)</x:v>
      </x:c>
      <x:c r="C1" s="4" t="str">
        <x:v>Business &amp; Geographic Mix (RMB mn)</x:v>
      </x:c>
      <x:c r="D1" s="4" t="str">
        <x:v>Business &amp; Geographic Mix (RMB mn)</x:v>
      </x:c>
      <x:c r="E1" s="4" t="str">
        <x:v>Business &amp; Geographic Mix (RMB mn)</x:v>
      </x:c>
      <x:c r="F1" s="4" t="str">
        <x:v>Business &amp; Geographic Mix (RMB mn)</x:v>
      </x:c>
      <x:c r="G1" s="4" t="str">
        <x:v>Business &amp; Geographic Mix (RMB mn)</x:v>
      </x:c>
      <x:c r="H1" s="4" t="str">
        <x:v>Business &amp; Geographic Mix (RMB mn)</x:v>
      </x:c>
    </x:row>
    <x:row r="3" ht="22" customHeight="1">
      <x:c r="A3" s="48" t="str">
        <x:v>Reported product revenue</x:v>
      </x:c>
      <x:c r="B3" s="48" t="str">
        <x:v>Reported product revenue</x:v>
      </x:c>
      <x:c r="C3" s="48" t="str">
        <x:v>Reported product revenue</x:v>
      </x:c>
      <x:c r="D3" s="48" t="str">
        <x:v>Reported product revenue</x:v>
      </x:c>
      <x:c r="E3" s="48" t="str">
        <x:v>Reported product revenue</x:v>
      </x:c>
      <x:c r="F3" s="48" t="str">
        <x:v>Reported product revenue</x:v>
      </x:c>
      <x:c r="G3" s="48" t="str">
        <x:v>Reported product revenue</x:v>
      </x:c>
      <x:c r="H3" s="48" t="str">
        <x:v>Reported product revenue</x:v>
      </x:c>
    </x:row>
    <x:row r="4">
      <x:c r="A4" s="13" t="str">
        <x:v>业务</x:v>
      </x:c>
      <x:c r="B4" s="14" t="str">
        <x:v>2025A 收入</x:v>
      </x:c>
      <x:c r="C4" s="14" t="str">
        <x:v>2025A 占比</x:v>
      </x:c>
      <x:c r="D4" s="14" t="str">
        <x:v>2025A 毛利率</x:v>
      </x:c>
      <x:c r="E4" s="14" t="str">
        <x:v>2025H1 收入</x:v>
      </x:c>
      <x:c r="F4" s="14" t="str">
        <x:v>2026H1 收入</x:v>
      </x:c>
      <x:c r="G4" s="14" t="str">
        <x:v>H1 同比</x:v>
      </x:c>
      <x:c r="H4" s="15" t="str">
        <x:v>2026H1 毛利率</x:v>
      </x:c>
    </x:row>
    <x:row r="5">
      <x:c r="A5" t="str">
        <x:v>光伏逆变器等电力电子设备</x:v>
      </x:c>
      <x:c r="B5" s="31" t="n">
        <x:v>31136.228</x:v>
      </x:c>
      <x:c r="C5" s="35" t="n">
        <x:f>B5/SUM($B$5:$B$9)</x:f>
        <x:v>0.34912207362640874</x:v>
      </x:c>
      <x:c r="D5" s="34" t="n">
        <x:v>0.3466</x:v>
      </x:c>
      <x:c r="E5" s="31" t="n">
        <x:v>15327.462</x:v>
      </x:c>
      <x:c r="F5" s="31" t="n">
        <x:v>12388.454</x:v>
      </x:c>
      <x:c r="G5" s="35" t="n">
        <x:f>F5/E5-1</x:f>
        <x:v>-0.19174785753831913</x:v>
      </x:c>
      <x:c r="H5" s="34" t="n">
        <x:v>0.4272</x:v>
      </x:c>
    </x:row>
    <x:row r="6">
      <x:c r="A6" t="str">
        <x:v>储能系统</x:v>
      </x:c>
      <x:c r="B6" s="31" t="n">
        <x:v>37286.579</x:v>
      </x:c>
      <x:c r="C6" s="35" t="n">
        <x:f>B6/SUM($B$5:$B$9)</x:f>
        <x:v>0.41808429007248105</x:v>
      </x:c>
      <x:c r="D6" s="34" t="n">
        <x:v>0.3649</x:v>
      </x:c>
      <x:c r="E6" s="31" t="n">
        <x:v>17802.778</x:v>
      </x:c>
      <x:c r="F6" s="31" t="n">
        <x:v>15455.765</x:v>
      </x:c>
      <x:c r="G6" s="35" t="n">
        <x:f>F6/E6-1</x:f>
        <x:v>-0.1318340879159421</x:v>
      </x:c>
      <x:c r="H6" s="34" t="n">
        <x:v>0.3243</x:v>
      </x:c>
    </x:row>
    <x:row r="7">
      <x:c r="A7" t="str">
        <x:v>新能源投资开发</x:v>
      </x:c>
      <x:c r="B7" s="31" t="n">
        <x:v>16559.406</x:v>
      </x:c>
      <x:c r="C7" s="35" t="n">
        <x:f>B7/SUM($B$5:$B$9)</x:f>
        <x:v>0.1856761249545576</x:v>
      </x:c>
      <x:c r="D7" s="34" t="n">
        <x:v>0.145</x:v>
      </x:c>
      <x:c r="E7" s="31" t="n">
        <x:v>8397.881</x:v>
      </x:c>
      <x:c r="F7" s="31" t="n">
        <x:v>1257.637</x:v>
      </x:c>
      <x:c r="G7" s="35" t="n">
        <x:f>F7/E7-1</x:f>
        <x:v>-0.8502435316718586</x:v>
      </x:c>
      <x:c r="H7" s="34"/>
    </x:row>
    <x:row r="8">
      <x:c r="A8" t="str">
        <x:v>光伏电站发电</x:v>
      </x:c>
      <x:c r="B8" s="31" t="n">
        <x:v>1309.507</x:v>
      </x:c>
      <x:c r="C8" s="35" t="n">
        <x:f>B8/SUM($B$5:$B$9)</x:f>
        <x:v>0.014683146567024678</x:v>
      </x:c>
      <x:c r="D8" s="34"/>
      <x:c r="E8" s="31" t="n">
        <x:v>761.048</x:v>
      </x:c>
      <x:c r="F8" s="31" t="n">
        <x:v>296.462</x:v>
      </x:c>
      <x:c r="G8" s="35" t="n">
        <x:f>F8/E8-1</x:f>
        <x:v>-0.610455582302299</x:v>
      </x:c>
      <x:c r="H8" s="34"/>
    </x:row>
    <x:row r="9">
      <x:c r="A9" t="str">
        <x:v>其他</x:v>
      </x:c>
      <x:c r="B9" s="31" t="n">
        <x:v>2892.638</x:v>
      </x:c>
      <x:c r="C9" s="35" t="n">
        <x:f>B9/SUM($B$5:$B$9)</x:f>
        <x:v>0.03243436477952782</x:v>
      </x:c>
      <x:c r="D9" s="34"/>
      <x:c r="E9" s="31" t="n">
        <x:v>1243.956</x:v>
      </x:c>
      <x:c r="F9" s="31" t="n">
        <x:v>1513.947</x:v>
      </x:c>
      <x:c r="G9" s="35" t="n">
        <x:f>F9/E9-1</x:f>
        <x:v>0.21704224265166938</x:v>
      </x:c>
      <x:c r="H9" s="34"/>
    </x:row>
    <x:row r="10">
      <x:c r="A10" s="43" t="str">
        <x:v>合计</x:v>
      </x:c>
      <x:c r="B10" s="44" t="n">
        <x:f>SUM(B5:B9)</x:f>
        <x:v>89184.35800000001</x:v>
      </x:c>
      <x:c r="C10" s="52" t="n">
        <x:f>SUM(C5:C9)</x:f>
        <x:v>0.9999999999999997</x:v>
      </x:c>
      <x:c r="D10" s="52"/>
      <x:c r="E10" s="44" t="n">
        <x:f>SUM(E5:E9)</x:f>
        <x:v>43533.125</x:v>
      </x:c>
      <x:c r="F10" s="44" t="n">
        <x:f>SUM(F5:F9)</x:f>
        <x:v>30912.264999999996</x:v>
      </x:c>
      <x:c r="G10" s="52" t="n">
        <x:f>F10/E10-1</x:f>
        <x:v>-0.2899139448408541</x:v>
      </x:c>
      <x:c r="H10" s="52"/>
    </x:row>
    <x:row r="12" ht="22" customHeight="1">
      <x:c r="A12" s="48" t="str">
        <x:v>Reported geographic revenue</x:v>
      </x:c>
      <x:c r="B12" s="48" t="str">
        <x:v>Reported geographic revenue</x:v>
      </x:c>
      <x:c r="C12" s="48" t="str">
        <x:v>Reported geographic revenue</x:v>
      </x:c>
      <x:c r="D12" s="48" t="str">
        <x:v>Reported geographic revenue</x:v>
      </x:c>
      <x:c r="E12" s="48" t="str">
        <x:v>Reported geographic revenue</x:v>
      </x:c>
      <x:c r="F12" s="48" t="str">
        <x:v>Reported geographic revenue</x:v>
      </x:c>
      <x:c r="G12" s="48" t="str">
        <x:v>Reported geographic revenue</x:v>
      </x:c>
      <x:c r="H12" s="48" t="str">
        <x:v>Reported geographic revenue</x:v>
      </x:c>
    </x:row>
    <x:row r="13">
      <x:c r="A13" s="13" t="str">
        <x:v>地区</x:v>
      </x:c>
      <x:c r="B13" s="14" t="str">
        <x:v>2025A</x:v>
      </x:c>
      <x:c r="C13" s="14" t="str">
        <x:v>2025A 占比</x:v>
      </x:c>
      <x:c r="D13" s="14" t="str">
        <x:v>2025H1</x:v>
      </x:c>
      <x:c r="E13" s="14" t="str">
        <x:v>2026H1</x:v>
      </x:c>
      <x:c r="F13" s="15" t="str">
        <x:v>H1 同比</x:v>
      </x:c>
    </x:row>
    <x:row r="14">
      <x:c r="A14" t="str">
        <x:v>中国大陆</x:v>
      </x:c>
      <x:c r="B14" s="31" t="n">
        <x:v>35192.74</x:v>
      </x:c>
      <x:c r="C14" s="35" t="n">
        <x:f>B14/SUM($B$14:$B$15)</x:f>
        <x:v>0.3946066416714016</x:v>
      </x:c>
      <x:c r="D14" s="31" t="n">
        <x:v>18154.606</x:v>
      </x:c>
      <x:c r="E14" s="31" t="n">
        <x:v>8222.458</x:v>
      </x:c>
      <x:c r="F14" s="35" t="n">
        <x:f>E14/D14-1</x:f>
        <x:v>-0.5470869486233961</x:v>
      </x:c>
    </x:row>
    <x:row r="15">
      <x:c r="A15" t="str">
        <x:v>海外（含港澳台）</x:v>
      </x:c>
      <x:c r="B15" s="31" t="n">
        <x:v>53991.618</x:v>
      </x:c>
      <x:c r="C15" s="35" t="n">
        <x:f>B15/SUM($B$14:$B$15)</x:f>
        <x:v>0.6053933583285983</x:v>
      </x:c>
      <x:c r="D15" s="31" t="n">
        <x:v>25378.519</x:v>
      </x:c>
      <x:c r="E15" s="31" t="n">
        <x:v>22689.808</x:v>
      </x:c>
      <x:c r="F15" s="35" t="n">
        <x:f>E15/D15-1</x:f>
        <x:v>-0.10594436184396727</x:v>
      </x:c>
    </x:row>
    <x:row r="16">
      <x:c r="A16" s="43" t="str">
        <x:v>合计</x:v>
      </x:c>
      <x:c r="B16" s="44" t="n">
        <x:f>SUM(B14:B15)</x:f>
        <x:v>89184.35800000001</x:v>
      </x:c>
      <x:c r="C16" s="52" t="n">
        <x:f>SUM(C14:C15)</x:f>
        <x:v>0.9999999999999999</x:v>
      </x:c>
      <x:c r="D16" s="44" t="n">
        <x:f>SUM(D14:D15)</x:f>
        <x:v>43533.125</x:v>
      </x:c>
      <x:c r="E16" s="44" t="n">
        <x:f>SUM(E14:E15)</x:f>
        <x:v>30912.266000000003</x:v>
      </x:c>
      <x:c r="F16" s="52" t="n">
        <x:f>E16/D16-1</x:f>
        <x:v>-0.28991392186984044</x:v>
      </x:c>
    </x:row>
    <x:row r="18" ht="22" customHeight="1">
      <x:c r="A18" s="48" t="str">
        <x:v>Operating indicators and interpretation</x:v>
      </x:c>
      <x:c r="B18" s="48" t="str">
        <x:v>Operating indicators and interpretation</x:v>
      </x:c>
      <x:c r="C18" s="48" t="str">
        <x:v>Operating indicators and interpretation</x:v>
      </x:c>
      <x:c r="D18" s="48" t="str">
        <x:v>Operating indicators and interpretation</x:v>
      </x:c>
      <x:c r="E18" s="48" t="str">
        <x:v>Operating indicators and interpretation</x:v>
      </x:c>
      <x:c r="F18" s="48" t="str">
        <x:v>Operating indicators and interpretation</x:v>
      </x:c>
      <x:c r="G18" s="48" t="str">
        <x:v>Operating indicators and interpretation</x:v>
      </x:c>
      <x:c r="H18" s="48" t="str">
        <x:v>Operating indicators and interpretation</x:v>
      </x:c>
    </x:row>
    <x:row r="19">
      <x:c r="A19" s="13" t="str">
        <x:v>指标</x:v>
      </x:c>
      <x:c r="B19" s="14" t="str">
        <x:v>2025H1</x:v>
      </x:c>
      <x:c r="C19" s="14" t="str">
        <x:v>2026H1</x:v>
      </x:c>
      <x:c r="D19" s="15" t="str">
        <x:v>变化</x:v>
      </x:c>
      <x:c r="F19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G19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H19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</x:row>
    <x:row r="20">
      <x:c r="A20" t="str">
        <x:v>逆变器发货 (GW)</x:v>
      </x:c>
      <x:c r="B20" s="29" t="n">
        <x:v>76</x:v>
      </x:c>
      <x:c r="C20" s="29" t="n">
        <x:v>66</x:v>
      </x:c>
      <x:c r="D20" s="36" t="n">
        <x:f>C20/B20-1</x:f>
        <x:v>-0.13157894736842102</x:v>
      </x:c>
      <x:c r="F20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G20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H20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</x:row>
    <x:row r="21">
      <x:c r="A21" t="str">
        <x:v>储能发货 (GWh)</x:v>
      </x:c>
      <x:c r="B21" s="29" t="n">
        <x:v>19.53125</x:v>
      </x:c>
      <x:c r="C21" s="29" t="n">
        <x:v>25</x:v>
      </x:c>
      <x:c r="D21" s="36" t="n">
        <x:f>C21/B21-1</x:f>
        <x:v>0.28</x:v>
      </x:c>
      <x:c r="F21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G21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H21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</x:row>
    <x:row r="22">
      <x:c r="A22" t="str">
        <x:v>储能单位确认收入 (RMB mn/GWh)</x:v>
      </x:c>
      <x:c r="B22" s="32" t="n">
        <x:f>E6/B21</x:f>
        <x:v>911.5022336</x:v>
      </x:c>
      <x:c r="C22" s="32" t="n">
        <x:f>F6/C21</x:f>
        <x:v>618.2306</x:v>
      </x:c>
      <x:c r="D22" s="35" t="n">
        <x:f>C22/B22-1</x:f>
        <x:v>-0.3217453811843297</x:v>
      </x:c>
      <x:c r="F22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G22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H22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</x:row>
    <x:row r="23">
      <x:c r="A23" t="str">
        <x:v>中国大陆收入占比</x:v>
      </x:c>
      <x:c r="B23" s="35" t="n">
        <x:f>D14/SUM(D14:D15)</x:f>
        <x:v>0.4170296986490173</x:v>
      </x:c>
      <x:c r="C23" s="35" t="n">
        <x:f>E14/SUM(E14:E15)</x:f>
        <x:v>0.26599337622159436</x:v>
      </x:c>
      <x:c r="D23" s="35" t="n">
        <x:f>C23-B23</x:f>
        <x:v>-0.15103632242742293</x:v>
      </x:c>
      <x:c r="F23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G23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H23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</x:row>
    <x:row r="24">
      <x:c r="A24" t="str">
        <x:v>海外收入占比</x:v>
      </x:c>
      <x:c r="B24" s="35" t="n">
        <x:f>D15/SUM(D14:D15)</x:f>
        <x:v>0.5829703013509827</x:v>
      </x:c>
      <x:c r="C24" s="35" t="n">
        <x:f>E15/SUM(E14:E15)</x:f>
        <x:v>0.7340066237784055</x:v>
      </x:c>
      <x:c r="D24" s="35" t="n">
        <x:f>C24-B24</x:f>
        <x:v>0.15103632242742282</x:v>
      </x:c>
      <x:c r="F24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G24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  <x:c r="H24" s="56" t="str">
        <x:v>核心矛盾：储能发货增长 28%，收入却下降 13.2%，毛利率下降 7.49pct。单位确认收入只是收入/发货量，不等于产品售价；大项目验收、系统时长、区域与电芯配置会导致错位。逆变器则表现为量降但毛利上升，显示海外结构和品牌溢价改善。</x:v>
      </x:c>
    </x:row>
  </x:sheetData>
  <x:mergeCells>
    <x:mergeCell ref="A1:H1"/>
    <x:mergeCell ref="A3:H3"/>
    <x:mergeCell ref="A12:H12"/>
    <x:mergeCell ref="A18:H18"/>
    <x:mergeCell ref="F19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Balance Sheet &amp; Cash Conversion (RMB mn)</x:v>
      </x:c>
      <x:c r="B1" s="4" t="str">
        <x:v>Balance Sheet &amp; Cash Conversion (RMB mn)</x:v>
      </x:c>
      <x:c r="C1" s="4" t="str">
        <x:v>Balance Sheet &amp; Cash Conversion (RMB mn)</x:v>
      </x:c>
      <x:c r="D1" s="4" t="str">
        <x:v>Balance Sheet &amp; Cash Conversion (RMB mn)</x:v>
      </x:c>
      <x:c r="E1" s="4" t="str">
        <x:v>Balance Sheet &amp; Cash Conversion (RMB mn)</x:v>
      </x:c>
      <x:c r="F1" s="4" t="str">
        <x:v>Balance Sheet &amp; Cash Conversion (RMB mn)</x:v>
      </x:c>
      <x:c r="G1" s="4" t="str">
        <x:v>Balance Sheet &amp; Cash Conversion (RMB mn)</x:v>
      </x:c>
    </x:row>
    <x:row r="3" ht="22" customHeight="1">
      <x:c r="A3" s="48" t="str">
        <x:v>Reported balances</x:v>
      </x:c>
      <x:c r="B3" s="48" t="str">
        <x:v>Reported balances</x:v>
      </x:c>
      <x:c r="C3" s="48" t="str">
        <x:v>Reported balances</x:v>
      </x:c>
      <x:c r="D3" s="48" t="str">
        <x:v>Reported balances</x:v>
      </x:c>
      <x:c r="E3" s="48" t="str">
        <x:v>Reported balances</x:v>
      </x:c>
      <x:c r="F3" s="48" t="str">
        <x:v>Reported balances</x:v>
      </x:c>
      <x:c r="G3" s="48" t="str">
        <x:v>Reported balances</x:v>
      </x:c>
    </x:row>
    <x:row r="4">
      <x:c r="A4" s="13" t="str">
        <x:v>项目</x:v>
      </x:c>
      <x:c r="B4" s="14" t="str">
        <x:v>2025-12-31</x:v>
      </x:c>
      <x:c r="C4" s="14" t="str">
        <x:v>2026-06-30</x:v>
      </x:c>
      <x:c r="D4" s="15" t="str">
        <x:v>变化</x:v>
      </x:c>
      <x:c r="E4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4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4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5">
      <x:c r="A5" t="str">
        <x:v>货币资金</x:v>
      </x:c>
      <x:c r="B5" s="31" t="n">
        <x:v>22830.814</x:v>
      </x:c>
      <x:c r="C5" s="31" t="n">
        <x:v>31523.136</x:v>
      </x:c>
      <x:c r="D5" s="32" t="n">
        <x:f>C5-B5</x:f>
        <x:v>8692.322</x:v>
      </x:c>
      <x:c r="E5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5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5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6">
      <x:c r="A6" t="str">
        <x:v>交易性金融资产</x:v>
      </x:c>
      <x:c r="B6" s="31" t="n">
        <x:v>10998.373</x:v>
      </x:c>
      <x:c r="C6" s="31" t="n">
        <x:v>4045.499</x:v>
      </x:c>
      <x:c r="D6" s="32" t="n">
        <x:f>C6-B6</x:f>
        <x:v>-6952.874</x:v>
      </x:c>
      <x:c r="E6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6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6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7">
      <x:c r="A7" t="str">
        <x:v>衍生金融资产</x:v>
      </x:c>
      <x:c r="B7" s="31" t="n">
        <x:v>0</x:v>
      </x:c>
      <x:c r="C7" s="31" t="n">
        <x:v>23.672</x:v>
      </x:c>
      <x:c r="D7" s="32" t="n">
        <x:f>C7-B7</x:f>
        <x:v>23.672</x:v>
      </x:c>
      <x:c r="E7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7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7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8">
      <x:c r="A8" t="str">
        <x:v>应收票据</x:v>
      </x:c>
      <x:c r="B8" s="31" t="n">
        <x:v>1233.62</x:v>
      </x:c>
      <x:c r="C8" s="31" t="n">
        <x:v>2334.356</x:v>
      </x:c>
      <x:c r="D8" s="32" t="n">
        <x:f>C8-B8</x:f>
        <x:v>1100.7360000000003</x:v>
      </x:c>
      <x:c r="E8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8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8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9">
      <x:c r="A9" t="str">
        <x:v>应收账款</x:v>
      </x:c>
      <x:c r="B9" s="31" t="n">
        <x:v>23499.559</x:v>
      </x:c>
      <x:c r="C9" s="31" t="n">
        <x:v>20899.14</x:v>
      </x:c>
      <x:c r="D9" s="32" t="n">
        <x:f>C9-B9</x:f>
        <x:v>-2600.4190000000017</x:v>
      </x:c>
      <x:c r="E9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9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9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10">
      <x:c r="A10" t="str">
        <x:v>预付款项</x:v>
      </x:c>
      <x:c r="B10" s="31" t="n">
        <x:v>1340.444</x:v>
      </x:c>
      <x:c r="C10" s="31" t="n">
        <x:v>4712.837</x:v>
      </x:c>
      <x:c r="D10" s="32" t="n">
        <x:f>C10-B10</x:f>
        <x:v>3372.3930000000005</x:v>
      </x:c>
      <x:c r="E10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10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10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11">
      <x:c r="A11" t="str">
        <x:v>存货</x:v>
      </x:c>
      <x:c r="B11" s="31" t="n">
        <x:v>27255.417</x:v>
      </x:c>
      <x:c r="C11" s="31" t="n">
        <x:v>32153.104</x:v>
      </x:c>
      <x:c r="D11" s="32" t="n">
        <x:f>C11-B11</x:f>
        <x:v>4897.686999999998</x:v>
      </x:c>
      <x:c r="E11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11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11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12">
      <x:c r="A12" t="str">
        <x:v>合同资产</x:v>
      </x:c>
      <x:c r="B12" s="31" t="n">
        <x:v>1658.609</x:v>
      </x:c>
      <x:c r="C12" s="31" t="n">
        <x:v>1486.389</x:v>
      </x:c>
      <x:c r="D12" s="32" t="n">
        <x:f>C12-B12</x:f>
        <x:v>-172.22000000000003</x:v>
      </x:c>
      <x:c r="E12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F12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  <x:c r="G12" s="56" t="str">
        <x:v>现金流改善需谨慎解读：H1 存货增加约 RMB5.26bn，经营性应付款增加约 RMB4.19bn。应收账款回落和合同负债增加是正面信号，但供应商信用对经营现金流提供了重要支持。预计负债接近 RMB5.9bn，应随储能规模和质量事件持续跟踪。</x:v>
      </x:c>
    </x:row>
    <x:row r="13">
      <x:c r="A13" s="43" t="str">
        <x:v>总资产</x:v>
      </x:c>
      <x:c r="B13" s="44" t="n">
        <x:v>118679.392</x:v>
      </x:c>
      <x:c r="C13" s="44" t="n">
        <x:v>127091.294</x:v>
      </x:c>
      <x:c r="D13" s="44" t="n">
        <x:f>C13-B13</x:f>
        <x:v>8411.901999999987</x:v>
      </x:c>
    </x:row>
    <x:row r="14">
      <x:c r="A14" t="str">
        <x:v>短期借款</x:v>
      </x:c>
      <x:c r="B14" s="31" t="n">
        <x:v>2422.446</x:v>
      </x:c>
      <x:c r="C14" s="31" t="n">
        <x:v>2541.767</x:v>
      </x:c>
      <x:c r="D14" s="32" t="n">
        <x:f>C14-B14</x:f>
        <x:v>119.32099999999991</x:v>
      </x:c>
    </x:row>
    <x:row r="15">
      <x:c r="A15" t="str">
        <x:v>一年内到期非流动负债</x:v>
      </x:c>
      <x:c r="B15" s="31" t="n">
        <x:v>505.285</x:v>
      </x:c>
      <x:c r="C15" s="31" t="n">
        <x:v>1461.43</x:v>
      </x:c>
      <x:c r="D15" s="32" t="n">
        <x:f>C15-B15</x:f>
        <x:v>956.145</x:v>
      </x:c>
    </x:row>
    <x:row r="16">
      <x:c r="A16" t="str">
        <x:v>长期借款</x:v>
      </x:c>
      <x:c r="B16" s="31" t="n">
        <x:v>3064.882</x:v>
      </x:c>
      <x:c r="C16" s="31" t="n">
        <x:v>3518.753</x:v>
      </x:c>
      <x:c r="D16" s="32" t="n">
        <x:f>C16-B16</x:f>
        <x:v>453.8710000000001</x:v>
      </x:c>
    </x:row>
    <x:row r="17">
      <x:c r="A17" t="str">
        <x:v>租赁负债</x:v>
      </x:c>
      <x:c r="B17" s="31" t="n">
        <x:v>373.415</x:v>
      </x:c>
      <x:c r="C17" s="31" t="n">
        <x:v>327.042</x:v>
      </x:c>
      <x:c r="D17" s="32" t="n">
        <x:f>C17-B17</x:f>
        <x:v>-46.37300000000005</x:v>
      </x:c>
    </x:row>
    <x:row r="18">
      <x:c r="A18" t="str">
        <x:v>应付票据</x:v>
      </x:c>
      <x:c r="B18" s="31" t="n">
        <x:v>15562.127</x:v>
      </x:c>
      <x:c r="C18" s="31" t="n">
        <x:v>19798.413</x:v>
      </x:c>
      <x:c r="D18" s="32" t="n">
        <x:f>C18-B18</x:f>
        <x:v>4236.286</x:v>
      </x:c>
    </x:row>
    <x:row r="19">
      <x:c r="A19" t="str">
        <x:v>应付账款</x:v>
      </x:c>
      <x:c r="B19" s="31" t="n">
        <x:v>21073.708</x:v>
      </x:c>
      <x:c r="C19" s="31" t="n">
        <x:v>20675.438</x:v>
      </x:c>
      <x:c r="D19" s="32" t="n">
        <x:f>C19-B19</x:f>
        <x:v>-398.27000000000044</x:v>
      </x:c>
    </x:row>
    <x:row r="20">
      <x:c r="A20" t="str">
        <x:v>合同负债</x:v>
      </x:c>
      <x:c r="B20" s="31" t="n">
        <x:v>10655.118</x:v>
      </x:c>
      <x:c r="C20" s="31" t="n">
        <x:v>11655.597</x:v>
      </x:c>
      <x:c r="D20" s="32" t="n">
        <x:f>C20-B20</x:f>
        <x:v>1000.4789999999994</x:v>
      </x:c>
    </x:row>
    <x:row r="21">
      <x:c r="A21" t="str">
        <x:v>预计负债</x:v>
      </x:c>
      <x:c r="B21" s="31" t="n">
        <x:v>5700.815</x:v>
      </x:c>
      <x:c r="C21" s="31" t="n">
        <x:v>5883.027</x:v>
      </x:c>
      <x:c r="D21" s="32" t="n">
        <x:f>C21-B21</x:f>
        <x:v>182.21200000000044</x:v>
      </x:c>
    </x:row>
    <x:row r="22">
      <x:c r="A22" s="43" t="str">
        <x:v>归母净资产</x:v>
      </x:c>
      <x:c r="B22" s="44" t="n">
        <x:v>46610.878</x:v>
      </x:c>
      <x:c r="C22" s="44" t="n">
        <x:v>50140.073</x:v>
      </x:c>
      <x:c r="D22" s="44" t="n">
        <x:f>C22-B22</x:f>
        <x:v>3529.1949999999997</x:v>
      </x:c>
    </x:row>
    <x:row r="24" ht="22" customHeight="1">
      <x:c r="A24" s="48" t="str">
        <x:v>Liquidity and working-capital calculations</x:v>
      </x:c>
      <x:c r="B24" s="48" t="str">
        <x:v>Liquidity and working-capital calculations</x:v>
      </x:c>
      <x:c r="C24" s="48" t="str">
        <x:v>Liquidity and working-capital calculations</x:v>
      </x:c>
      <x:c r="D24" s="48" t="str">
        <x:v>Liquidity and working-capital calculations</x:v>
      </x:c>
      <x:c r="E24" s="48" t="str">
        <x:v>Liquidity and working-capital calculations</x:v>
      </x:c>
      <x:c r="F24" s="48" t="str">
        <x:v>Liquidity and working-capital calculations</x:v>
      </x:c>
      <x:c r="G24" s="48" t="str">
        <x:v>Liquidity and working-capital calculations</x:v>
      </x:c>
    </x:row>
    <x:row r="25">
      <x:c r="A25" s="13" t="str">
        <x:v>指标</x:v>
      </x:c>
      <x:c r="B25" s="14" t="str">
        <x:v>数值</x:v>
      </x:c>
      <x:c r="C25" s="15" t="str">
        <x:v>口径</x:v>
      </x:c>
    </x:row>
    <x:row r="26">
      <x:c r="A26" t="str">
        <x:v>现金及交易性金融资产</x:v>
      </x:c>
      <x:c r="B26" s="32" t="n">
        <x:f>SUM(C5:C7)</x:f>
        <x:v>35592.30699999999</x:v>
      </x:c>
      <x:c r="C26" t="str">
        <x:v>现金+交易性金融资产+衍生金融资产</x:v>
      </x:c>
    </x:row>
    <x:row r="27">
      <x:c r="A27" t="str">
        <x:v>狭义有息债务</x:v>
      </x:c>
      <x:c r="B27" s="32" t="n">
        <x:f>SUM(C14:C17)</x:f>
        <x:v>7848.992000000001</x:v>
      </x:c>
      <x:c r="C27" t="str">
        <x:v>短借+一年内到期+长借+租赁</x:v>
      </x:c>
    </x:row>
    <x:row r="28">
      <x:c r="A28" s="60" t="str">
        <x:v>狭义净现金</x:v>
      </x:c>
      <x:c r="B28" s="61" t="n">
        <x:f>B26-B27</x:f>
        <x:v>27743.31499999999</x:v>
      </x:c>
      <x:c r="C28" s="60" t="str">
        <x:v>流动金融资产-狭义有息债务</x:v>
      </x:c>
    </x:row>
    <x:row r="29">
      <x:c r="A29" s="62" t="str">
        <x:v>净现金/股</x:v>
      </x:c>
      <x:c r="B29" s="63" t="n">
        <x:f>B28/'Assumptions'!B8</x:f>
        <x:v>13.48409488069948</x:v>
      </x:c>
      <x:c r="C29" s="62" t="str">
        <x:v>净现金/经济在外股份</x:v>
      </x:c>
    </x:row>
    <x:row r="30">
      <x:c r="A30" t="str">
        <x:v>流动比率</x:v>
      </x:c>
      <x:c r="B30" s="57" t="n">
        <x:f>102615.562/62437.202</x:f>
        <x:v>1.6435003285381047</x:v>
      </x:c>
      <x:c r="C30" t="str">
        <x:v>流动资产/流动负债</x:v>
      </x:c>
    </x:row>
    <x:row r="31">
      <x:c r="A31" t="str">
        <x:v>经营性净营运资金</x:v>
      </x:c>
      <x:c r="B31" s="32" t="n">
        <x:f>SUM(C8:C12)-SUM(C18:C20)</x:f>
        <x:v>9456.378000000004</x:v>
      </x:c>
      <x:c r="C31" t="str">
        <x:v>AR+票据+预付+存货+合同资产-应付票据-AP-合同负债</x:v>
      </x:c>
    </x:row>
    <x:row r="32">
      <x:c r="A32" t="str">
        <x:v>2025 年末经营性净营运资金</x:v>
      </x:c>
      <x:c r="B32" s="32" t="n">
        <x:f>SUM(B8:B12)-SUM(B18:B20)</x:f>
        <x:v>7696.695999999996</x:v>
      </x:c>
      <x:c r="C32" t="str">
        <x:v>同口径</x:v>
      </x:c>
    </x:row>
    <x:row r="33">
      <x:c r="A33" t="str">
        <x:v>净营运资金增加</x:v>
      </x:c>
      <x:c r="B33" s="32" t="n">
        <x:f>B31-B32</x:f>
        <x:v>1759.682000000008</x:v>
      </x:c>
      <x:c r="C33" t="str">
        <x:v>期末-年初</x:v>
      </x:c>
    </x:row>
    <x:row r="34">
      <x:c r="A34" t="str">
        <x:v>2026H1 经营现金流</x:v>
      </x:c>
      <x:c r="B34" s="31" t="n">
        <x:v>3735.133</x:v>
      </x:c>
      <x:c r="C34" t="str">
        <x:v>S1</x:v>
      </x:c>
    </x:row>
    <x:row r="35">
      <x:c r="A35" t="str">
        <x:v>2026H1 资本性支出</x:v>
      </x:c>
      <x:c r="B35" s="31" t="n">
        <x:v>1174.748</x:v>
      </x:c>
      <x:c r="C35" t="str">
        <x:v>购建固定资产等</x:v>
      </x:c>
    </x:row>
    <x:row r="36">
      <x:c r="A36" s="60" t="str">
        <x:v>粗略自由现金流</x:v>
      </x:c>
      <x:c r="B36" s="61" t="n">
        <x:f>B34-B35</x:f>
        <x:v>2560.3849999999998</x:v>
      </x:c>
      <x:c r="C36" s="60" t="str">
        <x:v>CFO-Capex</x:v>
      </x:c>
    </x:row>
    <x:row r="37">
      <x:c r="A37" s="62" t="str">
        <x:v>CFO/归母净利润</x:v>
      </x:c>
      <x:c r="B37" s="64" t="n">
        <x:f>B34/'Historical'!F11</x:f>
        <x:v>0.7103026732482534</x:v>
      </x:c>
      <x:c r="C37" s="62" t="str">
        <x:v>现金转化</x:v>
      </x:c>
    </x:row>
  </x:sheetData>
  <x:mergeCells>
    <x:mergeCell ref="A1:G1"/>
    <x:mergeCell ref="A3:G3"/>
    <x:mergeCell ref="A24:G24"/>
    <x:mergeCell ref="E4:G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8" hidden="0" customWidth="1"/>
  </x:cols>
  <x:sheetData>
    <x:row r="1" ht="34" customHeight="1">
      <x:c r="A1" s="4" t="str">
        <x:v>Valuation &amp; DCF Assumptions</x:v>
      </x:c>
      <x:c r="B1" s="4" t="str">
        <x:v>Valuation &amp; DCF Assumptions</x:v>
      </x:c>
      <x:c r="C1" s="4" t="str">
        <x:v>Valuation &amp; DCF Assumptions</x:v>
      </x:c>
      <x:c r="D1" s="4" t="str">
        <x:v>Valuation &amp; DCF Assumptions</x:v>
      </x:c>
      <x:c r="E1" s="4" t="str">
        <x:v>Valuation &amp; DCF Assumptions</x:v>
      </x:c>
      <x:c r="F1" s="4" t="str">
        <x:v>Valuation &amp; DCF Assumptions</x:v>
      </x:c>
      <x:c r="G1" s="4" t="str">
        <x:v>Valuation &amp; DCF Assumptions</x:v>
      </x:c>
    </x:row>
    <x:row r="2">
      <x:c r="A2" s="65" t="str">
        <x:v>蓝色=可编辑假设；绿色=同工作簿链接；黑色=公式。</x:v>
      </x:c>
      <x:c r="B2"/>
      <x:c r="C2"/>
      <x:c r="D2"/>
      <x:c r="E2"/>
      <x:c r="F2"/>
      <x:c r="G2"/>
    </x:row>
    <x:row r="4" ht="22" customHeight="1">
      <x:c r="A4" s="48" t="str">
        <x:v>Market and scenario assumptions</x:v>
      </x:c>
      <x:c r="B4" s="48" t="str">
        <x:v>Market and scenario assumptions</x:v>
      </x:c>
      <x:c r="C4" s="48" t="str">
        <x:v>Market and scenario assumptions</x:v>
      </x:c>
      <x:c r="D4" s="48" t="str">
        <x:v>Market and scenario assumptions</x:v>
      </x:c>
      <x:c r="E4" s="48" t="str">
        <x:v>Market and scenario assumptions</x:v>
      </x:c>
      <x:c r="F4" s="48" t="str">
        <x:v>Market and scenario assumptions</x:v>
      </x:c>
      <x:c r="G4" s="48" t="str">
        <x:v>Market and scenario assumptions</x:v>
      </x:c>
    </x:row>
    <x:row r="5">
      <x:c r="A5" s="13" t="str">
        <x:v>项目</x:v>
      </x:c>
      <x:c r="B5" s="14" t="str">
        <x:v>Current</x:v>
      </x:c>
      <x:c r="C5" s="14" t="str">
        <x:v>Bear</x:v>
      </x:c>
      <x:c r="D5" s="14" t="str">
        <x:v>Base</x:v>
      </x:c>
      <x:c r="E5" s="14" t="str">
        <x:v>Bull</x:v>
      </x:c>
      <x:c r="F5" s="14" t="str">
        <x:v>单位</x:v>
      </x:c>
      <x:c r="G5" s="15" t="str">
        <x:v>说明</x:v>
      </x:c>
    </x:row>
    <x:row r="6">
      <x:c r="A6" t="str">
        <x:v>估值日股价</x:v>
      </x:c>
      <x:c r="B6" s="67" t="n">
        <x:v>91.5</x:v>
      </x:c>
      <x:c r="C6"/>
      <x:c r="D6"/>
      <x:c r="E6"/>
      <x:c r="F6" t="str">
        <x:v>RMB/share</x:v>
      </x:c>
      <x:c r="G6" t="str">
        <x:v>2026-08-31 收盘</x:v>
      </x:c>
    </x:row>
    <x:row r="7">
      <x:c r="A7" t="str">
        <x:v>总股本</x:v>
      </x:c>
      <x:c r="B7" s="68" t="n">
        <x:v>2073.211424</x:v>
      </x:c>
      <x:c r="C7"/>
      <x:c r="D7"/>
      <x:c r="E7"/>
      <x:c r="F7" t="str">
        <x:v>mn shares</x:v>
      </x:c>
      <x:c r="G7" t="str">
        <x:v>S1</x:v>
      </x:c>
    </x:row>
    <x:row r="8">
      <x:c r="A8" t="str">
        <x:v>经济在外股份</x:v>
      </x:c>
      <x:c r="B8" s="68" t="n">
        <x:v>2057.48441</x:v>
      </x:c>
      <x:c r="C8"/>
      <x:c r="D8"/>
      <x:c r="E8"/>
      <x:c r="F8" t="str">
        <x:v>mn shares</x:v>
      </x:c>
      <x:c r="G8" t="str">
        <x:v>剔除回购专户</x:v>
      </x:c>
    </x:row>
    <x:row r="9">
      <x:c r="A9" t="str">
        <x:v>2026E 收入</x:v>
      </x:c>
      <x:c r="B9"/>
      <x:c r="C9" s="68" t="n">
        <x:v>68000</x:v>
      </x:c>
      <x:c r="D9" s="68" t="n">
        <x:v>76000</x:v>
      </x:c>
      <x:c r="E9" s="68" t="n">
        <x:v>84000</x:v>
      </x:c>
      <x:c r="F9" t="str">
        <x:v>RMB mn</x:v>
      </x:c>
      <x:c r="G9" t="str">
        <x:v>研究假设</x:v>
      </x:c>
    </x:row>
    <x:row r="10">
      <x:c r="A10" t="str">
        <x:v>2026E 归母净利润</x:v>
      </x:c>
      <x:c r="B10"/>
      <x:c r="C10" s="68" t="n">
        <x:v>9000</x:v>
      </x:c>
      <x:c r="D10" s="68" t="n">
        <x:v>11500</x:v>
      </x:c>
      <x:c r="E10" s="68" t="n">
        <x:v>13500</x:v>
      </x:c>
      <x:c r="F10" t="str">
        <x:v>RMB mn</x:v>
      </x:c>
      <x:c r="G10" t="str">
        <x:v>研究假设</x:v>
      </x:c>
    </x:row>
    <x:row r="11">
      <x:c r="A11" t="str">
        <x:v>目标 P/E</x:v>
      </x:c>
      <x:c r="B11"/>
      <x:c r="C11" s="69" t="n">
        <x:v>14</x:v>
      </x:c>
      <x:c r="D11" s="69" t="n">
        <x:v>18</x:v>
      </x:c>
      <x:c r="E11" s="69" t="n">
        <x:v>22</x:v>
      </x:c>
      <x:c r="F11" t="str">
        <x:v>x</x:v>
      </x:c>
      <x:c r="G11" t="str">
        <x:v>研究假设</x:v>
      </x:c>
    </x:row>
    <x:row r="12">
      <x:c r="A12" t="str">
        <x:v>狭义净现金</x:v>
      </x:c>
      <x:c r="B12" s="31" t="n">
        <x:f>'Balance Sheet'!B28</x:f>
        <x:v>27743.31499999999</x:v>
      </x:c>
      <x:c r="C12"/>
      <x:c r="D12"/>
      <x:c r="E12"/>
      <x:c r="F12" t="str">
        <x:v>RMB mn</x:v>
      </x:c>
      <x:c r="G12" t="str">
        <x:v>Balance Sheet</x:v>
      </x:c>
    </x:row>
    <x:row r="14" ht="22" customHeight="1">
      <x:c r="A14" s="48" t="str">
        <x:v>Base DCF assumptions</x:v>
      </x:c>
      <x:c r="B14" s="48" t="str">
        <x:v>Base DCF assumptions</x:v>
      </x:c>
      <x:c r="C14" s="48" t="str">
        <x:v>Base DCF assumptions</x:v>
      </x:c>
      <x:c r="D14" s="48" t="str">
        <x:v>Base DCF assumptions</x:v>
      </x:c>
      <x:c r="E14" s="48" t="str">
        <x:v>Base DCF assumptions</x:v>
      </x:c>
      <x:c r="F14" s="48" t="str">
        <x:v>Base DCF assumptions</x:v>
      </x:c>
      <x:c r="G14" s="48" t="str">
        <x:v>Base DCF assumptions</x:v>
      </x:c>
    </x:row>
    <x:row r="15">
      <x:c r="A15" s="13" t="str">
        <x:v>项目</x:v>
      </x:c>
      <x:c r="B15" s="14" t="str">
        <x:v>2025A/Opening</x:v>
      </x:c>
      <x:c r="C15" s="14" t="str">
        <x:v>2026E</x:v>
      </x:c>
      <x:c r="D15" s="14" t="str">
        <x:v>2027E</x:v>
      </x:c>
      <x:c r="E15" s="14" t="str">
        <x:v>2028E</x:v>
      </x:c>
      <x:c r="F15" s="14" t="str">
        <x:v>2029E</x:v>
      </x:c>
      <x:c r="G15" s="15" t="str">
        <x:v>2030E</x:v>
      </x:c>
    </x:row>
    <x:row r="16">
      <x:c r="A16" t="str">
        <x:v>收入</x:v>
      </x:c>
      <x:c r="B16" s="31" t="n">
        <x:v>89184.357</x:v>
      </x:c>
      <x:c r="C16" s="32" t="n">
        <x:f>D9</x:f>
        <x:v>76000</x:v>
      </x:c>
      <x:c r="D16" s="32" t="n">
        <x:f>C16*(1+D17)</x:f>
        <x:v>85120.00000000001</x:v>
      </x:c>
      <x:c r="E16" s="32" t="n">
        <x:f>D16*(1+E17)</x:f>
        <x:v>93632.00000000003</x:v>
      </x:c>
      <x:c r="F16" s="32" t="n">
        <x:f>E16*(1+F17)</x:f>
        <x:v>101122.56000000004</x:v>
      </x:c>
      <x:c r="G16" s="32" t="n">
        <x:f>F16*(1+G17)</x:f>
        <x:v>107189.91360000004</x:v>
      </x:c>
    </x:row>
    <x:row r="17">
      <x:c r="A17" t="str">
        <x:v>收入增速</x:v>
      </x:c>
      <x:c r="B17" s="34"/>
      <x:c r="C17" s="70"/>
      <x:c r="D17" s="70" t="n">
        <x:v>0.12</x:v>
      </x:c>
      <x:c r="E17" s="70" t="n">
        <x:v>0.1</x:v>
      </x:c>
      <x:c r="F17" s="70" t="n">
        <x:v>0.08</x:v>
      </x:c>
      <x:c r="G17" s="70" t="n">
        <x:v>0.06</x:v>
      </x:c>
    </x:row>
    <x:row r="18">
      <x:c r="A18" t="str">
        <x:v>EBIT margin</x:v>
      </x:c>
      <x:c r="B18" s="34"/>
      <x:c r="C18" s="70" t="n">
        <x:v>0.19</x:v>
      </x:c>
      <x:c r="D18" s="70" t="n">
        <x:v>0.195</x:v>
      </x:c>
      <x:c r="E18" s="70" t="n">
        <x:v>0.2</x:v>
      </x:c>
      <x:c r="F18" s="70" t="n">
        <x:v>0.205</x:v>
      </x:c>
      <x:c r="G18" s="70" t="n">
        <x:v>0.205</x:v>
      </x:c>
    </x:row>
    <x:row r="19">
      <x:c r="A19" t="str">
        <x:v>现金税率</x:v>
      </x:c>
      <x:c r="B19" s="34"/>
      <x:c r="C19" s="70" t="n">
        <x:v>0.17</x:v>
      </x:c>
      <x:c r="D19" s="70" t="n">
        <x:v>0.17</x:v>
      </x:c>
      <x:c r="E19" s="70" t="n">
        <x:v>0.17</x:v>
      </x:c>
      <x:c r="F19" s="70" t="n">
        <x:v>0.17</x:v>
      </x:c>
      <x:c r="G19" s="70" t="n">
        <x:v>0.17</x:v>
      </x:c>
    </x:row>
    <x:row r="20">
      <x:c r="A20" t="str">
        <x:v>D&amp;A/收入</x:v>
      </x:c>
      <x:c r="B20" s="34"/>
      <x:c r="C20" s="70" t="n">
        <x:v>0.025</x:v>
      </x:c>
      <x:c r="D20" s="70" t="n">
        <x:v>0.025</x:v>
      </x:c>
      <x:c r="E20" s="70" t="n">
        <x:v>0.025</x:v>
      </x:c>
      <x:c r="F20" s="70" t="n">
        <x:v>0.025</x:v>
      </x:c>
      <x:c r="G20" s="70" t="n">
        <x:v>0.025</x:v>
      </x:c>
    </x:row>
    <x:row r="21">
      <x:c r="A21" t="str">
        <x:v>Capex/收入</x:v>
      </x:c>
      <x:c r="B21" s="34"/>
      <x:c r="C21" s="70" t="n">
        <x:v>0.03</x:v>
      </x:c>
      <x:c r="D21" s="70" t="n">
        <x:v>0.03</x:v>
      </x:c>
      <x:c r="E21" s="70" t="n">
        <x:v>0.03</x:v>
      </x:c>
      <x:c r="F21" s="70" t="n">
        <x:v>0.03</x:v>
      </x:c>
      <x:c r="G21" s="70" t="n">
        <x:v>0.03</x:v>
      </x:c>
    </x:row>
    <x:row r="22">
      <x:c r="A22" t="str">
        <x:v>NWC/收入</x:v>
      </x:c>
      <x:c r="B22" s="34" t="n">
        <x:v>0.0751</x:v>
      </x:c>
      <x:c r="C22" s="70" t="n">
        <x:v>0.14</x:v>
      </x:c>
      <x:c r="D22" s="70" t="n">
        <x:v>0.14</x:v>
      </x:c>
      <x:c r="E22" s="70" t="n">
        <x:v>0.14</x:v>
      </x:c>
      <x:c r="F22" s="70" t="n">
        <x:v>0.14</x:v>
      </x:c>
      <x:c r="G22" s="70" t="n">
        <x:v>0.14</x:v>
      </x:c>
    </x:row>
    <x:row r="23">
      <x:c r="A23" t="str">
        <x:v>WACC</x:v>
      </x:c>
      <x:c r="B23" s="34"/>
      <x:c r="C23" s="70" t="n">
        <x:v>0.105</x:v>
      </x:c>
      <x:c r="D23" s="70"/>
      <x:c r="E23" s="70"/>
      <x:c r="F23" s="70"/>
      <x:c r="G23" s="70"/>
    </x:row>
    <x:row r="24">
      <x:c r="A24" t="str">
        <x:v>永续增长</x:v>
      </x:c>
      <x:c r="B24" s="34"/>
      <x:c r="C24" s="70" t="n">
        <x:v>0.025</x:v>
      </x:c>
      <x:c r="D24" s="70"/>
      <x:c r="E24" s="70"/>
      <x:c r="F24" s="70"/>
      <x:c r="G24" s="70"/>
    </x:row>
    <x:row r="25">
      <x:c r="A25" t="str">
        <x:v>折现期</x:v>
      </x:c>
      <x:c r="B25" s="29"/>
      <x:c r="C25" s="71" t="n">
        <x:v>0.5</x:v>
      </x:c>
      <x:c r="D25" s="71" t="n">
        <x:v>1.5</x:v>
      </x:c>
      <x:c r="E25" s="71" t="n">
        <x:v>2.5</x:v>
      </x:c>
      <x:c r="F25" s="71" t="n">
        <x:v>3.5</x:v>
      </x:c>
      <x:c r="G25" s="71" t="n">
        <x:v>4.5</x:v>
      </x:c>
    </x:row>
  </x:sheetData>
  <x:mergeCells>
    <x:mergeCell ref="A1:G1"/>
    <x:mergeCell ref="A4:G4"/>
    <x:mergeCell ref="A14:G14"/>
  </x:mergeCells>
  <x:pageMargins left="0.7" right="0.7" top="0.75" bottom="0.75" header="0.3" footer="0.3"/>
  <x:legacyDrawing xmlns:r="http://schemas.openxmlformats.org/officeDocument/2006/relationships" r:id="R65f9d0383b21458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30" hidden="0" customWidth="1"/>
  </x:cols>
  <x:sheetData>
    <x:row r="1" ht="34" customHeight="1">
      <x:c r="A1" s="4" t="str">
        <x:v>P/E Scenario Valuation</x:v>
      </x:c>
      <x:c r="B1" s="4" t="str">
        <x:v>P/E Scenario Valuation</x:v>
      </x:c>
      <x:c r="C1" s="4" t="str">
        <x:v>P/E Scenario Valuation</x:v>
      </x:c>
      <x:c r="D1" s="4" t="str">
        <x:v>P/E Scenario Valuation</x:v>
      </x:c>
      <x:c r="E1" s="4" t="str">
        <x:v>P/E Scenario Valuation</x:v>
      </x:c>
      <x:c r="F1" s="4" t="str">
        <x:v>P/E Scenario Valuation</x:v>
      </x:c>
      <x:c r="G1" s="4" t="str">
        <x:v>P/E Scenario Valuation</x:v>
      </x:c>
      <x:c r="H1" s="4" t="str">
        <x:v>P/E Scenario Valuation</x:v>
      </x:c>
    </x:row>
    <x:row r="3" ht="22" customHeight="1">
      <x:c r="A3" s="48" t="str">
        <x:v>Bear / Base / Bull</x:v>
      </x:c>
      <x:c r="B3" s="48" t="str">
        <x:v>Bear / Base / Bull</x:v>
      </x:c>
      <x:c r="C3" s="48" t="str">
        <x:v>Bear / Base / Bull</x:v>
      </x:c>
      <x:c r="D3" s="48" t="str">
        <x:v>Bear / Base / Bull</x:v>
      </x:c>
      <x:c r="E3" s="48" t="str">
        <x:v>Bear / Base / Bull</x:v>
      </x:c>
      <x:c r="F3" s="48" t="str">
        <x:v>Bear / Base / Bull</x:v>
      </x:c>
      <x:c r="G3" s="48" t="str">
        <x:v>Bear / Base / Bull</x:v>
      </x:c>
      <x:c r="H3" s="48" t="str">
        <x:v>Bear / Base / Bull</x:v>
      </x:c>
    </x:row>
    <x:row r="4">
      <x:c r="A4" s="13" t="str">
        <x:v>项目</x:v>
      </x:c>
      <x:c r="B4" s="14" t="str">
        <x:v>Bear</x:v>
      </x:c>
      <x:c r="C4" s="14" t="str">
        <x:v>Base</x:v>
      </x:c>
      <x:c r="D4" s="14" t="str">
        <x:v>Bull</x:v>
      </x:c>
      <x:c r="E4" s="14" t="str">
        <x:v>单位</x:v>
      </x:c>
      <x:c r="F4" s="14" t="str">
        <x:v>Current</x:v>
      </x:c>
      <x:c r="G4" s="14" t="str">
        <x:v>公式</x:v>
      </x:c>
      <x:c r="H4" s="15" t="str">
        <x:v>备注</x:v>
      </x:c>
    </x:row>
    <x:row r="5">
      <x:c r="A5" t="str">
        <x:v>2026E 收入</x:v>
      </x:c>
      <x:c r="B5" s="31" t="n">
        <x:f>'Assumptions'!C9</x:f>
        <x:v>68000</x:v>
      </x:c>
      <x:c r="C5" s="31" t="n">
        <x:f>'Assumptions'!D9</x:f>
        <x:v>76000</x:v>
      </x:c>
      <x:c r="D5" s="31" t="n">
        <x:f>'Assumptions'!E9</x:f>
        <x:v>84000</x:v>
      </x:c>
      <x:c r="E5" t="str">
        <x:v>RMB mn</x:v>
      </x:c>
      <x:c r="G5" t="str">
        <x:v>输入</x:v>
      </x:c>
      <x:c r="H5" t="str">
        <x:v>研究假设</x:v>
      </x:c>
    </x:row>
    <x:row r="6">
      <x:c r="A6" t="str">
        <x:v>2026E 归母净利润</x:v>
      </x:c>
      <x:c r="B6" s="31" t="n">
        <x:f>'Assumptions'!C10</x:f>
        <x:v>9000</x:v>
      </x:c>
      <x:c r="C6" s="31" t="n">
        <x:f>'Assumptions'!D10</x:f>
        <x:v>11500</x:v>
      </x:c>
      <x:c r="D6" s="31" t="n">
        <x:f>'Assumptions'!E10</x:f>
        <x:v>13500</x:v>
      </x:c>
      <x:c r="E6" t="str">
        <x:v>RMB mn</x:v>
      </x:c>
      <x:c r="G6" t="str">
        <x:v>输入</x:v>
      </x:c>
      <x:c r="H6" t="str">
        <x:v>研究假设</x:v>
      </x:c>
    </x:row>
    <x:row r="7">
      <x:c r="A7" t="str">
        <x:v>净利率</x:v>
      </x:c>
      <x:c r="B7" s="35" t="n">
        <x:f>B6/B5</x:f>
        <x:v>0.1323529411764706</x:v>
      </x:c>
      <x:c r="C7" s="35" t="n">
        <x:f>C6/C5</x:f>
        <x:v>0.1513157894736842</x:v>
      </x:c>
      <x:c r="D7" s="35" t="n">
        <x:f>D6/D5</x:f>
        <x:v>0.16071428571428573</x:v>
      </x:c>
      <x:c r="E7" t="str">
        <x:v>%</x:v>
      </x:c>
      <x:c r="G7" t="str">
        <x:v>利润/收入</x:v>
      </x:c>
      <x:c r="H7" t="str"/>
    </x:row>
    <x:row r="8">
      <x:c r="A8" t="str">
        <x:v>目标 P/E</x:v>
      </x:c>
      <x:c r="B8" s="72" t="n">
        <x:f>'Assumptions'!C11</x:f>
        <x:v>14</x:v>
      </x:c>
      <x:c r="C8" s="72" t="n">
        <x:f>'Assumptions'!D11</x:f>
        <x:v>18</x:v>
      </x:c>
      <x:c r="D8" s="72" t="n">
        <x:f>'Assumptions'!E11</x:f>
        <x:v>22</x:v>
      </x:c>
      <x:c r="E8" t="str">
        <x:v>x</x:v>
      </x:c>
      <x:c r="G8" t="str">
        <x:v>输入</x:v>
      </x:c>
      <x:c r="H8" t="str">
        <x:v>研究假设</x:v>
      </x:c>
    </x:row>
    <x:row r="9">
      <x:c r="A9" s="60" t="str">
        <x:v>权益价值</x:v>
      </x:c>
      <x:c r="B9" s="61" t="n">
        <x:f>B6*B8</x:f>
        <x:v>126000</x:v>
      </x:c>
      <x:c r="C9" s="61" t="n">
        <x:f>C6*C8</x:f>
        <x:v>207000</x:v>
      </x:c>
      <x:c r="D9" s="61" t="n">
        <x:f>D6*D8</x:f>
        <x:v>297000</x:v>
      </x:c>
      <x:c r="E9" s="60" t="str">
        <x:v>RMB mn</x:v>
      </x:c>
      <x:c r="F9" s="60"/>
      <x:c r="G9" s="60" t="str">
        <x:v>利润×P/E</x:v>
      </x:c>
      <x:c r="H9" s="60" t="str"/>
    </x:row>
    <x:row r="10">
      <x:c r="A10" s="41" t="str">
        <x:v>每股价值</x:v>
      </x:c>
      <x:c r="B10" s="77" t="n">
        <x:f>B9/'Assumptions'!$B$8</x:f>
        <x:v>61.239832189056536</x:v>
      </x:c>
      <x:c r="C10" s="77" t="n">
        <x:f>C9/'Assumptions'!$B$8</x:f>
        <x:v>100.6082957391643</x:v>
      </x:c>
      <x:c r="D10" s="77" t="n">
        <x:f>D9/'Assumptions'!$B$8</x:f>
        <x:v>144.35103301706184</x:v>
      </x:c>
      <x:c r="E10" s="41" t="str">
        <x:v>RMB/share</x:v>
      </x:c>
      <x:c r="F10" s="77" t="n">
        <x:f>'Assumptions'!B6</x:f>
        <x:v>91.5</x:v>
      </x:c>
      <x:c r="G10" s="41" t="str">
        <x:v>权益/股份</x:v>
      </x:c>
      <x:c r="H10" s="41" t="str"/>
    </x:row>
    <x:row r="11">
      <x:c r="A11" s="62" t="str">
        <x:v>相对现价</x:v>
      </x:c>
      <x:c r="B11" s="64" t="n">
        <x:f>B10/'Assumptions'!$B$6-1</x:f>
        <x:v>-0.3307122165130433</x:v>
      </x:c>
      <x:c r="C11" s="64" t="n">
        <x:f>C10/'Assumptions'!$B$6-1</x:f>
        <x:v>0.09954421572857153</x:v>
      </x:c>
      <x:c r="D11" s="64" t="n">
        <x:f>D10/'Assumptions'!$B$6-1</x:f>
        <x:v>0.5776069182192551</x:v>
      </x:c>
      <x:c r="E11" s="62" t="str">
        <x:v>%</x:v>
      </x:c>
      <x:c r="F11" s="62"/>
      <x:c r="G11" s="62" t="str">
        <x:v>价值/现价-1</x:v>
      </x:c>
      <x:c r="H11" s="62" t="str"/>
    </x:row>
    <x:row r="12">
      <x:c r="A12" t="str">
        <x:v>2026E 股息支付率</x:v>
      </x:c>
      <x:c r="B12" s="70" t="n">
        <x:v>0.25</x:v>
      </x:c>
      <x:c r="C12" s="70" t="n">
        <x:v>0.3</x:v>
      </x:c>
      <x:c r="D12" s="70" t="n">
        <x:v>0.35</x:v>
      </x:c>
      <x:c r="E12" t="str">
        <x:v>%</x:v>
      </x:c>
      <x:c r="G12" t="str">
        <x:v>输入</x:v>
      </x:c>
      <x:c r="H12" t="str">
        <x:v>非公司承诺</x:v>
      </x:c>
    </x:row>
    <x:row r="13">
      <x:c r="A13" t="str">
        <x:v>隐含股息率</x:v>
      </x:c>
      <x:c r="B13" s="35" t="n">
        <x:f>B6*B12/'Assumptions'!$B$8/'Assumptions'!$B$6</x:f>
        <x:v>0.011951567562267083</x:v>
      </x:c>
      <x:c r="C13" s="35" t="n">
        <x:f>C6*C12/'Assumptions'!$B$8/'Assumptions'!$B$6</x:f>
        <x:v>0.018325736928809528</x:v>
      </x:c>
      <x:c r="D13" s="35" t="n">
        <x:f>D6*D12/'Assumptions'!$B$8/'Assumptions'!$B$6</x:f>
        <x:v>0.025098291880760876</x:v>
      </x:c>
      <x:c r="E13" t="str">
        <x:v>%</x:v>
      </x:c>
      <x:c r="G13" t="str">
        <x:v>股息/现价</x:v>
      </x:c>
      <x:c r="H13" t="str"/>
    </x:row>
    <x:row r="15" ht="22" customHeight="1">
      <x:c r="A15" s="48" t="str">
        <x:v>Current market cross-checks</x:v>
      </x:c>
      <x:c r="B15" s="48" t="str">
        <x:v>Current market cross-checks</x:v>
      </x:c>
      <x:c r="C15" s="48" t="str">
        <x:v>Current market cross-checks</x:v>
      </x:c>
      <x:c r="D15" s="48" t="str">
        <x:v>Current market cross-checks</x:v>
      </x:c>
      <x:c r="E15" s="48" t="str">
        <x:v>Current market cross-checks</x:v>
      </x:c>
      <x:c r="F15" s="48" t="str">
        <x:v>Current market cross-checks</x:v>
      </x:c>
      <x:c r="G15" s="48" t="str">
        <x:v>Current market cross-checks</x:v>
      </x:c>
      <x:c r="H15" s="48" t="str">
        <x:v>Current market cross-checks</x:v>
      </x:c>
    </x:row>
    <x:row r="16">
      <x:c r="A16" s="13" t="str">
        <x:v>指标</x:v>
      </x:c>
      <x:c r="B16" s="14" t="str">
        <x:v>数值</x:v>
      </x:c>
      <x:c r="C16" s="15" t="str">
        <x:v>公式/说明</x:v>
      </x:c>
    </x:row>
    <x:row r="17">
      <x:c r="A17" t="str">
        <x:v>经济市值</x:v>
      </x:c>
      <x:c r="B17" s="32" t="n">
        <x:f>'Assumptions'!B6*'Assumptions'!B8</x:f>
        <x:v>188259.823515</x:v>
      </x:c>
      <x:c r="C17" t="str">
        <x:v>股价×经济在外股份</x:v>
      </x:c>
    </x:row>
    <x:row r="18">
      <x:c r="A18" t="str">
        <x:v>TTM P/E</x:v>
      </x:c>
      <x:c r="B18" s="57" t="n">
        <x:f>B17/'Historical'!G11</x:f>
        <x:v>17.137570094466096</x:v>
      </x:c>
      <x:c r="C18" t="str">
        <x:v>市值/TTM 归母净利润</x:v>
      </x:c>
    </x:row>
    <x:row r="19">
      <x:c r="A19" t="str">
        <x:v>TTM 核心 P/E</x:v>
      </x:c>
      <x:c r="B19" s="57" t="n">
        <x:f>B17/'Historical'!G12</x:f>
        <x:v>19.591425211958793</x:v>
      </x:c>
      <x:c r="C19" t="str">
        <x:v>市值/TTM 扣非归母净利润</x:v>
      </x:c>
    </x:row>
    <x:row r="20">
      <x:c r="A20" t="str">
        <x:v>TTM P/S</x:v>
      </x:c>
      <x:c r="B20" s="57" t="n">
        <x:f>B17/'Historical'!G5</x:f>
        <x:v>2.4588717335789476</x:v>
      </x:c>
      <x:c r="C20" t="str">
        <x:v>市值/TTM 收入</x:v>
      </x:c>
    </x:row>
    <x:row r="21">
      <x:c r="A21" t="str">
        <x:v>P/B</x:v>
      </x:c>
      <x:c r="B21" s="57" t="n">
        <x:f>B17/'Historical'!F16</x:f>
        <x:v>3.754677890377224</x:v>
      </x:c>
      <x:c r="C21" t="str">
        <x:v>市值/2026H1 归母净资产</x:v>
      </x:c>
    </x:row>
    <x:row r="22">
      <x:c r="A22" t="str">
        <x:v>净现金/股</x:v>
      </x:c>
      <x:c r="B22" s="73" t="n">
        <x:f>'Assumptions'!B12/'Assumptions'!B8</x:f>
        <x:v>13.48409488069948</x:v>
      </x:c>
      <x:c r="C22" t="str">
        <x:v>狭义净现金/经济股份</x:v>
      </x:c>
    </x:row>
    <x:row r="23">
      <x:c r="A23" t="str">
        <x:v>企业价值</x:v>
      </x:c>
      <x:c r="B23" s="32" t="n">
        <x:f>B17-'Assumptions'!B12</x:f>
        <x:v>160516.508515</x:v>
      </x:c>
      <x:c r="C23" t="str">
        <x:v>市值-净现金</x:v>
      </x:c>
    </x:row>
    <x:row r="24">
      <x:c r="A24" t="str">
        <x:v>EV/TTM 扣非利润</x:v>
      </x:c>
      <x:c r="B24" s="57" t="n">
        <x:f>B23/'Historical'!G12</x:f>
        <x:v>16.70429257363988</x:v>
      </x:c>
      <x:c r="C24" t="str">
        <x:v>简化交叉检查</x:v>
      </x:c>
    </x:row>
  </x:sheetData>
  <x:mergeCells>
    <x:mergeCell ref="A1:H1"/>
    <x:mergeCell ref="A3:H3"/>
    <x:mergeCell ref="A15:H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Simplified DCF Cross-check (RMB mn)</x:v>
      </x:c>
      <x:c r="B1" s="4" t="str">
        <x:v>Simplified DCF Cross-check (RMB mn)</x:v>
      </x:c>
      <x:c r="C1" s="4" t="str">
        <x:v>Simplified DCF Cross-check (RMB mn)</x:v>
      </x:c>
      <x:c r="D1" s="4" t="str">
        <x:v>Simplified DCF Cross-check (RMB mn)</x:v>
      </x:c>
      <x:c r="E1" s="4" t="str">
        <x:v>Simplified DCF Cross-check (RMB mn)</x:v>
      </x:c>
      <x:c r="F1" s="4" t="str">
        <x:v>Simplified DCF Cross-check (RMB mn)</x:v>
      </x:c>
      <x:c r="G1" s="4" t="str">
        <x:v>Simplified DCF Cross-check (RMB mn)</x:v>
      </x:c>
      <x:c r="H1" s="4" t="str">
        <x:v>Simplified DCF Cross-check (RMB mn)</x:v>
      </x:c>
    </x:row>
    <x:row r="2">
      <x:c r="A2" s="28" t="str">
        <x:v>使用 Base 情景；半年度折现；仅作估值交叉检查，不替代季度经营验证。</x:v>
      </x:c>
      <x:c r="B2"/>
      <x:c r="C2"/>
      <x:c r="D2"/>
      <x:c r="E2"/>
      <x:c r="F2"/>
      <x:c r="G2"/>
      <x:c r="H2"/>
    </x:row>
    <x:row r="4">
      <x:c r="A4" s="13" t="str">
        <x:v>项目</x:v>
      </x:c>
      <x:c r="B4" s="14" t="str">
        <x:v>2025A</x:v>
      </x:c>
      <x:c r="C4" s="14" t="str">
        <x:v>2026E</x:v>
      </x:c>
      <x:c r="D4" s="14" t="str">
        <x:v>2027E</x:v>
      </x:c>
      <x:c r="E4" s="14" t="str">
        <x:v>2028E</x:v>
      </x:c>
      <x:c r="F4" s="14" t="str">
        <x:v>2029E</x:v>
      </x:c>
      <x:c r="G4" s="15" t="str">
        <x:v>2030E</x:v>
      </x:c>
    </x:row>
    <x:row r="5">
      <x:c r="A5" t="str">
        <x:v>收入</x:v>
      </x:c>
      <x:c r="B5" s="31" t="n">
        <x:f>'Assumptions'!B16</x:f>
        <x:v>89184.357</x:v>
      </x:c>
      <x:c r="C5" s="31" t="n">
        <x:f>'Assumptions'!C16</x:f>
        <x:v>76000</x:v>
      </x:c>
      <x:c r="D5" s="31" t="n">
        <x:f>'Assumptions'!D16</x:f>
        <x:v>85120.00000000001</x:v>
      </x:c>
      <x:c r="E5" s="31" t="n">
        <x:f>'Assumptions'!E16</x:f>
        <x:v>93632.00000000003</x:v>
      </x:c>
      <x:c r="F5" s="31" t="n">
        <x:f>'Assumptions'!F16</x:f>
        <x:v>101122.56000000004</x:v>
      </x:c>
      <x:c r="G5" s="31" t="n">
        <x:f>'Assumptions'!G16</x:f>
        <x:v>107189.91360000004</x:v>
      </x:c>
    </x:row>
    <x:row r="6">
      <x:c r="A6" t="str">
        <x:v>收入增速</x:v>
      </x:c>
      <x:c r="B6" s="34"/>
      <x:c r="C6" s="34" t="n">
        <x:f>C5/B5-1</x:f>
        <x:v>-0.14783261822474092</x:v>
      </x:c>
      <x:c r="D6" s="34" t="n">
        <x:f>'Assumptions'!D17</x:f>
        <x:v>0.12</x:v>
      </x:c>
      <x:c r="E6" s="34" t="n">
        <x:f>'Assumptions'!E17</x:f>
        <x:v>0.1</x:v>
      </x:c>
      <x:c r="F6" s="34" t="n">
        <x:f>'Assumptions'!F17</x:f>
        <x:v>0.08</x:v>
      </x:c>
      <x:c r="G6" s="34" t="n">
        <x:f>'Assumptions'!G17</x:f>
        <x:v>0.06</x:v>
      </x:c>
    </x:row>
    <x:row r="7">
      <x:c r="A7" t="str">
        <x:v>EBIT margin</x:v>
      </x:c>
      <x:c r="B7" s="34"/>
      <x:c r="C7" s="34" t="n">
        <x:f>'Assumptions'!C18</x:f>
        <x:v>0.19</x:v>
      </x:c>
      <x:c r="D7" s="34" t="n">
        <x:f>'Assumptions'!D18</x:f>
        <x:v>0.195</x:v>
      </x:c>
      <x:c r="E7" s="34" t="n">
        <x:f>'Assumptions'!E18</x:f>
        <x:v>0.2</x:v>
      </x:c>
      <x:c r="F7" s="34" t="n">
        <x:f>'Assumptions'!F18</x:f>
        <x:v>0.205</x:v>
      </x:c>
      <x:c r="G7" s="34" t="n">
        <x:f>'Assumptions'!G18</x:f>
        <x:v>0.205</x:v>
      </x:c>
    </x:row>
    <x:row r="8">
      <x:c r="A8" t="str">
        <x:v>EBIT</x:v>
      </x:c>
      <x:c r="B8" s="31"/>
      <x:c r="C8" s="32" t="n">
        <x:f>C5*C7</x:f>
        <x:v>14440</x:v>
      </x:c>
      <x:c r="D8" s="32" t="n">
        <x:f>D5*D7</x:f>
        <x:v>16598.400000000005</x:v>
      </x:c>
      <x:c r="E8" s="32" t="n">
        <x:f>E5*E7</x:f>
        <x:v>18726.400000000005</x:v>
      </x:c>
      <x:c r="F8" s="32" t="n">
        <x:f>F5*F7</x:f>
        <x:v>20730.12480000001</x:v>
      </x:c>
      <x:c r="G8" s="32" t="n">
        <x:f>G5*G7</x:f>
        <x:v>21973.932288000007</x:v>
      </x:c>
    </x:row>
    <x:row r="9">
      <x:c r="A9" t="str">
        <x:v>现金税率</x:v>
      </x:c>
      <x:c r="B9" s="34"/>
      <x:c r="C9" s="35" t="n">
        <x:f>'Assumptions'!C19</x:f>
        <x:v>0.17</x:v>
      </x:c>
      <x:c r="D9" s="35" t="n">
        <x:f>'Assumptions'!D19</x:f>
        <x:v>0.17</x:v>
      </x:c>
      <x:c r="E9" s="35" t="n">
        <x:f>'Assumptions'!E19</x:f>
        <x:v>0.17</x:v>
      </x:c>
      <x:c r="F9" s="35" t="n">
        <x:f>'Assumptions'!F19</x:f>
        <x:v>0.17</x:v>
      </x:c>
      <x:c r="G9" s="35" t="n">
        <x:f>'Assumptions'!G19</x:f>
        <x:v>0.17</x:v>
      </x:c>
    </x:row>
    <x:row r="10">
      <x:c r="A10" t="str">
        <x:v>NOPAT</x:v>
      </x:c>
      <x:c r="B10" s="31"/>
      <x:c r="C10" s="32" t="n">
        <x:f>C8*(1-C9)</x:f>
        <x:v>11985.199999999999</x:v>
      </x:c>
      <x:c r="D10" s="32" t="n">
        <x:f>D8*(1-D9)</x:f>
        <x:v>13776.672000000004</x:v>
      </x:c>
      <x:c r="E10" s="32" t="n">
        <x:f>E8*(1-E9)</x:f>
        <x:v>15542.912000000004</x:v>
      </x:c>
      <x:c r="F10" s="32" t="n">
        <x:f>F8*(1-F9)</x:f>
        <x:v>17206.003584000006</x:v>
      </x:c>
      <x:c r="G10" s="32" t="n">
        <x:f>G8*(1-G9)</x:f>
        <x:v>18238.363799040006</x:v>
      </x:c>
    </x:row>
    <x:row r="11">
      <x:c r="A11" t="str">
        <x:v>D&amp;A</x:v>
      </x:c>
      <x:c r="B11" s="31"/>
      <x:c r="C11" s="32" t="n">
        <x:f>C5*'Assumptions'!C20</x:f>
        <x:v>1900</x:v>
      </x:c>
      <x:c r="D11" s="32" t="n">
        <x:f>D5*'Assumptions'!D20</x:f>
        <x:v>2128.0000000000005</x:v>
      </x:c>
      <x:c r="E11" s="32" t="n">
        <x:f>E5*'Assumptions'!E20</x:f>
        <x:v>2340.8000000000006</x:v>
      </x:c>
      <x:c r="F11" s="32" t="n">
        <x:f>F5*'Assumptions'!F20</x:f>
        <x:v>2528.064000000001</x:v>
      </x:c>
      <x:c r="G11" s="32" t="n">
        <x:f>G5*'Assumptions'!G20</x:f>
        <x:v>2679.7478400000014</x:v>
      </x:c>
    </x:row>
    <x:row r="12">
      <x:c r="A12" t="str">
        <x:v>Capex</x:v>
      </x:c>
      <x:c r="B12" s="31"/>
      <x:c r="C12" s="32" t="n">
        <x:f>C5*'Assumptions'!C21</x:f>
        <x:v>2280</x:v>
      </x:c>
      <x:c r="D12" s="32" t="n">
        <x:f>D5*'Assumptions'!D21</x:f>
        <x:v>2553.6000000000004</x:v>
      </x:c>
      <x:c r="E12" s="32" t="n">
        <x:f>E5*'Assumptions'!E21</x:f>
        <x:v>2808.960000000001</x:v>
      </x:c>
      <x:c r="F12" s="32" t="n">
        <x:f>F5*'Assumptions'!F21</x:f>
        <x:v>3033.676800000001</x:v>
      </x:c>
      <x:c r="G12" s="32" t="n">
        <x:f>G5*'Assumptions'!G21</x:f>
        <x:v>3215.6974080000014</x:v>
      </x:c>
    </x:row>
    <x:row r="13">
      <x:c r="A13" t="str">
        <x:v>NWC</x:v>
      </x:c>
      <x:c r="B13" s="31" t="n">
        <x:f>B5*'Assumptions'!B22</x:f>
        <x:v>6697.7452107</x:v>
      </x:c>
      <x:c r="C13" s="32" t="n">
        <x:f>C5*'Assumptions'!C22</x:f>
        <x:v>10640.000000000002</x:v>
      </x:c>
      <x:c r="D13" s="32" t="n">
        <x:f>D5*'Assumptions'!D22</x:f>
        <x:v>11916.800000000003</x:v>
      </x:c>
      <x:c r="E13" s="32" t="n">
        <x:f>E5*'Assumptions'!E22</x:f>
        <x:v>13108.480000000005</x:v>
      </x:c>
      <x:c r="F13" s="32" t="n">
        <x:f>F5*'Assumptions'!F22</x:f>
        <x:v>14157.158400000008</x:v>
      </x:c>
      <x:c r="G13" s="32" t="n">
        <x:f>G5*'Assumptions'!G22</x:f>
        <x:v>15006.587904000007</x:v>
      </x:c>
    </x:row>
    <x:row r="14">
      <x:c r="A14" t="str">
        <x:v>NWC 增加</x:v>
      </x:c>
      <x:c r="B14" s="31"/>
      <x:c r="C14" s="32" t="n">
        <x:f>C13-B13</x:f>
        <x:v>3942.254789300002</x:v>
      </x:c>
      <x:c r="D14" s="32" t="n">
        <x:f>D13-C13</x:f>
        <x:v>1276.800000000001</x:v>
      </x:c>
      <x:c r="E14" s="32" t="n">
        <x:f>E13-D13</x:f>
        <x:v>1191.680000000002</x:v>
      </x:c>
      <x:c r="F14" s="32" t="n">
        <x:f>F13-E13</x:f>
        <x:v>1048.6784000000025</x:v>
      </x:c>
      <x:c r="G14" s="32" t="n">
        <x:f>G13-F13</x:f>
        <x:v>849.4295039999997</x:v>
      </x:c>
    </x:row>
    <x:row r="15">
      <x:c r="A15" s="43" t="str">
        <x:v>UFCF</x:v>
      </x:c>
      <x:c r="B15" s="44"/>
      <x:c r="C15" s="44" t="n">
        <x:f>C10+C11-C12-C14</x:f>
        <x:v>7662.945210699997</x:v>
      </x:c>
      <x:c r="D15" s="44" t="n">
        <x:f>D10+D11-D12-D14</x:f>
        <x:v>12074.272000000003</x:v>
      </x:c>
      <x:c r="E15" s="44" t="n">
        <x:f>E10+E11-E12-E14</x:f>
        <x:v>13883.072</x:v>
      </x:c>
      <x:c r="F15" s="44" t="n">
        <x:f>F10+F11-F12-F14</x:f>
        <x:v>15651.712384000004</x:v>
      </x:c>
      <x:c r="G15" s="44" t="n">
        <x:f>G10+G11-G12-G14</x:f>
        <x:v>16852.984727040006</x:v>
      </x:c>
    </x:row>
    <x:row r="16">
      <x:c r="A16" t="str">
        <x:v>折现因子</x:v>
      </x:c>
      <x:c r="B16" s="34"/>
      <x:c r="C16" s="35" t="n">
        <x:f>1/(1+'Assumptions'!$C$23)^'Assumptions'!C25</x:f>
        <x:v>0.9513029883089882</x:v>
      </x:c>
      <x:c r="D16" s="35" t="n">
        <x:f>1/(1+'Assumptions'!$C$23)^'Assumptions'!D25</x:f>
        <x:v>0.8609076817275911</x:v>
      </x:c>
      <x:c r="E16" s="35" t="n">
        <x:f>1/(1+'Assumptions'!$C$23)^'Assumptions'!E25</x:f>
        <x:v>0.7791019744141096</x:v>
      </x:c>
      <x:c r="F16" s="35" t="n">
        <x:f>1/(1+'Assumptions'!$C$23)^'Assumptions'!F25</x:f>
        <x:v>0.7050696601032667</x:v>
      </x:c>
      <x:c r="G16" s="35" t="n">
        <x:f>1/(1+'Assumptions'!$C$23)^'Assumptions'!G25</x:f>
        <x:v>0.6380720905911915</x:v>
      </x:c>
    </x:row>
    <x:row r="18" ht="22" customHeight="1">
      <x:c r="A18" s="48" t="str">
        <x:v>Enterprise to equity bridge</x:v>
      </x:c>
      <x:c r="B18" s="48" t="str">
        <x:v>Enterprise to equity bridge</x:v>
      </x:c>
      <x:c r="C18" s="48" t="str">
        <x:v>Enterprise to equity bridge</x:v>
      </x:c>
      <x:c r="D18" s="48" t="str">
        <x:v>Enterprise to equity bridge</x:v>
      </x:c>
      <x:c r="E18" s="48" t="str">
        <x:v>Enterprise to equity bridge</x:v>
      </x:c>
      <x:c r="F18" s="48" t="str">
        <x:v>Enterprise to equity bridge</x:v>
      </x:c>
      <x:c r="G18" s="48" t="str">
        <x:v>Enterprise to equity bridge</x:v>
      </x:c>
      <x:c r="H18" s="48" t="str">
        <x:v>Enterprise to equity bridge</x:v>
      </x:c>
    </x:row>
    <x:row r="19">
      <x:c r="A19" s="13" t="str">
        <x:v>项目</x:v>
      </x:c>
      <x:c r="B19" s="14" t="str">
        <x:v>数值</x:v>
      </x:c>
      <x:c r="C19" s="15" t="str">
        <x:v>公式/说明</x:v>
      </x:c>
      <x:c r="E19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19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19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19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0">
      <x:c r="A20" t="str">
        <x:v>PV of forecast UFCF</x:v>
      </x:c>
      <x:c r="B20" s="32" t="n">
        <x:f>SUMPRODUCT(C15:G15,C16:G16)</x:f>
        <x:v>50289.911728493375</x:v>
      </x:c>
      <x:c r="C20" t="str">
        <x:v>SUM(UFCF×折现因子)</x:v>
      </x:c>
      <x:c r="E20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0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0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0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1">
      <x:c r="A21" t="str">
        <x:v>Terminal value</x:v>
      </x:c>
      <x:c r="B21" s="32" t="n">
        <x:f>G15*(1+'Assumptions'!$C$24)/('Assumptions'!$C$23-'Assumptions'!$C$24)</x:f>
        <x:v>215928.86681520008</x:v>
      </x:c>
      <x:c r="C21" t="str">
        <x:v>2030 UFCF×(1+g)/(WACC-g)</x:v>
      </x:c>
      <x:c r="E21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1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1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1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2">
      <x:c r="A22" t="str">
        <x:v>PV of terminal value</x:v>
      </x:c>
      <x:c r="B22" s="32" t="n">
        <x:f>B21*G16</x:f>
        <x:v>137778.18346776167</x:v>
      </x:c>
      <x:c r="C22" t="str">
        <x:v>TV×2030 折现因子</x:v>
      </x:c>
      <x:c r="E22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2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2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2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3">
      <x:c r="A23" s="60" t="str">
        <x:v>Enterprise value</x:v>
      </x:c>
      <x:c r="B23" s="61" t="n">
        <x:f>SUM(B20,B22)</x:f>
        <x:v>188068.09519625505</x:v>
      </x:c>
      <x:c r="C23" s="60" t="str">
        <x:v>Forecast PV+TV PV</x:v>
      </x:c>
      <x:c r="E23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3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3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3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4">
      <x:c r="A24" s="41" t="str">
        <x:v>狭义净现金</x:v>
      </x:c>
      <x:c r="B24" s="42" t="n">
        <x:f>'Assumptions'!B12</x:f>
        <x:v>27743.31499999999</x:v>
      </x:c>
      <x:c r="C24" s="41" t="str">
        <x:v>Balance Sheet</x:v>
      </x:c>
      <x:c r="E24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4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4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4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5">
      <x:c r="A25" s="41" t="str">
        <x:v>Equity value</x:v>
      </x:c>
      <x:c r="B25" s="42" t="n">
        <x:f>SUM(B23:B24)</x:f>
        <x:v>215811.41019625505</x:v>
      </x:c>
      <x:c r="C25" s="41" t="str">
        <x:v>EV+净现金</x:v>
      </x:c>
      <x:c r="E25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5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5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5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6">
      <x:c r="A26" s="41" t="str">
        <x:v>每股价值</x:v>
      </x:c>
      <x:c r="B26" s="77" t="n">
        <x:f>B25/'Assumptions'!B8</x:f>
        <x:v>104.89090908652622</x:v>
      </x:c>
      <x:c r="C26" s="41" t="str">
        <x:v>权益/经济股份</x:v>
      </x:c>
      <x:c r="E26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6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6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6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  <x:row r="27">
      <x:c r="A27" s="62" t="str">
        <x:v>相对现价</x:v>
      </x:c>
      <x:c r="B27" s="64" t="n">
        <x:f>B26/'Assumptions'!B6-1</x:f>
        <x:v>0.14634873318607888</x:v>
      </x:c>
      <x:c r="C27" s="62" t="str">
        <x:v>每股价值/现价-1</x:v>
      </x:c>
      <x:c r="E27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F27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G27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  <x:c r="H27" s="56" t="str">
        <x:v>DCF 限制：2026E-2030E 收入、EBIT margin、D&amp;A、Capex、NWC、WACC 和永续增长均为研究假设。公司储能和电站业务项目节奏强，季度现金流波动大；DCF 对 WACC、终值和 NWC 非常敏感，只用于检查 P/E 估值是否大幅失真。</x:v>
      </x:c>
    </x:row>
  </x:sheetData>
  <x:mergeCells>
    <x:mergeCell ref="A1:H1"/>
    <x:mergeCell ref="A18:H18"/>
    <x:mergeCell ref="E19:H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  <x:col min="5" max="5" width="12" hidden="0" customWidth="1"/>
    <x:col min="6" max="6" width="14" hidden="0" customWidth="1"/>
    <x:col min="7" max="7" width="30" hidden="0" customWidth="1"/>
  </x:cols>
  <x:sheetData>
    <x:row r="1" ht="34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  <x:c r="G1" s="4" t="str">
        <x:v>Model Checks</x:v>
      </x:c>
    </x:row>
    <x:row r="3">
      <x:c r="A3" s="13" t="str">
        <x:v>检查</x:v>
      </x:c>
      <x:c r="B3" s="14" t="str">
        <x:v>实际</x:v>
      </x:c>
      <x:c r="C3" s="14" t="str">
        <x:v>期望</x:v>
      </x:c>
      <x:c r="D3" s="14" t="str">
        <x:v>差异</x:v>
      </x:c>
      <x:c r="E3" s="14" t="str">
        <x:v>容差</x:v>
      </x:c>
      <x:c r="F3" s="14" t="str">
        <x:v>状态</x:v>
      </x:c>
      <x:c r="G3" s="15" t="str">
        <x:v>说明</x:v>
      </x:c>
    </x:row>
    <x:row r="4">
      <x:c r="A4" t="str">
        <x:v>2025A 分部收入</x:v>
      </x:c>
      <x:c r="B4" s="33" t="n">
        <x:f>'Segments'!B10</x:f>
        <x:v>89184.35800000001</x:v>
      </x:c>
      <x:c r="C4" s="33" t="n">
        <x:f>'Historical'!D5</x:f>
        <x:v>89184.357</x:v>
      </x:c>
      <x:c r="D4" s="33" t="n">
        <x:f>B4-C4</x:f>
        <x:v>0.0010000000038417056</x:v>
      </x:c>
      <x:c r="E4" s="33" t="n">
        <x:v>0.1</x:v>
      </x:c>
      <x:c r="F4" t="str">
        <x:f>IF(ABS(D4)&lt;=E4,"OK","CHECK")</x:f>
        <x:v>OK</x:v>
      </x:c>
      <x:c r="G4" t="str">
        <x:v>分项=总收入</x:v>
      </x:c>
    </x:row>
    <x:row r="5">
      <x:c r="A5" t="str">
        <x:v>2026H1 分部收入</x:v>
      </x:c>
      <x:c r="B5" s="33" t="n">
        <x:f>'Segments'!F10</x:f>
        <x:v>30912.264999999996</x:v>
      </x:c>
      <x:c r="C5" s="33" t="n">
        <x:f>'Historical'!F5</x:f>
        <x:v>30912.266</x:v>
      </x:c>
      <x:c r="D5" s="33" t="n">
        <x:f>B5-C5</x:f>
        <x:v>-0.0010000000038417056</x:v>
      </x:c>
      <x:c r="E5" s="33" t="n">
        <x:v>0.1</x:v>
      </x:c>
      <x:c r="F5" t="str">
        <x:f>IF(ABS(D5)&lt;=E5,"OK","CHECK")</x:f>
        <x:v>OK</x:v>
      </x:c>
      <x:c r="G5" t="str">
        <x:v>分项=总收入</x:v>
      </x:c>
    </x:row>
    <x:row r="6">
      <x:c r="A6" t="str">
        <x:v>2025A 地区收入</x:v>
      </x:c>
      <x:c r="B6" s="33" t="n">
        <x:f>'Segments'!B16</x:f>
        <x:v>89184.35800000001</x:v>
      </x:c>
      <x:c r="C6" s="33" t="n">
        <x:f>'Historical'!D5</x:f>
        <x:v>89184.357</x:v>
      </x:c>
      <x:c r="D6" s="33" t="n">
        <x:f>B6-C6</x:f>
        <x:v>0.0010000000038417056</x:v>
      </x:c>
      <x:c r="E6" s="33" t="n">
        <x:v>0.1</x:v>
      </x:c>
      <x:c r="F6" t="str">
        <x:f>IF(ABS(D6)&lt;=E6,"OK","CHECK")</x:f>
        <x:v>OK</x:v>
      </x:c>
      <x:c r="G6" t="str">
        <x:v>地区=总收入</x:v>
      </x:c>
    </x:row>
    <x:row r="7">
      <x:c r="A7" t="str">
        <x:v>2026H1 地区收入</x:v>
      </x:c>
      <x:c r="B7" s="33" t="n">
        <x:f>'Segments'!E16</x:f>
        <x:v>30912.266000000003</x:v>
      </x:c>
      <x:c r="C7" s="33" t="n">
        <x:f>'Historical'!F5</x:f>
        <x:v>30912.266</x:v>
      </x:c>
      <x:c r="D7" s="33" t="n">
        <x:f>B7-C7</x:f>
        <x:v>3.637978807091713e-12</x:v>
      </x:c>
      <x:c r="E7" s="33" t="n">
        <x:v>0.1</x:v>
      </x:c>
      <x:c r="F7" t="str">
        <x:f>IF(ABS(D7)&lt;=E7,"OK","CHECK")</x:f>
        <x:v>OK</x:v>
      </x:c>
      <x:c r="G7" t="str">
        <x:v>地区=总收入</x:v>
      </x:c>
    </x:row>
    <x:row r="8">
      <x:c r="A8" t="str">
        <x:v>TTM 收入公式</x:v>
      </x:c>
      <x:c r="B8" s="33" t="n">
        <x:f>'Historical'!G5</x:f>
        <x:v>76563.499</x:v>
      </x:c>
      <x:c r="C8" s="33" t="n">
        <x:f>'Historical'!D5-'Historical'!E5+'Historical'!F5</x:f>
        <x:v>76563.499</x:v>
      </x:c>
      <x:c r="D8" s="33" t="n">
        <x:f>B8-C8</x:f>
        <x:v>0</x:v>
      </x:c>
      <x:c r="E8" s="33" t="n">
        <x:v>0.1</x:v>
      </x:c>
      <x:c r="F8" t="str">
        <x:f>IF(ABS(D8)&lt;=E8,"OK","CHECK")</x:f>
        <x:v>OK</x:v>
      </x:c>
      <x:c r="G8" t="str">
        <x:v>2025A-H1+H1</x:v>
      </x:c>
    </x:row>
    <x:row r="9">
      <x:c r="A9" t="str">
        <x:v>Base 权益价值</x:v>
      </x:c>
      <x:c r="B9" s="33" t="n">
        <x:f>'Valuation'!C9</x:f>
        <x:v>207000</x:v>
      </x:c>
      <x:c r="C9" s="33" t="n">
        <x:f>'Valuation'!C6*'Valuation'!C8</x:f>
        <x:v>207000</x:v>
      </x:c>
      <x:c r="D9" s="33" t="n">
        <x:f>B9-C9</x:f>
        <x:v>0</x:v>
      </x:c>
      <x:c r="E9" s="33" t="n">
        <x:v>0.1</x:v>
      </x:c>
      <x:c r="F9" t="str">
        <x:f>IF(ABS(D9)&lt;=E9,"OK","CHECK")</x:f>
        <x:v>OK</x:v>
      </x:c>
      <x:c r="G9" t="str">
        <x:v>利润×P/E</x:v>
      </x:c>
    </x:row>
    <x:row r="10">
      <x:c r="A10" t="str">
        <x:v>DCF EV bridge</x:v>
      </x:c>
      <x:c r="B10" s="33" t="n">
        <x:f>'DCF'!B23</x:f>
        <x:v>188068.09519625505</x:v>
      </x:c>
      <x:c r="C10" s="33" t="n">
        <x:f>SUM('DCF'!B20,'DCF'!B22)</x:f>
        <x:v>188068.09519625505</x:v>
      </x:c>
      <x:c r="D10" s="33" t="n">
        <x:f>B10-C10</x:f>
        <x:v>0</x:v>
      </x:c>
      <x:c r="E10" s="33" t="n">
        <x:v>0.1</x:v>
      </x:c>
      <x:c r="F10" t="str">
        <x:f>IF(ABS(D10)&lt;=E10,"OK","CHECK")</x:f>
        <x:v>OK</x:v>
      </x:c>
      <x:c r="G10" t="str">
        <x:v>PV components</x:v>
      </x:c>
    </x:row>
    <x:row r="11">
      <x:c r="A11" s="43" t="str">
        <x:v>模型总状态</x:v>
      </x:c>
      <x:c r="B11" s="43"/>
      <x:c r="C11" s="43"/>
      <x:c r="D11" s="43"/>
      <x:c r="E11" s="43"/>
      <x:c r="F11" s="43" t="str">
        <x:f>IF(COUNTIF(F4:F10,"CHECK")=0,"OK","CHECK")</x:f>
        <x:v>OK</x:v>
      </x:c>
      <x:c r="G11" s="43" t="str">
        <x:v>全部检查通过</x:v>
      </x:c>
    </x:row>
  </x:sheetData>
  <x:mergeCells>
    <x:mergeCell ref="A1:G1"/>
  </x:mergeCells>
  <x:conditionalFormatting sqref="F4:F11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14" hidden="0" customWidth="1"/>
    <x:col min="5" max="5" width="16" hidden="0" customWidth="1"/>
    <x:col min="6" max="6" width="78" hidden="0" customWidth="1"/>
    <x:col min="7" max="7" width="32" hidden="0" customWidth="1"/>
  </x:cols>
  <x:sheetData>
    <x:row r="1" ht="34" customHeight="1">
      <x:c r="A1" s="4" t="str">
        <x:v>阳光电源财务模型 - Sources / Audit</x:v>
      </x:c>
      <x:c r="B1" s="4" t="str">
        <x:v>阳光电源财务模型 - Sources / Audit</x:v>
      </x:c>
      <x:c r="C1" s="4" t="str">
        <x:v>阳光电源财务模型 - Sources / Audit</x:v>
      </x:c>
      <x:c r="D1" s="4" t="str">
        <x:v>阳光电源财务模型 - Sources / Audit</x:v>
      </x:c>
      <x:c r="E1" s="4" t="str">
        <x:v>阳光电源财务模型 - Sources / Audit</x:v>
      </x:c>
      <x:c r="F1" s="4" t="str">
        <x:v>阳光电源财务模型 - Sources / Audit</x:v>
      </x:c>
      <x:c r="G1" s="4" t="str">
        <x:v>阳光电源财务模型 - Sources / Audit</x:v>
      </x:c>
    </x:row>
    <x:row r="3">
      <x:c r="A3" s="17" t="str">
        <x:v>ID</x:v>
      </x:c>
      <x:c r="B3" s="18" t="str">
        <x:v>项目</x:v>
      </x:c>
      <x:c r="C3" s="18" t="str">
        <x:v>用途</x:v>
      </x:c>
      <x:c r="D3" s="18" t="str">
        <x:v>单位</x:v>
      </x:c>
      <x:c r="E3" s="18" t="str">
        <x:v>期间/日期</x:v>
      </x:c>
      <x:c r="F3" s="18" t="str">
        <x:v>来源 URL</x:v>
      </x:c>
      <x:c r="G3" s="19" t="str">
        <x:v>备注</x:v>
      </x:c>
    </x:row>
    <x:row r="4">
      <x:c r="A4" s="22" t="str">
        <x:v>S1</x:v>
      </x:c>
      <x:c r="B4" s="22" t="str">
        <x:v>2026H1 半年报</x:v>
      </x:c>
      <x:c r="C4" s="22" t="str">
        <x:v>财务、分部、地区、资产负债表、现金流</x:v>
      </x:c>
      <x:c r="D4" s="22" t="str">
        <x:v>RMB mn</x:v>
      </x:c>
      <x:c r="E4" s="22" t="str">
        <x:v>2026-06-30</x:v>
      </x:c>
      <x:c r="F4" s="23" t="str">
        <x:v>https://static.cninfo.com.cn/finalpage/2026-08-29/1225526948.PDF</x:v>
      </x:c>
      <x:c r="G4" s="22" t="str">
        <x:v>未经审计</x:v>
      </x:c>
    </x:row>
    <x:row r="5">
      <x:c r="A5" s="24" t="str">
        <x:v>S2</x:v>
      </x:c>
      <x:c r="B5" s="24" t="str">
        <x:v>2025 年报</x:v>
      </x:c>
      <x:c r="C5" s="24" t="str">
        <x:v>2023-2025 历史财务、产品、研发、治理</x:v>
      </x:c>
      <x:c r="D5" s="24" t="str">
        <x:v>RMB mn</x:v>
      </x:c>
      <x:c r="E5" s="24" t="str">
        <x:v>2025-12-31</x:v>
      </x:c>
      <x:c r="F5" s="25" t="str">
        <x:v>https://static.cninfo.com.cn/finalpage/2026-04-01/1225066678.PDF</x:v>
      </x:c>
      <x:c r="G5" s="24" t="str">
        <x:v>容诚审计，标准无保留</x:v>
      </x:c>
    </x:row>
    <x:row r="6">
      <x:c r="A6" s="24" t="str">
        <x:v>S3</x:v>
      </x:c>
      <x:c r="B6" s="24" t="str">
        <x:v>2025H1 半年报</x:v>
      </x:c>
      <x:c r="C6" s="24" t="str">
        <x:v>2026H1 同比基数</x:v>
      </x:c>
      <x:c r="D6" s="24" t="str">
        <x:v>RMB mn</x:v>
      </x:c>
      <x:c r="E6" s="24" t="str">
        <x:v>2025-06-30</x:v>
      </x:c>
      <x:c r="F6" s="25" t="str">
        <x:v>https://static.cninfo.com.cn/finalpage/2025-08-26/1224567943.PDF</x:v>
      </x:c>
      <x:c r="G6" s="24" t="str">
        <x:v>法定披露</x:v>
      </x:c>
    </x:row>
    <x:row r="7">
      <x:c r="A7" s="24" t="str">
        <x:v>S4</x:v>
      </x:c>
      <x:c r="B7" s="24" t="str">
        <x:v>2026Q1 季报</x:v>
      </x:c>
      <x:c r="C7" s="24" t="str">
        <x:v>2026Q1/Q2 拆分</x:v>
      </x:c>
      <x:c r="D7" s="24" t="str">
        <x:v>RMB mn</x:v>
      </x:c>
      <x:c r="E7" s="24" t="str">
        <x:v>2026-03-31</x:v>
      </x:c>
      <x:c r="F7" s="25" t="str">
        <x:v>https://static.cninfo.com.cn/finalpage/2026-04-28/1225208062.PDF</x:v>
      </x:c>
      <x:c r="G7" s="24" t="str">
        <x:v>未经审计</x:v>
      </x:c>
    </x:row>
    <x:row r="8">
      <x:c r="A8" s="24" t="str">
        <x:v>S5</x:v>
      </x:c>
      <x:c r="B8" s="24" t="str">
        <x:v>投资者关系活动记录</x:v>
      </x:c>
      <x:c r="C8" s="24" t="str">
        <x:v>出货、区域、储能毛利、AIDC、美国政策</x:v>
      </x:c>
      <x:c r="D8" s="24" t="str">
        <x:v>-</x:v>
      </x:c>
      <x:c r="E8" s="24" t="str">
        <x:v>2026-08-28</x:v>
      </x:c>
      <x:c r="F8" s="25" t="str">
        <x:v>https://file.finance.sina.com.cn/211.154.219.97%3A9494/MRGG/CNSESZ_STOCK/2026/2026-8/2026-08-29/12573972.PDF</x:v>
      </x:c>
      <x:c r="G8" s="24" t="str">
        <x:v>公司原文</x:v>
      </x:c>
    </x:row>
    <x:row r="9">
      <x:c r="A9" s="26" t="str">
        <x:v>S6</x:v>
      </x:c>
      <x:c r="B9" s="26" t="str">
        <x:v>市场价格</x:v>
      </x:c>
      <x:c r="C9" s="26" t="str">
        <x:v>91.50</x:v>
      </x:c>
      <x:c r="D9" s="26" t="str">
        <x:v>RMB/share</x:v>
      </x:c>
      <x:c r="E9" s="26" t="str">
        <x:v>2026-08-31</x:v>
      </x:c>
      <x:c r="F9" s="27" t="str">
        <x:v>https://in.investing.com/equities/sungrow-power-supply-historical-data</x:v>
      </x:c>
      <x:c r="G9" s="26" t="str">
        <x:v>EODData 交叉核验</x:v>
      </x:c>
    </x:row>
  </x:sheetData>
  <x:mergeCells>
    <x:mergeCell ref="A1:G1"/>
  </x:mergeCells>
  <x:pageMargins left="0.7" right="0.7" top="0.75" bottom="0.75" header="0.3" footer="0.3"/>
</x:worksheet>
</file>
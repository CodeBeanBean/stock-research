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56fa1f953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28a1504f7444d7d"/>
    <x:sheet xmlns:r="http://schemas.openxmlformats.org/officeDocument/2006/relationships" name="Historical" sheetId="2" r:id="R6cae45440bc4461d"/>
    <x:sheet xmlns:r="http://schemas.openxmlformats.org/officeDocument/2006/relationships" name="H1 Bridge" sheetId="3" r:id="Rbb8700685c3b4b8b"/>
    <x:sheet xmlns:r="http://schemas.openxmlformats.org/officeDocument/2006/relationships" name="Balance Sheet" sheetId="4" r:id="R81b04edb5e6945e4"/>
    <x:sheet xmlns:r="http://schemas.openxmlformats.org/officeDocument/2006/relationships" name="Assumptions" sheetId="5" r:id="Raeeaa39cde2e4e8b"/>
    <x:sheet xmlns:r="http://schemas.openxmlformats.org/officeDocument/2006/relationships" name="Valuation" sheetId="6" r:id="R0a94fcb28e534279"/>
    <x:sheet xmlns:r="http://schemas.openxmlformats.org/officeDocument/2006/relationships" name="Checks" sheetId="7" r:id="Reab6f4b35b744a5d"/>
    <x:sheet xmlns:r="http://schemas.openxmlformats.org/officeDocument/2006/relationships" name="Sources" sheetId="8" r:id="R040d95c5a40f4b16"/>
  </x:sheets>
</x:workbook>
</file>

<file path=xl/comments1.xml><?xml version="1.0" encoding="utf-8"?>
<x:comments xmlns:x="http://schemas.openxmlformats.org/spreadsheetml/2006/main">
  <x:authors>
    <x:author>tc={0DC0BD03-F063-41BC-B2E8-3F64C7F41819}</x:author>
    <x:author>tc={AB48FD90-61C7-4AFB-9234-A89919C03DF7}</x:author>
    <x:author>tc={6ECA11C0-7B92-4FC1-9EFA-9C8F7C8BF331}</x:author>
    <x:author>tc={6B11B315-DAF4-4880-92DD-FE3BB4E366E1}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ET Net, 2026-08-28 close, https://content.etnet.com.hk/content/cpy/eng/stock_quote.php?code=01530</x:t>
        </x:r>
      </x:text>
    </x:comment>
    <x:comment ref="B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Xinhua / China Foreign Exchange Trade System, 2026-08-28, 100 HKD = RMB86.498.</x:t>
        </x:r>
      </x:text>
    </x:comment>
    <x:comment ref="B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July 2026 monthly return. Total issued shares less treasury shares.</x:t>
        </x:r>
      </x:text>
    </x:comment>
    <x:comment ref="B1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Research assumption. Base is anchored to annualized 2026H1 adjusted profit after subtracting estimated after-tax licensing revenue contribution.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x;[Red](0.0x);-"/>
    <x:numFmt numFmtId="203" formatCode="0.00;[Red](0.00);-"/>
    <x:numFmt numFmtId="204" formatCode="0.0000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C62828"/>
      <x:name val="Carlito"/>
    </x:font>
    <x:font>
      <x:i/>
      <x:sz val="11"/>
      <x:color rgb="FF5B6573"/>
      <x:name val="Carlito"/>
    </x:font>
    <x:font>
      <x:sz val="11"/>
      <x:color rgb="FF008000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0000FF"/>
      <x:name val="Carlito"/>
    </x:font>
    <x:font>
      <x:b/>
      <x:sz val="18"/>
      <x:color rgb="FF2E7D32"/>
      <x:name val="Carlito"/>
    </x:font>
    <x:font>
      <x:b/>
      <x:sz val="15"/>
      <x:color rgb="FF11182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0B5CA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F4F7FA"/>
      </x:patternFill>
    </x:fill>
    <x:fill>
      <x:patternFill patternType="solid">
        <x:fgColor rgb="FFFCE8E6"/>
      </x:patternFill>
    </x:fill>
    <x:fill>
      <x:patternFill patternType="solid">
        <x:fgColor rgb="FFF3F4F6"/>
      </x:patternFill>
    </x:fill>
  </x:fills>
  <x:borders count="9">
    <x:border/>
    <x:border>
      <x:left style="thin">
        <x:color rgb="FFC9D3DE"/>
      </x:left>
      <x:top style="thin">
        <x:color rgb="FFC9D3DE"/>
      </x:top>
      <x:bottom style="thin">
        <x:color rgb="FFC9D3DE"/>
      </x:bottom>
    </x:border>
    <x:border>
      <x:top style="thin">
        <x:color rgb="FFC9D3DE"/>
      </x:top>
      <x:bottom style="thin">
        <x:color rgb="FFC9D3DE"/>
      </x:bottom>
    </x:border>
    <x:border>
      <x:right style="thin">
        <x:color rgb="FFC9D3DE"/>
      </x:right>
      <x:top style="thin">
        <x:color rgb="FFC9D3DE"/>
      </x:top>
      <x:bottom style="thin">
        <x:color rgb="FFC9D3DE"/>
      </x:bottom>
    </x:border>
    <x:border>
      <x:bottom style="thin">
        <x:color rgb="FFC9D3DE"/>
      </x:bottom>
    </x:border>
    <x:border>
      <x:top style="thin">
        <x:color rgb="FFC9D3DE"/>
      </x:top>
    </x:border>
    <x:border>
      <x:top style="thin">
        <x:color rgb="FF0B1F3A"/>
      </x:top>
      <x:bottom style="double">
        <x:color rgb="FF0B1F3A"/>
      </x:bottom>
    </x:border>
    <x:border>
      <x:top style="thin">
        <x:color rgb="FF0B1F3A"/>
      </x:top>
    </x:border>
    <x:border>
      <x:bottom style="double">
        <x:color rgb="FF0B1F3A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201" fontId="6" fillId="0" borderId="0" xfId="0" applyNumberFormat="1" applyFont="1" applyFill="1" applyBorder="1"/>
    <x:xf numFmtId="201" fontId="5" fillId="0" borderId="0" xfId="0" applyNumberFormat="1" applyFont="1" applyFill="1" applyBorder="1"/>
    <x:xf numFmtId="0" fontId="0" fillId="4" borderId="0" xfId="0" applyNumberFormat="1" applyFont="1" applyFill="1" applyBorder="1"/>
    <x:xf numFmtId="200" fontId="5" fillId="4" borderId="0" xfId="0" applyNumberFormat="1" applyFont="1" applyFill="1" applyBorder="1"/>
    <x:xf numFmtId="201" fontId="6" fillId="4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7" fillId="4" borderId="6" xfId="0" applyNumberFormat="1" applyFont="1" applyFill="1" applyBorder="1"/>
    <x:xf numFmtId="200" fontId="7" fillId="4" borderId="6" xfId="0" applyNumberFormat="1" applyFont="1" applyFill="1" applyBorder="1"/>
    <x:xf numFmtId="201" fontId="7" fillId="4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201" fontId="6" fillId="0" borderId="0" xfId="0" applyNumberFormat="1" applyFont="1" applyFill="1" applyBorder="1" applyAlignment="1">
      <x:alignment horizontal="center"/>
    </x:xf>
    <x:xf numFmtId="201" fontId="6" fillId="4" borderId="0" xfId="0" applyNumberFormat="1" applyFont="1" applyFill="1" applyBorder="1" applyAlignment="1">
      <x:alignment horizontal="center"/>
    </x:xf>
    <x:xf numFmtId="201" fontId="7" fillId="4" borderId="0" xfId="0" applyNumberFormat="1" applyFont="1" applyFill="1" applyBorder="1" applyAlignment="1">
      <x:alignment horizontal="center"/>
    </x:xf>
    <x:xf numFmtId="201" fontId="7" fillId="4" borderId="6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0" fontId="6" fillId="0" borderId="0" xfId="0" applyNumberFormat="1" applyFont="1" applyFill="1" applyBorder="1"/>
    <x:xf numFmtId="200" fontId="6" fillId="4" borderId="0" xfId="0" applyNumberFormat="1" applyFont="1" applyFill="1" applyBorder="1"/>
    <x:xf numFmtId="0" fontId="7" fillId="4" borderId="7" xfId="0" applyNumberFormat="1" applyFont="1" applyFill="1" applyBorder="1"/>
    <x:xf numFmtId="200" fontId="7" fillId="4" borderId="7" xfId="0" applyNumberFormat="1" applyFont="1" applyFill="1" applyBorder="1"/>
    <x:xf numFmtId="0" fontId="7" fillId="4" borderId="8" xfId="0" applyNumberFormat="1" applyFont="1" applyFill="1" applyBorder="1"/>
    <x:xf numFmtId="200" fontId="7" fillId="4" borderId="8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0" fontId="5" fillId="5" borderId="0" xfId="0" applyNumberFormat="1" applyFont="1" applyFill="1" applyBorder="1"/>
    <x:xf numFmtId="203" fontId="8" fillId="5" borderId="0" xfId="0" applyNumberFormat="1" applyFont="1" applyFill="1" applyBorder="1"/>
    <x:xf numFmtId="204" fontId="8" fillId="5" borderId="0" xfId="0" applyNumberFormat="1" applyFont="1" applyFill="1" applyBorder="1"/>
    <x:xf numFmtId="200" fontId="8" fillId="5" borderId="0" xfId="0" applyNumberFormat="1" applyFont="1" applyFill="1" applyBorder="1"/>
    <x:xf numFmtId="200" fontId="5" fillId="5" borderId="0" xfId="0" applyNumberFormat="1" applyFont="1" applyFill="1" applyBorder="1"/>
    <x:xf numFmtId="200" fontId="6" fillId="5" borderId="0" xfId="0" applyNumberFormat="1" applyFont="1" applyFill="1" applyBorder="1"/>
    <x:xf numFmtId="202" fontId="6" fillId="5" borderId="0" xfId="0" applyNumberFormat="1" applyFont="1" applyFill="1" applyBorder="1"/>
    <x:xf numFmtId="201" fontId="8" fillId="5" borderId="0" xfId="0" applyNumberFormat="1" applyFont="1" applyFill="1" applyBorder="1"/>
    <x:xf numFmtId="202" fontId="8" fillId="5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wrapText="1"/>
    </x:xf>
    <x:xf numFmtId="204" fontId="0" fillId="0" borderId="2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5" fillId="0" borderId="0" xfId="0" applyNumberFormat="1" applyFont="1" applyFill="1" applyBorder="1"/>
    <x:xf numFmtId="203" fontId="6" fillId="0" borderId="0" xfId="0" applyNumberFormat="1" applyFont="1" applyFill="1" applyBorder="1"/>
    <x:xf numFmtId="203" fontId="6" fillId="4" borderId="0" xfId="0" applyNumberFormat="1" applyFont="1" applyFill="1" applyBorder="1"/>
    <x:xf numFmtId="203" fontId="0" fillId="4" borderId="0" xfId="0" applyNumberFormat="1" applyFont="1" applyFill="1" applyBorder="1"/>
    <x:xf numFmtId="202" fontId="6" fillId="4" borderId="0" xfId="0" applyNumberFormat="1" applyFont="1" applyFill="1" applyBorder="1"/>
    <x:xf numFmtId="203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7" fillId="4" borderId="8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203" fontId="10" fillId="7" borderId="0" xfId="0" applyNumberFormat="1" applyFont="1" applyFill="1" applyBorder="1"/>
    <x:xf numFmtId="203" fontId="10" fillId="7" borderId="0" xfId="0" applyNumberFormat="1" applyFont="1" applyFill="1" applyBorder="1" applyAlignment="1">
      <x:alignment horizontal="center"/>
    </x:xf>
    <x:xf numFmtId="203" fontId="10" fillId="7" borderId="0" xfId="0" applyNumberFormat="1" applyFont="1" applyFill="1" applyBorder="1" applyAlignment="1">
      <x:alignment horizontal="center" vertical="center"/>
    </x:xf>
    <x:xf numFmtId="201" fontId="10" fillId="7" borderId="0" xfId="0" applyNumberFormat="1" applyFont="1" applyFill="1" applyBorder="1"/>
    <x:xf numFmtId="201" fontId="10" fillId="7" borderId="0" xfId="0" applyNumberFormat="1" applyFont="1" applyFill="1" applyBorder="1" applyAlignment="1">
      <x:alignment horizontal="center"/>
    </x:xf>
    <x:xf numFmtId="201" fontId="10" fillId="7" borderId="0" xfId="0" applyNumberFormat="1" applyFont="1" applyFill="1" applyBorder="1" applyAlignment="1">
      <x:alignment horizontal="center" vertical="center"/>
    </x:xf>
    <x:xf numFmtId="200" fontId="10" fillId="7" borderId="0" xfId="0" applyNumberFormat="1" applyFont="1" applyFill="1" applyBorder="1"/>
    <x:xf numFmtId="200" fontId="10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 applyAlignment="1">
      <x:alignment horizontal="center"/>
    </x:xf>
    <x:xf numFmtId="203" fontId="7" fillId="4" borderId="6" xfId="0" applyNumberFormat="1" applyFont="1" applyFill="1" applyBorder="1"/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7df1a855442e3" /><Relationship Type="http://schemas.openxmlformats.org/officeDocument/2006/relationships/theme" Target="/xl/theme/theme1.xml" Id="Rd047028f6afb43e0" /><Relationship Type="http://schemas.openxmlformats.org/officeDocument/2006/relationships/sharedStrings" Target="/xl/sharedStrings.xml" Id="R3a3a5a80dbec4796" /><Relationship Type="http://schemas.openxmlformats.org/officeDocument/2006/relationships/worksheet" Target="/xl/worksheets/sheet1.xml" Id="R628a1504f7444d7d" /><Relationship Type="http://schemas.openxmlformats.org/officeDocument/2006/relationships/worksheet" Target="/xl/worksheets/sheet2.xml" Id="R6cae45440bc4461d" /><Relationship Type="http://schemas.openxmlformats.org/officeDocument/2006/relationships/worksheet" Target="/xl/worksheets/sheet3.xml" Id="Rbb8700685c3b4b8b" /><Relationship Type="http://schemas.openxmlformats.org/officeDocument/2006/relationships/worksheet" Target="/xl/worksheets/sheet4.xml" Id="R81b04edb5e6945e4" /><Relationship Type="http://schemas.openxmlformats.org/officeDocument/2006/relationships/worksheet" Target="/xl/worksheets/sheet5.xml" Id="Raeeaa39cde2e4e8b" /><Relationship Type="http://schemas.openxmlformats.org/officeDocument/2006/relationships/worksheet" Target="/xl/worksheets/sheet6.xml" Id="R0a94fcb28e534279" /><Relationship Type="http://schemas.openxmlformats.org/officeDocument/2006/relationships/worksheet" Target="/xl/worksheets/sheet7.xml" Id="Reab6f4b35b744a5d" /><Relationship Type="http://schemas.openxmlformats.org/officeDocument/2006/relationships/worksheet" Target="/xl/worksheets/sheet8.xml" Id="R040d95c5a40f4b16" /><Relationship Type="http://schemas.microsoft.com/office/2017/10/relationships/person" Target="/xl/persons/person.xml" Id="R762e59c2be1249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eab27307664fec" /><Relationship Type="http://schemas.openxmlformats.org/officeDocument/2006/relationships/chart" Target="/xl/drawings/charts/chart2.xml" Id="R5c353824f22f46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授权与 CDMO 抵消药品销售下滑（RMB mn）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2025H1</c:v>
          </c:tx>
          <c:cat>
            <c:strRef>
              <c:f>'Cover'!$A$17:$A$19</c:f>
              <c:strCache>
                <c:ptCount val="0"/>
              </c:strCache>
            </c:strRef>
          </c:cat>
          <c:val>
            <c:numRef>
              <c:f>'Cover'!$B$17:$B$19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2026H1</c:v>
          </c:tx>
          <c:cat>
            <c:strRef>
              <c:f>'Cover'!$A$17:$A$19</c:f>
              <c:strCache>
                <c:ptCount val="0"/>
              </c:strCache>
            </c:strRef>
          </c:cat>
          <c:val>
            <c:numRef>
              <c:f>'Cover'!$C$17:$C$19</c:f>
              <c:numCache>
                <c:formatCode>#,##0.0;[Red](#,##0.0);-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Bear / Base / Bull 每股价值（HKD）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每股价值</c:v>
          </c:tx>
          <c:cat>
            <c:strRef>
              <c:f>'Cover'!$G$17:$G$19</c:f>
              <c:strCache>
                <c:ptCount val="0"/>
              </c:strCache>
            </c:strRef>
          </c:cat>
          <c:val>
            <c:numRef>
              <c:f>'Cover'!$H$17:$H$19</c:f>
              <c:numCache>
                <c:formatCode>0.00;[Red](0.00);-</c:formatCode>
                <c:ptCount val="0"/>
              </c:numCache>
            </c:numRef>
          </c:val>
        </c:ser>
        <c:ser>
          <c:idx val="1"/>
          <c:order val="1"/>
          <c:tx>
            <c:v>现价</c:v>
          </c:tx>
          <c:cat>
            <c:strRef>
              <c:f>'Cover'!$G$17:$G$19</c:f>
              <c:strCache>
                <c:ptCount val="0"/>
              </c:strCache>
            </c:strRef>
          </c:cat>
          <c:val>
            <c:numRef>
              <c:f>'Cover'!$I$17:$I$19</c:f>
              <c:numCache>
                <c:formatCode>0.00;[Red](0.00);-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eab27307664fec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353824f22f46b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7261CF1-477B-4F05-9336-4ED1B903E90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8-31T05:47:34.475" personId="{57261CF1-477B-4F05-9336-4ED1B903E905}" id="{0DC0BD03-F063-41BC-B2E8-3F64C7F41819}">
    <xltc:text>Source: ET Net, 2026-08-28 close, https://content.etnet.com.hk/content/cpy/eng/stock_quote.php?code=01530</xltc:text>
  </xltc:threadedComment>
  <xltc:threadedComment ref="B7" dT="2026-08-31T05:47:34.475" personId="{57261CF1-477B-4F05-9336-4ED1B903E905}" id="{AB48FD90-61C7-4AFB-9234-A89919C03DF7}">
    <xltc:text>Source: Xinhua / China Foreign Exchange Trade System, 2026-08-28, 100 HKD = RMB86.498.</xltc:text>
  </xltc:threadedComment>
  <xltc:threadedComment ref="B8" dT="2026-08-31T05:47:34.475" personId="{57261CF1-477B-4F05-9336-4ED1B903E905}" id="{6ECA11C0-7B92-4FC1-9EFA-9C8F7C8BF331}">
    <xltc:text>Source: July 2026 monthly return. Total issued shares less treasury shares.</xltc:text>
  </xltc:threadedComment>
  <xltc:threadedComment ref="B17" dT="2026-08-31T05:47:34.475" personId="{57261CF1-477B-4F05-9336-4ED1B903E905}" id="{6B11B315-DAF4-4880-92DD-FE3BB4E366E1}">
    <xltc:text>Research assumption. Base is anchored to annualized 2026H1 adjusted profit after subtracting estimated after-tax licensing revenue contribution.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3570529a4444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4c75b48c14da48b9" /><Relationship Type="http://schemas.openxmlformats.org/officeDocument/2006/relationships/vmlDrawing" Target="/xl/drawings/vmldrawing.vml" Id="R10188efcd59948ba" /><Relationship Type="http://schemas.microsoft.com/office/2017/10/relationships/threadedComment" Target="/xl/threadedcomments/threadedcomment.xml" Id="R04c848254498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4" t="str">
        <x:v>三生制药（01530.HK）基本面与估值模型</x:v>
      </x:c>
      <x:c r="B1" s="4" t="str">
        <x:v>三生制药（01530.HK）基本面与估值模型</x:v>
      </x:c>
      <x:c r="C1" s="4" t="str">
        <x:v>三生制药（01530.HK）基本面与估值模型</x:v>
      </x:c>
      <x:c r="D1" s="4" t="str">
        <x:v>三生制药（01530.HK）基本面与估值模型</x:v>
      </x:c>
      <x:c r="E1" s="4" t="str">
        <x:v>三生制药（01530.HK）基本面与估值模型</x:v>
      </x:c>
      <x:c r="F1" s="4" t="str">
        <x:v>三生制药（01530.HK）基本面与估值模型</x:v>
      </x:c>
      <x:c r="G1" s="4" t="str">
        <x:v>三生制药（01530.HK）基本面与估值模型</x:v>
      </x:c>
      <x:c r="H1" s="4" t="str">
        <x:v>三生制药（01530.HK）基本面与估值模型</x:v>
      </x:c>
      <x:c r="I1" s="4" t="str">
        <x:v>三生制药（01530.HK）基本面与估值模型</x:v>
      </x:c>
      <x:c r="J1" s="4" t="str">
        <x:v>三生制药（01530.HK）基本面与估值模型</x:v>
      </x:c>
      <x:c r="K1" s="4" t="str">
        <x:v>三生制药（01530.HK）基本面与估值模型</x:v>
      </x:c>
      <x:c r="L1" s="4" t="str">
        <x:v>三生制药（01530.HK）基本面与估值模型</x:v>
      </x:c>
    </x:row>
    <x:row r="2">
      <x:c r="A2" s="91" t="str">
        <x:v>首次建立：2026-08-31 | 数据截止：2026-08-31 | 市场价格：2026-08-28 收盘 | 单位：人民币百万元，另有说明除外</x:v>
      </x:c>
      <x:c r="B2" s="91" t="str">
        <x:v>首次建立：2026-08-31 | 数据截止：2026-08-31 | 市场价格：2026-08-28 收盘 | 单位：人民币百万元，另有说明除外</x:v>
      </x:c>
      <x:c r="C2" s="91" t="str">
        <x:v>首次建立：2026-08-31 | 数据截止：2026-08-31 | 市场价格：2026-08-28 收盘 | 单位：人民币百万元，另有说明除外</x:v>
      </x:c>
      <x:c r="D2" s="91" t="str">
        <x:v>首次建立：2026-08-31 | 数据截止：2026-08-31 | 市场价格：2026-08-28 收盘 | 单位：人民币百万元，另有说明除外</x:v>
      </x:c>
      <x:c r="E2" s="91" t="str">
        <x:v>首次建立：2026-08-31 | 数据截止：2026-08-31 | 市场价格：2026-08-28 收盘 | 单位：人民币百万元，另有说明除外</x:v>
      </x:c>
      <x:c r="F2" s="91" t="str">
        <x:v>首次建立：2026-08-31 | 数据截止：2026-08-31 | 市场价格：2026-08-28 收盘 | 单位：人民币百万元，另有说明除外</x:v>
      </x:c>
      <x:c r="G2" s="91" t="str">
        <x:v>首次建立：2026-08-31 | 数据截止：2026-08-31 | 市场价格：2026-08-28 收盘 | 单位：人民币百万元，另有说明除外</x:v>
      </x:c>
      <x:c r="H2" s="91" t="str">
        <x:v>首次建立：2026-08-31 | 数据截止：2026-08-31 | 市场价格：2026-08-28 收盘 | 单位：人民币百万元，另有说明除外</x:v>
      </x:c>
      <x:c r="I2" s="91" t="str">
        <x:v>首次建立：2026-08-31 | 数据截止：2026-08-31 | 市场价格：2026-08-28 收盘 | 单位：人民币百万元，另有说明除外</x:v>
      </x:c>
      <x:c r="J2" s="91" t="str">
        <x:v>首次建立：2026-08-31 | 数据截止：2026-08-31 | 市场价格：2026-08-28 收盘 | 单位：人民币百万元，另有说明除外</x:v>
      </x:c>
      <x:c r="K2" s="91" t="str">
        <x:v>首次建立：2026-08-31 | 数据截止：2026-08-31 | 市场价格：2026-08-28 收盘 | 单位：人民币百万元，另有说明除外</x:v>
      </x:c>
      <x:c r="L2" s="91" t="str">
        <x:v>首次建立：2026-08-31 | 数据截止：2026-08-31 | 市场价格：2026-08-28 收盘 | 单位：人民币百万元，另有说明除外</x:v>
      </x:c>
    </x:row>
    <x:row r="4">
      <x:c r="A4" s="92" t="str">
        <x:v>研究结论</x:v>
      </x:c>
      <x:c r="B4" s="92" t="str">
        <x:v>研究结论</x:v>
      </x:c>
      <x:c r="C4" s="92" t="str">
        <x:v>现价</x:v>
      </x:c>
      <x:c r="D4" s="92" t="str">
        <x:v>现价</x:v>
      </x:c>
      <x:c r="E4" s="92" t="str">
        <x:v>Base 价值</x:v>
      </x:c>
      <x:c r="F4" s="92" t="str">
        <x:v>Base 价值</x:v>
      </x:c>
      <x:c r="G4" s="92" t="str">
        <x:v>Base 空间</x:v>
      </x:c>
      <x:c r="H4" s="92" t="str">
        <x:v>Base 空间</x:v>
      </x:c>
      <x:c r="I4" s="92" t="str">
        <x:v>人民币市值</x:v>
      </x:c>
      <x:c r="J4" s="92" t="str">
        <x:v>人民币市值</x:v>
      </x:c>
      <x:c r="K4" s="92" t="str">
        <x:v>狭义净现金</x:v>
      </x:c>
      <x:c r="L4" s="92" t="str">
        <x:v>狭义净现金</x:v>
      </x:c>
    </x:row>
    <x:row r="5">
      <x:c r="A5" s="96" t="str">
        <x:v>谨慎积极</x:v>
      </x:c>
      <x:c r="B5" s="96" t="str">
        <x:v>谨慎积极</x:v>
      </x:c>
      <x:c r="C5" s="101" t="n">
        <x:f>'Assumptions'!B6</x:f>
        <x:v>16.96</x:v>
      </x:c>
      <x:c r="D5" s="101"/>
      <x:c r="E5" s="101" t="n">
        <x:f>'Valuation'!C11</x:f>
        <x:v>21.194850090178605</x:v>
      </x:c>
      <x:c r="F5" s="101"/>
      <x:c r="G5" s="104" t="n">
        <x:f>'Valuation'!C12</x:f>
        <x:v>0.24969634965675724</x:v>
      </x:c>
      <x:c r="H5" s="104"/>
      <x:c r="I5" s="107" t="n">
        <x:f>'Assumptions'!B11</x:f>
        <x:v>37111.13024594985</x:v>
      </x:c>
      <x:c r="J5" s="107"/>
      <x:c r="K5" s="107" t="n">
        <x:f>'Assumptions'!B10</x:f>
        <x:v>12777.644</x:v>
      </x:c>
      <x:c r="L5" s="107"/>
    </x:row>
    <x:row r="6">
      <x:c r="A6" s="96" t="str">
        <x:v>谨慎积极</x:v>
      </x:c>
      <x:c r="B6" s="96" t="str">
        <x:v>谨慎积极</x:v>
      </x:c>
      <x:c r="C6" s="101"/>
      <x:c r="D6" s="101"/>
      <x:c r="E6" s="101"/>
      <x:c r="F6" s="101"/>
      <x:c r="G6" s="104"/>
      <x:c r="H6" s="104"/>
      <x:c r="I6" s="107"/>
      <x:c r="J6" s="107"/>
      <x:c r="K6" s="107"/>
      <x:c r="L6" s="107"/>
    </x:row>
    <x:row r="8" ht="22" customHeight="1">
      <x:c r="A8" s="45" t="str">
        <x:v>投资判断</x:v>
      </x:c>
      <x:c r="B8" s="45" t="str">
        <x:v>投资判断</x:v>
      </x:c>
      <x:c r="C8" s="45" t="str">
        <x:v>投资判断</x:v>
      </x:c>
      <x:c r="D8" s="45" t="str">
        <x:v>投资判断</x:v>
      </x:c>
      <x:c r="E8" s="45" t="str">
        <x:v>投资判断</x:v>
      </x:c>
      <x:c r="F8" s="45" t="str">
        <x:v>投资判断</x:v>
      </x:c>
      <x:c r="G8" s="45" t="str">
        <x:v>关键风险</x:v>
      </x:c>
      <x:c r="H8" s="45" t="str">
        <x:v>关键风险</x:v>
      </x:c>
      <x:c r="I8" s="45" t="str">
        <x:v>关键风险</x:v>
      </x:c>
      <x:c r="J8" s="45" t="str">
        <x:v>关键风险</x:v>
      </x:c>
      <x:c r="K8" s="45" t="str">
        <x:v>关键风险</x:v>
      </x:c>
      <x:c r="L8" s="45" t="str">
        <x:v>关键风险</x:v>
      </x:c>
    </x:row>
    <x:row r="9">
      <x:c r="A9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B9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C9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D9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E9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F9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G9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H9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I9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J9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K9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L9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</x:row>
    <x:row r="10">
      <x:c r="A10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B10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C10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D10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E10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F10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G10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H10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I10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J10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K10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L10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</x:row>
    <x:row r="11">
      <x:c r="A11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B11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C11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D11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E11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F11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G11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H11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I11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J11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K11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L11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</x:row>
    <x:row r="12">
      <x:c r="A12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B12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C12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D12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E12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F12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G12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H12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I12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J12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K12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L12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</x:row>
    <x:row r="13">
      <x:c r="A13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B13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C13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D13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E13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F13" s="77" t="str">
        <x:v>现金与成熟生物药平台提供安全垫，SSGJ-707 提供非对称上行；但 2026H1 药品销售收入下降 19.3%，总收入增长主要由 707 里程碑和 CDMO 驱动。当前价格具备一定赔率，核心业务企稳仍是结论兑现的必要条件。</x:v>
      </x:c>
      <x:c r="G13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H13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I13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J13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K13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  <x:c r="L13" s="111" t="str">
        <x:v>老产品集采与税率压力；707 随机 III 期失败或竞争落后；许可收入不连续；外币资金汇兑波动；大额现金资本配置效率；蔓迪分拆延迟或低于预期；创始人兼任董事长与 CEO 的治理集中。</x:v>
      </x:c>
    </x:row>
    <x:row r="15" ht="22" customHeight="1">
      <x:c r="A15" s="45" t="str">
        <x:v>2026H1 收入质量</x:v>
      </x:c>
      <x:c r="B15" s="45" t="str">
        <x:v>2026H1 收入质量</x:v>
      </x:c>
      <x:c r="C15" s="45" t="str">
        <x:v>2026H1 收入质量</x:v>
      </x:c>
      <x:c r="D15" s="45" t="str">
        <x:v>2026H1 收入质量</x:v>
      </x:c>
      <x:c r="E15" s="45" t="str">
        <x:v>2026H1 收入质量</x:v>
      </x:c>
      <x:c r="F15" s="45" t="str">
        <x:v>2026H1 收入质量</x:v>
      </x:c>
      <x:c r="G15" s="45" t="str">
        <x:v>估值情景</x:v>
      </x:c>
      <x:c r="H15" s="45" t="str">
        <x:v>估值情景</x:v>
      </x:c>
      <x:c r="I15" s="45" t="str">
        <x:v>估值情景</x:v>
      </x:c>
      <x:c r="J15" s="45" t="str">
        <x:v>估值情景</x:v>
      </x:c>
      <x:c r="K15" s="45" t="str">
        <x:v>估值情景</x:v>
      </x:c>
      <x:c r="L15" s="45" t="str">
        <x:v>估值情景</x:v>
      </x:c>
    </x:row>
    <x:row r="16">
      <x:c r="A16" s="13" t="str">
        <x:v>收入来源</x:v>
      </x:c>
      <x:c r="B16" s="14" t="str">
        <x:v>2025H1</x:v>
      </x:c>
      <x:c r="C16" s="14" t="str">
        <x:v>2026H1</x:v>
      </x:c>
      <x:c r="D16" s="15" t="str">
        <x:v>同比</x:v>
      </x:c>
      <x:c r="G16" s="13" t="str">
        <x:v>情景</x:v>
      </x:c>
      <x:c r="H16" s="14" t="str">
        <x:v>每股价值</x:v>
      </x:c>
      <x:c r="I16" s="14" t="str">
        <x:v>现价</x:v>
      </x:c>
      <x:c r="J16" s="15" t="str">
        <x:v>空间</x:v>
      </x:c>
    </x:row>
    <x:row r="17">
      <x:c r="A17" t="str">
        <x:v>药品销售</x:v>
      </x:c>
      <x:c r="B17" s="50" t="n">
        <x:v>4266.79</x:v>
      </x:c>
      <x:c r="C17" s="50" t="n">
        <x:v>3443.021</x:v>
      </x:c>
      <x:c r="D17" s="113" t="n">
        <x:f>C17/B17-1</x:f>
        <x:v>-0.1930652785817909</x:v>
      </x:c>
      <x:c r="G17" t="str">
        <x:v>Bear</x:v>
      </x:c>
      <x:c r="H17" s="81" t="n">
        <x:f>'Valuation'!B11</x:f>
        <x:v>14.339763804366433</x:v>
      </x:c>
      <x:c r="I17" s="81" t="n">
        <x:f>'Assumptions'!$B$6</x:f>
        <x:v>16.96</x:v>
      </x:c>
      <x:c r="J17" s="51" t="n">
        <x:f>'Valuation'!B12</x:f>
        <x:v>-0.1544950587048094</x:v>
      </x:c>
    </x:row>
    <x:row r="18">
      <x:c r="A18" t="str">
        <x:v>授权收入</x:v>
      </x:c>
      <x:c r="B18" s="50" t="n">
        <x:v>0</x:v>
      </x:c>
      <x:c r="C18" s="50" t="n">
        <x:v>851.584</x:v>
      </x:c>
      <x:c r="D18" s="113" t="str">
        <x:v>N/M</x:v>
      </x:c>
      <x:c r="G18" t="str">
        <x:v>Base</x:v>
      </x:c>
      <x:c r="H18" s="81" t="n">
        <x:f>'Valuation'!C11</x:f>
        <x:v>21.194850090178605</x:v>
      </x:c>
      <x:c r="I18" s="81" t="n">
        <x:f>'Assumptions'!$B$6</x:f>
        <x:v>16.96</x:v>
      </x:c>
      <x:c r="J18" s="51" t="n">
        <x:f>'Valuation'!C12</x:f>
        <x:v>0.24969634965675724</x:v>
      </x:c>
    </x:row>
    <x:row r="19">
      <x:c r="A19" t="str">
        <x:v>CDMO</x:v>
      </x:c>
      <x:c r="B19" s="50" t="n">
        <x:v>88.695</x:v>
      </x:c>
      <x:c r="C19" s="50" t="n">
        <x:v>231.38</x:v>
      </x:c>
      <x:c r="D19" s="113" t="n">
        <x:f>C19/B19-1</x:f>
        <x:v>1.608715260161227</x:v>
      </x:c>
      <x:c r="G19" t="str">
        <x:v>Bull</x:v>
      </x:c>
      <x:c r="H19" s="81" t="n">
        <x:f>'Valuation'!D11</x:f>
        <x:v>30.974773191270636</x:v>
      </x:c>
      <x:c r="I19" s="81" t="n">
        <x:f>'Assumptions'!$B$6</x:f>
        <x:v>16.96</x:v>
      </x:c>
      <x:c r="J19" s="51" t="n">
        <x:f>'Valuation'!D12</x:f>
        <x:v>0.8263427589192591</x:v>
      </x:c>
    </x:row>
    <x:row r="20">
      <x:c r="A20" s="40" t="str">
        <x:v>总收入</x:v>
      </x:c>
      <x:c r="B20" s="41" t="n">
        <x:f>SUM(B17:B19)</x:f>
        <x:v>4355.485</x:v>
      </x:c>
      <x:c r="C20" s="41" t="n">
        <x:f>SUM(C17:C19)</x:f>
        <x:v>4525.985000000001</x:v>
      </x:c>
      <x:c r="D20" s="49" t="n">
        <x:f>C20/B20-1</x:f>
        <x:v>0.039146042289205596</x:v>
      </x:c>
      <x:c r="G20" s="40" t="str">
        <x:v>当前</x:v>
      </x:c>
      <x:c r="H20" s="116" t="n">
        <x:f>'Assumptions'!B6</x:f>
        <x:v>16.96</x:v>
      </x:c>
      <x:c r="I20" s="116" t="n">
        <x:f>'Assumptions'!B6</x:f>
        <x:v>16.96</x:v>
      </x:c>
      <x:c r="J20" s="42" t="n">
        <x:f>0</x:f>
        <x:v>0</x:v>
      </x:c>
    </x:row>
    <x:row r="39" ht="22" customHeight="1">
      <x:c r="A39" s="45" t="str">
        <x:v>关键监控指标</x:v>
      </x:c>
      <x:c r="B39" s="45" t="str">
        <x:v>关键监控指标</x:v>
      </x:c>
      <x:c r="C39" s="45" t="str">
        <x:v>关键监控指标</x:v>
      </x:c>
      <x:c r="D39" s="45" t="str">
        <x:v>关键监控指标</x:v>
      </x:c>
      <x:c r="E39" s="45" t="str">
        <x:v>关键监控指标</x:v>
      </x:c>
      <x:c r="F39" s="45" t="str">
        <x:v>关键监控指标</x:v>
      </x:c>
      <x:c r="G39" s="45" t="str">
        <x:v>关键监控指标</x:v>
      </x:c>
      <x:c r="H39" s="45" t="str">
        <x:v>关键监控指标</x:v>
      </x:c>
      <x:c r="I39" s="45" t="str">
        <x:v>关键监控指标</x:v>
      </x:c>
      <x:c r="J39" s="45" t="str">
        <x:v>关键监控指标</x:v>
      </x:c>
      <x:c r="K39" s="45" t="str">
        <x:v>关键监控指标</x:v>
      </x:c>
      <x:c r="L39" s="45" t="str">
        <x:v>关键监控指标</x:v>
      </x:c>
    </x:row>
    <x:row r="40">
      <x:c r="A40" s="118" t="str">
        <x:v>药品销售同比 | 剔除许可后的核心利润 | 毛利率 | 经营现金流 | 狭义净现金 | 707 随机 III 期及里程碑 | 蔓迪分拆比例与记录日 | 回购、分红及并购回报</x:v>
      </x:c>
      <x:c r="B40" s="118" t="str">
        <x:v>药品销售同比 | 剔除许可后的核心利润 | 毛利率 | 经营现金流 | 狭义净现金 | 707 随机 III 期及里程碑 | 蔓迪分拆比例与记录日 | 回购、分红及并购回报</x:v>
      </x:c>
      <x:c r="C40" s="118" t="str">
        <x:v>药品销售同比 | 剔除许可后的核心利润 | 毛利率 | 经营现金流 | 狭义净现金 | 707 随机 III 期及里程碑 | 蔓迪分拆比例与记录日 | 回购、分红及并购回报</x:v>
      </x:c>
      <x:c r="D40" s="118" t="str">
        <x:v>药品销售同比 | 剔除许可后的核心利润 | 毛利率 | 经营现金流 | 狭义净现金 | 707 随机 III 期及里程碑 | 蔓迪分拆比例与记录日 | 回购、分红及并购回报</x:v>
      </x:c>
      <x:c r="E40" s="118" t="str">
        <x:v>药品销售同比 | 剔除许可后的核心利润 | 毛利率 | 经营现金流 | 狭义净现金 | 707 随机 III 期及里程碑 | 蔓迪分拆比例与记录日 | 回购、分红及并购回报</x:v>
      </x:c>
      <x:c r="F40" s="118" t="str">
        <x:v>药品销售同比 | 剔除许可后的核心利润 | 毛利率 | 经营现金流 | 狭义净现金 | 707 随机 III 期及里程碑 | 蔓迪分拆比例与记录日 | 回购、分红及并购回报</x:v>
      </x:c>
      <x:c r="G40" s="118" t="str">
        <x:v>药品销售同比 | 剔除许可后的核心利润 | 毛利率 | 经营现金流 | 狭义净现金 | 707 随机 III 期及里程碑 | 蔓迪分拆比例与记录日 | 回购、分红及并购回报</x:v>
      </x:c>
      <x:c r="H40" s="118" t="str">
        <x:v>药品销售同比 | 剔除许可后的核心利润 | 毛利率 | 经营现金流 | 狭义净现金 | 707 随机 III 期及里程碑 | 蔓迪分拆比例与记录日 | 回购、分红及并购回报</x:v>
      </x:c>
      <x:c r="I40" s="118" t="str">
        <x:v>药品销售同比 | 剔除许可后的核心利润 | 毛利率 | 经营现金流 | 狭义净现金 | 707 随机 III 期及里程碑 | 蔓迪分拆比例与记录日 | 回购、分红及并购回报</x:v>
      </x:c>
      <x:c r="J40" s="118" t="str">
        <x:v>药品销售同比 | 剔除许可后的核心利润 | 毛利率 | 经营现金流 | 狭义净现金 | 707 随机 III 期及里程碑 | 蔓迪分拆比例与记录日 | 回购、分红及并购回报</x:v>
      </x:c>
      <x:c r="K40" s="118" t="str">
        <x:v>药品销售同比 | 剔除许可后的核心利润 | 毛利率 | 经营现金流 | 狭义净现金 | 707 随机 III 期及里程碑 | 蔓迪分拆比例与记录日 | 回购、分红及并购回报</x:v>
      </x:c>
      <x:c r="L40" s="118" t="str">
        <x:v>药品销售同比 | 剔除许可后的核心利润 | 毛利率 | 经营现金流 | 狭义净现金 | 707 随机 III 期及里程碑 | 蔓迪分拆比例与记录日 | 回购、分红及并购回报</x:v>
      </x:c>
    </x:row>
    <x:row r="41">
      <x:c r="A41" s="118" t="str">
        <x:v>药品销售同比 | 剔除许可后的核心利润 | 毛利率 | 经营现金流 | 狭义净现金 | 707 随机 III 期及里程碑 | 蔓迪分拆比例与记录日 | 回购、分红及并购回报</x:v>
      </x:c>
      <x:c r="B41" s="118" t="str">
        <x:v>药品销售同比 | 剔除许可后的核心利润 | 毛利率 | 经营现金流 | 狭义净现金 | 707 随机 III 期及里程碑 | 蔓迪分拆比例与记录日 | 回购、分红及并购回报</x:v>
      </x:c>
      <x:c r="C41" s="118" t="str">
        <x:v>药品销售同比 | 剔除许可后的核心利润 | 毛利率 | 经营现金流 | 狭义净现金 | 707 随机 III 期及里程碑 | 蔓迪分拆比例与记录日 | 回购、分红及并购回报</x:v>
      </x:c>
      <x:c r="D41" s="118" t="str">
        <x:v>药品销售同比 | 剔除许可后的核心利润 | 毛利率 | 经营现金流 | 狭义净现金 | 707 随机 III 期及里程碑 | 蔓迪分拆比例与记录日 | 回购、分红及并购回报</x:v>
      </x:c>
      <x:c r="E41" s="118" t="str">
        <x:v>药品销售同比 | 剔除许可后的核心利润 | 毛利率 | 经营现金流 | 狭义净现金 | 707 随机 III 期及里程碑 | 蔓迪分拆比例与记录日 | 回购、分红及并购回报</x:v>
      </x:c>
      <x:c r="F41" s="118" t="str">
        <x:v>药品销售同比 | 剔除许可后的核心利润 | 毛利率 | 经营现金流 | 狭义净现金 | 707 随机 III 期及里程碑 | 蔓迪分拆比例与记录日 | 回购、分红及并购回报</x:v>
      </x:c>
      <x:c r="G41" s="118" t="str">
        <x:v>药品销售同比 | 剔除许可后的核心利润 | 毛利率 | 经营现金流 | 狭义净现金 | 707 随机 III 期及里程碑 | 蔓迪分拆比例与记录日 | 回购、分红及并购回报</x:v>
      </x:c>
      <x:c r="H41" s="118" t="str">
        <x:v>药品销售同比 | 剔除许可后的核心利润 | 毛利率 | 经营现金流 | 狭义净现金 | 707 随机 III 期及里程碑 | 蔓迪分拆比例与记录日 | 回购、分红及并购回报</x:v>
      </x:c>
      <x:c r="I41" s="118" t="str">
        <x:v>药品销售同比 | 剔除许可后的核心利润 | 毛利率 | 经营现金流 | 狭义净现金 | 707 随机 III 期及里程碑 | 蔓迪分拆比例与记录日 | 回购、分红及并购回报</x:v>
      </x:c>
      <x:c r="J41" s="118" t="str">
        <x:v>药品销售同比 | 剔除许可后的核心利润 | 毛利率 | 经营现金流 | 狭义净现金 | 707 随机 III 期及里程碑 | 蔓迪分拆比例与记录日 | 回购、分红及并购回报</x:v>
      </x:c>
      <x:c r="K41" s="118" t="str">
        <x:v>药品销售同比 | 剔除许可后的核心利润 | 毛利率 | 经营现金流 | 狭义净现金 | 707 随机 III 期及里程碑 | 蔓迪分拆比例与记录日 | 回购、分红及并购回报</x:v>
      </x:c>
      <x:c r="L41" s="118" t="str">
        <x:v>药品销售同比 | 剔除许可后的核心利润 | 毛利率 | 经营现金流 | 狭义净现金 | 707 随机 III 期及里程碑 | 蔓迪分拆比例与记录日 | 回购、分红及并购回报</x:v>
      </x:c>
    </x:row>
    <x:row r="42">
      <x:c r="A42" s="118" t="str">
        <x:v>药品销售同比 | 剔除许可后的核心利润 | 毛利率 | 经营现金流 | 狭义净现金 | 707 随机 III 期及里程碑 | 蔓迪分拆比例与记录日 | 回购、分红及并购回报</x:v>
      </x:c>
      <x:c r="B42" s="118" t="str">
        <x:v>药品销售同比 | 剔除许可后的核心利润 | 毛利率 | 经营现金流 | 狭义净现金 | 707 随机 III 期及里程碑 | 蔓迪分拆比例与记录日 | 回购、分红及并购回报</x:v>
      </x:c>
      <x:c r="C42" s="118" t="str">
        <x:v>药品销售同比 | 剔除许可后的核心利润 | 毛利率 | 经营现金流 | 狭义净现金 | 707 随机 III 期及里程碑 | 蔓迪分拆比例与记录日 | 回购、分红及并购回报</x:v>
      </x:c>
      <x:c r="D42" s="118" t="str">
        <x:v>药品销售同比 | 剔除许可后的核心利润 | 毛利率 | 经营现金流 | 狭义净现金 | 707 随机 III 期及里程碑 | 蔓迪分拆比例与记录日 | 回购、分红及并购回报</x:v>
      </x:c>
      <x:c r="E42" s="118" t="str">
        <x:v>药品销售同比 | 剔除许可后的核心利润 | 毛利率 | 经营现金流 | 狭义净现金 | 707 随机 III 期及里程碑 | 蔓迪分拆比例与记录日 | 回购、分红及并购回报</x:v>
      </x:c>
      <x:c r="F42" s="118" t="str">
        <x:v>药品销售同比 | 剔除许可后的核心利润 | 毛利率 | 经营现金流 | 狭义净现金 | 707 随机 III 期及里程碑 | 蔓迪分拆比例与记录日 | 回购、分红及并购回报</x:v>
      </x:c>
      <x:c r="G42" s="118" t="str">
        <x:v>药品销售同比 | 剔除许可后的核心利润 | 毛利率 | 经营现金流 | 狭义净现金 | 707 随机 III 期及里程碑 | 蔓迪分拆比例与记录日 | 回购、分红及并购回报</x:v>
      </x:c>
      <x:c r="H42" s="118" t="str">
        <x:v>药品销售同比 | 剔除许可后的核心利润 | 毛利率 | 经营现金流 | 狭义净现金 | 707 随机 III 期及里程碑 | 蔓迪分拆比例与记录日 | 回购、分红及并购回报</x:v>
      </x:c>
      <x:c r="I42" s="118" t="str">
        <x:v>药品销售同比 | 剔除许可后的核心利润 | 毛利率 | 经营现金流 | 狭义净现金 | 707 随机 III 期及里程碑 | 蔓迪分拆比例与记录日 | 回购、分红及并购回报</x:v>
      </x:c>
      <x:c r="J42" s="118" t="str">
        <x:v>药品销售同比 | 剔除许可后的核心利润 | 毛利率 | 经营现金流 | 狭义净现金 | 707 随机 III 期及里程碑 | 蔓迪分拆比例与记录日 | 回购、分红及并购回报</x:v>
      </x:c>
      <x:c r="K42" s="118" t="str">
        <x:v>药品销售同比 | 剔除许可后的核心利润 | 毛利率 | 经营现金流 | 狭义净现金 | 707 随机 III 期及里程碑 | 蔓迪分拆比例与记录日 | 回购、分红及并购回报</x:v>
      </x:c>
      <x:c r="L42" s="118" t="str">
        <x:v>药品销售同比 | 剔除许可后的核心利润 | 毛利率 | 经营现金流 | 狭义净现金 | 707 随机 III 期及里程碑 | 蔓迪分拆比例与记录日 | 回购、分红及并购回报</x:v>
      </x:c>
    </x:row>
    <x:row r="44">
      <x:c r="A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B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C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D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E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F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G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H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I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J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K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L44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</x:row>
    <x:row r="45">
      <x:c r="A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B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C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D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E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F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G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H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I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J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K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  <x:c r="L45" s="121" t="str">
        <x:v>免责声明：本模型用于研究和情景分析，不构成投资建议。蓝色为研究假设，绿色为同工作簿链接，黑色为公式。707 rNPV 和核心利润为分析假设，非公司指引或一致预期。</x:v>
      </x:c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F8"/>
    <x:mergeCell ref="A9:F13"/>
    <x:mergeCell ref="G8:L8"/>
    <x:mergeCell ref="G9:L13"/>
    <x:mergeCell ref="A15:F15"/>
    <x:mergeCell ref="G15:L15"/>
    <x:mergeCell ref="A39:L39"/>
    <x:mergeCell ref="A40:L42"/>
    <x:mergeCell ref="A44:L45"/>
  </x:mergeCells>
  <x:pageMargins left="0.7" right="0.7" top="0.75" bottom="0.75" header="0.3" footer="0.3"/>
  <x:drawing xmlns:r="http://schemas.openxmlformats.org/officeDocument/2006/relationships" r:id="Ref3570529a44442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 ht="34" customHeight="1">
      <x:c r="A1" s="4" t="str">
        <x:v>Historical Financials (RMB mn)</x:v>
      </x:c>
      <x:c r="B1" s="4" t="str">
        <x:v>Historical Financials (RMB mn)</x:v>
      </x:c>
      <x:c r="C1" s="4" t="str">
        <x:v>Historical Financials (RMB mn)</x:v>
      </x:c>
      <x:c r="D1" s="4" t="str">
        <x:v>Historical Financials (RMB mn)</x:v>
      </x:c>
      <x:c r="E1" s="4" t="str">
        <x:v>Historical Financials (RMB mn)</x:v>
      </x:c>
      <x:c r="F1" s="4" t="str">
        <x:v>Historical Financials (RMB mn)</x:v>
      </x:c>
      <x:c r="G1" s="4" t="str">
        <x:v>Historical Financials (RMB mn)</x:v>
      </x:c>
    </x:row>
    <x:row r="2">
      <x:c r="A2" s="28" t="str">
        <x:v>来源：S3 2025 年报</x:v>
      </x:c>
      <x:c r="B2" s="28"/>
      <x:c r="C2" s="28"/>
      <x:c r="D2" s="28"/>
      <x:c r="E2" s="28"/>
      <x:c r="F2" s="28"/>
      <x:c r="G2" s="28"/>
    </x:row>
    <x:row r="4">
      <x:c r="A4" s="13" t="str">
        <x:v>指标</x:v>
      </x:c>
      <x:c r="B4" s="14" t="n">
        <x:v>2021</x:v>
      </x:c>
      <x:c r="C4" s="14" t="n">
        <x:v>2022</x:v>
      </x:c>
      <x:c r="D4" s="14" t="n">
        <x:v>2023</x:v>
      </x:c>
      <x:c r="E4" s="14" t="n">
        <x:v>2024</x:v>
      </x:c>
      <x:c r="F4" s="14" t="n">
        <x:v>2025</x:v>
      </x:c>
      <x:c r="G4" s="15" t="str">
        <x:v>2021-25 CAGR</x:v>
      </x:c>
    </x:row>
    <x:row r="5">
      <x:c r="A5" s="40" t="str">
        <x:v>收入</x:v>
      </x:c>
      <x:c r="B5" s="41" t="n">
        <x:v>6382.009</x:v>
      </x:c>
      <x:c r="C5" s="41" t="n">
        <x:v>6865.735</x:v>
      </x:c>
      <x:c r="D5" s="41" t="n">
        <x:v>7815.938</x:v>
      </x:c>
      <x:c r="E5" s="41" t="n">
        <x:v>9107.978</x:v>
      </x:c>
      <x:c r="F5" s="41" t="n">
        <x:v>17695.749</x:v>
      </x:c>
      <x:c r="G5" s="42" t="n">
        <x:f>(F5/B5)^(1/4)-1</x:f>
        <x:v>0.2904104883674372</x:v>
      </x:c>
    </x:row>
    <x:row r="6">
      <x:c r="A6" s="40" t="str">
        <x:v>毛利</x:v>
      </x:c>
      <x:c r="B6" s="41" t="n">
        <x:v>5275.723</x:v>
      </x:c>
      <x:c r="C6" s="41" t="n">
        <x:v>5671.574</x:v>
      </x:c>
      <x:c r="D6" s="41" t="n">
        <x:v>6641.64</x:v>
      </x:c>
      <x:c r="E6" s="41" t="n">
        <x:v>7828.376</x:v>
      </x:c>
      <x:c r="F6" s="41" t="n">
        <x:v>16347.313</x:v>
      </x:c>
      <x:c r="G6" s="42" t="n">
        <x:f>(F6/B6)^(1/4)-1</x:f>
        <x:v>0.3267561159485033</x:v>
      </x:c>
    </x:row>
    <x:row r="7">
      <x:c r="A7" t="str">
        <x:v>毛利率</x:v>
      </x:c>
      <x:c r="B7" s="33" t="n">
        <x:f>B6/B5</x:f>
        <x:v>0.8266555249295323</x:v>
      </x:c>
      <x:c r="C7" s="33" t="n">
        <x:f>C6/C5</x:f>
        <x:v>0.8260694594242277</x:v>
      </x:c>
      <x:c r="D7" s="33" t="n">
        <x:f>D6/D5</x:f>
        <x:v>0.8497559729875033</x:v>
      </x:c>
      <x:c r="E7" s="33" t="n">
        <x:f>E6/E5</x:f>
        <x:v>0.8595075657846342</x:v>
      </x:c>
      <x:c r="F7" s="33" t="n">
        <x:f>F6/F5</x:f>
        <x:v>0.9237988739555472</x:v>
      </x:c>
      <x:c r="G7" s="32" t="n">
        <x:f>F7-B7</x:f>
        <x:v>0.09714334902601485</x:v>
      </x:c>
    </x:row>
    <x:row r="8">
      <x:c r="A8" t="str">
        <x:v>研发费用</x:v>
      </x:c>
      <x:c r="B8" s="31" t="n">
        <x:v>753.872</x:v>
      </x:c>
      <x:c r="C8" s="31" t="n">
        <x:v>693.813</x:v>
      </x:c>
      <x:c r="D8" s="31" t="n">
        <x:v>794.794</x:v>
      </x:c>
      <x:c r="E8" s="31" t="n">
        <x:v>1326.53</x:v>
      </x:c>
      <x:c r="F8" s="31" t="n">
        <x:v>1520.356</x:v>
      </x:c>
      <x:c r="G8" s="32" t="n">
        <x:f>(F8/B8)^(1/4)-1</x:f>
        <x:v>0.19168622645910305</x:v>
      </x:c>
    </x:row>
    <x:row r="9">
      <x:c r="A9" t="str">
        <x:v>研发费用率</x:v>
      </x:c>
      <x:c r="B9" s="33" t="n">
        <x:f>B8/B5</x:f>
        <x:v>0.11812455921011705</x:v>
      </x:c>
      <x:c r="C9" s="33" t="n">
        <x:f>C8/C5</x:f>
        <x:v>0.10105443918240363</x:v>
      </x:c>
      <x:c r="D9" s="33" t="n">
        <x:f>D8/D5</x:f>
        <x:v>0.10168888238366271</x:v>
      </x:c>
      <x:c r="E9" s="33" t="n">
        <x:f>E8/E5</x:f>
        <x:v>0.1456448401610105</x:v>
      </x:c>
      <x:c r="F9" s="33" t="n">
        <x:f>F8/F5</x:f>
        <x:v>0.08591645372004315</x:v>
      </x:c>
      <x:c r="G9" s="32" t="n">
        <x:f>F9-B9</x:f>
        <x:v>-0.0322081054900739</x:v>
      </x:c>
    </x:row>
    <x:row r="10">
      <x:c r="A10" s="40" t="str">
        <x:v>EBITDA</x:v>
      </x:c>
      <x:c r="B10" s="41" t="n">
        <x:v>2174.961</x:v>
      </x:c>
      <x:c r="C10" s="41" t="n">
        <x:v>2615.078</x:v>
      </x:c>
      <x:c r="D10" s="41" t="n">
        <x:v>2389.093</x:v>
      </x:c>
      <x:c r="E10" s="41" t="n">
        <x:v>3173.772</x:v>
      </x:c>
      <x:c r="F10" s="41" t="n">
        <x:v>11063.35</x:v>
      </x:c>
      <x:c r="G10" s="42" t="n">
        <x:f>(F10/B10)^(1/4)-1</x:f>
        <x:v>0.5017885696411459</x:v>
      </x:c>
    </x:row>
    <x:row r="11">
      <x:c r="A11" s="40" t="str">
        <x:v>调整后 EBITDA</x:v>
      </x:c>
      <x:c r="B11" s="41" t="n">
        <x:v>2190.25</x:v>
      </x:c>
      <x:c r="C11" s="41" t="n">
        <x:v>2303.777</x:v>
      </x:c>
      <x:c r="D11" s="41" t="n">
        <x:v>2768.353</x:v>
      </x:c>
      <x:c r="E11" s="41" t="n">
        <x:v>3402.296</x:v>
      </x:c>
      <x:c r="F11" s="41" t="n">
        <x:v>11035.43</x:v>
      </x:c>
      <x:c r="G11" s="42" t="n">
        <x:f>(F11/B11)^(1/4)-1</x:f>
        <x:v>0.4982141442665906</x:v>
      </x:c>
    </x:row>
    <x:row r="12">
      <x:c r="A12" s="40" t="str">
        <x:v>归母净利润</x:v>
      </x:c>
      <x:c r="B12" s="41" t="n">
        <x:v>1651.247</x:v>
      </x:c>
      <x:c r="C12" s="41" t="n">
        <x:v>1915.727</x:v>
      </x:c>
      <x:c r="D12" s="41" t="n">
        <x:v>1549.239</x:v>
      </x:c>
      <x:c r="E12" s="41" t="n">
        <x:v>2090.32</x:v>
      </x:c>
      <x:c r="F12" s="41" t="n">
        <x:v>8482.164</x:v>
      </x:c>
      <x:c r="G12" s="42" t="n">
        <x:f>(F12/B12)^(1/4)-1</x:f>
        <x:v>0.5054753740311007</x:v>
      </x:c>
    </x:row>
    <x:row r="13">
      <x:c r="A13" s="40" t="str">
        <x:v>调整后归母净利润</x:v>
      </x:c>
      <x:c r="B13" s="41" t="n">
        <x:v>1726.95</x:v>
      </x:c>
      <x:c r="C13" s="41" t="n">
        <x:v>1659.075</x:v>
      </x:c>
      <x:c r="D13" s="41" t="n">
        <x:v>1952.384</x:v>
      </x:c>
      <x:c r="E13" s="41" t="n">
        <x:v>2318.844</x:v>
      </x:c>
      <x:c r="F13" s="41" t="n">
        <x:v>8454.244</x:v>
      </x:c>
      <x:c r="G13" s="42" t="n">
        <x:f>(F13/B13)^(1/4)-1</x:f>
        <x:v>0.4874718430997098</x:v>
      </x:c>
    </x:row>
    <x:row r="14">
      <x:c r="A14" s="40" t="str">
        <x:v>经营现金流</x:v>
      </x:c>
      <x:c r="B14" s="41" t="n">
        <x:v>1578.345</x:v>
      </x:c>
      <x:c r="C14" s="41" t="n">
        <x:v>2134.263</x:v>
      </x:c>
      <x:c r="D14" s="41" t="n">
        <x:v>2082.857</x:v>
      </x:c>
      <x:c r="E14" s="41" t="n">
        <x:v>3201.258</x:v>
      </x:c>
      <x:c r="F14" s="41" t="n">
        <x:v>9668.867</x:v>
      </x:c>
      <x:c r="G14" s="42" t="n">
        <x:f>(F14/B14)^(1/4)-1</x:f>
        <x:v>0.5732343197709697</x:v>
      </x:c>
    </x:row>
    <x:row r="15">
      <x:c r="A15" t="str">
        <x:v>经营现金流/调整后净利润</x:v>
      </x:c>
      <x:c r="B15" s="33" t="n">
        <x:f>B14/B13</x:f>
        <x:v>0.9139494484495787</x:v>
      </x:c>
      <x:c r="C15" s="33" t="n">
        <x:f>C14/C13</x:f>
        <x:v>1.286417431400027</x:v>
      </x:c>
      <x:c r="D15" s="33" t="n">
        <x:f>D14/D13</x:f>
        <x:v>1.0668275298301972</x:v>
      </x:c>
      <x:c r="E15" s="33" t="n">
        <x:f>E14/E13</x:f>
        <x:v>1.3805404762027975</x:v>
      </x:c>
      <x:c r="F15" s="33" t="n">
        <x:f>F14/F13</x:f>
        <x:v>1.1436702087141084</x:v>
      </x:c>
      <x:c r="G15" s="32" t="n">
        <x:f>F15-B15</x:f>
        <x:v>0.2297207602645297</x:v>
      </x:c>
    </x:row>
    <x:row r="16">
      <x:c r="A16" s="40" t="str">
        <x:v>总资产</x:v>
      </x:c>
      <x:c r="B16" s="41" t="n">
        <x:v>19212.575</x:v>
      </x:c>
      <x:c r="C16" s="41" t="n">
        <x:v>22008.962</x:v>
      </x:c>
      <x:c r="D16" s="41" t="n">
        <x:v>23625.028</x:v>
      </x:c>
      <x:c r="E16" s="41" t="n">
        <x:v>24212.74</x:v>
      </x:c>
      <x:c r="F16" s="41" t="n">
        <x:v>36250.338</x:v>
      </x:c>
      <x:c r="G16" s="42" t="n">
        <x:f>(F16/B16)^(1/4)-1</x:f>
        <x:v>0.1720108200155468</x:v>
      </x:c>
    </x:row>
    <x:row r="17">
      <x:c r="A17" s="40" t="str">
        <x:v>总负债</x:v>
      </x:c>
      <x:c r="B17" s="41" t="n">
        <x:v>4554.778</x:v>
      </x:c>
      <x:c r="C17" s="41" t="n">
        <x:v>6645.381</x:v>
      </x:c>
      <x:c r="D17" s="41" t="n">
        <x:v>7111.428</x:v>
      </x:c>
      <x:c r="E17" s="41" t="n">
        <x:v>6176.41</x:v>
      </x:c>
      <x:c r="F17" s="41" t="n">
        <x:v>5814.179</x:v>
      </x:c>
      <x:c r="G17" s="42" t="n">
        <x:f>(F17/B17)^(1/4)-1</x:f>
        <x:v>0.06293154503189347</x:v>
      </x:c>
    </x:row>
    <x:row r="18">
      <x:c r="A18" s="40" t="str">
        <x:v>总权益</x:v>
      </x:c>
      <x:c r="B18" s="41" t="n">
        <x:v>14657.797</x:v>
      </x:c>
      <x:c r="C18" s="41" t="n">
        <x:v>15363.581</x:v>
      </x:c>
      <x:c r="D18" s="41" t="n">
        <x:v>16513.6</x:v>
      </x:c>
      <x:c r="E18" s="41" t="n">
        <x:v>18036.33</x:v>
      </x:c>
      <x:c r="F18" s="41" t="n">
        <x:v>30436.159</x:v>
      </x:c>
      <x:c r="G18" s="42" t="n">
        <x:f>(F18/B18)^(1/4)-1</x:f>
        <x:v>0.2004118815357645</x:v>
      </x:c>
    </x:row>
    <x:row r="19">
      <x:c r="A19" t="str">
        <x:v>负债率</x:v>
      </x:c>
      <x:c r="B19" s="33" t="n">
        <x:v>0.179</x:v>
      </x:c>
      <x:c r="C19" s="33" t="n">
        <x:v>0.294</x:v>
      </x:c>
      <x:c r="D19" s="33" t="n">
        <x:v>0.293</x:v>
      </x:c>
      <x:c r="E19" s="33" t="n">
        <x:v>0.197</x:v>
      </x:c>
      <x:c r="F19" s="33" t="n">
        <x:v>0.098</x:v>
      </x:c>
      <x:c r="G19" s="32" t="n">
        <x:f>F19-B19</x:f>
        <x:v>-0.08099999999999999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7" hidden="0" customWidth="1"/>
    <x:col min="5" max="5" width="16" hidden="0" customWidth="1"/>
    <x:col min="6" max="6" width="16" hidden="0" customWidth="1"/>
  </x:cols>
  <x:sheetData>
    <x:row r="1" ht="34" customHeight="1">
      <x:c r="A1" s="4" t="str">
        <x:v>2026H1 Earnings Quality Bridge (RMB mn)</x:v>
      </x:c>
      <x:c r="B1" s="4" t="str">
        <x:v>2026H1 Earnings Quality Bridge (RMB mn)</x:v>
      </x:c>
      <x:c r="C1" s="4" t="str">
        <x:v>2026H1 Earnings Quality Bridge (RMB mn)</x:v>
      </x:c>
      <x:c r="D1" s="4" t="str">
        <x:v>2026H1 Earnings Quality Bridge (RMB mn)</x:v>
      </x:c>
      <x:c r="E1" s="4" t="str">
        <x:v>2026H1 Earnings Quality Bridge (RMB mn)</x:v>
      </x:c>
      <x:c r="F1" s="4" t="str">
        <x:v>2026H1 Earnings Quality Bridge (RMB mn)</x:v>
      </x:c>
    </x:row>
    <x:row r="3" ht="22" customHeight="1">
      <x:c r="A3" s="45" t="str">
        <x:v>Revenue mix</x:v>
      </x:c>
      <x:c r="B3" s="45" t="str">
        <x:v>Revenue mix</x:v>
      </x:c>
      <x:c r="C3" s="45" t="str">
        <x:v>Revenue mix</x:v>
      </x:c>
      <x:c r="D3" s="45" t="str">
        <x:v>Revenue mix</x:v>
      </x:c>
      <x:c r="E3" s="45" t="str">
        <x:v>Revenue mix</x:v>
      </x:c>
      <x:c r="F3" s="45" t="str">
        <x:v>Revenue mix</x:v>
      </x:c>
    </x:row>
    <x:row r="4">
      <x:c r="A4" s="13" t="str">
        <x:v>收入来源</x:v>
      </x:c>
      <x:c r="B4" s="14" t="str">
        <x:v>2025H1</x:v>
      </x:c>
      <x:c r="C4" s="14" t="str">
        <x:v>2026H1</x:v>
      </x:c>
      <x:c r="D4" s="14" t="str">
        <x:v>同比</x:v>
      </x:c>
      <x:c r="E4" s="14" t="str">
        <x:v>2025H1 占比</x:v>
      </x:c>
      <x:c r="F4" s="15" t="str">
        <x:v>2026H1 占比</x:v>
      </x:c>
    </x:row>
    <x:row r="5">
      <x:c r="A5" t="str">
        <x:v>药品销售</x:v>
      </x:c>
      <x:c r="B5" s="31" t="n">
        <x:v>4266.79</x:v>
      </x:c>
      <x:c r="C5" s="31" t="n">
        <x:v>3443.021</x:v>
      </x:c>
      <x:c r="D5" s="46" t="n">
        <x:f>C5/B5-1</x:f>
        <x:v>-0.1930652785817909</x:v>
      </x:c>
      <x:c r="E5" s="32" t="n">
        <x:f>B5/B$8</x:f>
        <x:v>0.979636022165155</x:v>
      </x:c>
      <x:c r="F5" s="32" t="n">
        <x:f>C5/C$8</x:f>
        <x:v>0.7607230249326943</x:v>
      </x:c>
    </x:row>
    <x:row r="6">
      <x:c r="A6" t="str">
        <x:v>授权收入</x:v>
      </x:c>
      <x:c r="B6" s="31" t="n">
        <x:v>0</x:v>
      </x:c>
      <x:c r="C6" s="31" t="n">
        <x:v>851.584</x:v>
      </x:c>
      <x:c r="D6" s="46" t="str">
        <x:v>N/M</x:v>
      </x:c>
      <x:c r="E6" s="32" t="n">
        <x:f>B6/B$8</x:f>
        <x:v>0</x:v>
      </x:c>
      <x:c r="F6" s="32" t="n">
        <x:f>C6/C$8</x:f>
        <x:v>0.18815440174901155</x:v>
      </x:c>
    </x:row>
    <x:row r="7">
      <x:c r="A7" t="str">
        <x:v>CDMO</x:v>
      </x:c>
      <x:c r="B7" s="31" t="n">
        <x:v>88.695</x:v>
      </x:c>
      <x:c r="C7" s="31" t="n">
        <x:v>231.38</x:v>
      </x:c>
      <x:c r="D7" s="46" t="n">
        <x:f>C7/B7-1</x:f>
        <x:v>1.608715260161227</x:v>
      </x:c>
      <x:c r="E7" s="32" t="n">
        <x:f>B7/B$8</x:f>
        <x:v>0.02036397783484503</x:v>
      </x:c>
      <x:c r="F7" s="32" t="n">
        <x:f>C7/C$8</x:f>
        <x:v>0.05112257331829425</x:v>
      </x:c>
    </x:row>
    <x:row r="8">
      <x:c r="A8" s="40" t="str">
        <x:v>总收入</x:v>
      </x:c>
      <x:c r="B8" s="41" t="n">
        <x:v>4355.485</x:v>
      </x:c>
      <x:c r="C8" s="41" t="n">
        <x:v>4525.985</x:v>
      </x:c>
      <x:c r="D8" s="49" t="n">
        <x:f>C8/B8-1</x:f>
        <x:v>0.039146042289205374</x:v>
      </x:c>
      <x:c r="E8" s="42" t="n">
        <x:f>SUM(E5:E7)</x:f>
        <x:v>1</x:v>
      </x:c>
      <x:c r="F8" s="42" t="n">
        <x:f>SUM(F5:F7)</x:f>
        <x:v>1</x:v>
      </x:c>
    </x:row>
    <x:row r="10" ht="22" customHeight="1">
      <x:c r="A10" s="45" t="str">
        <x:v>Profit and cash conversion</x:v>
      </x:c>
      <x:c r="B10" s="45" t="str">
        <x:v>Profit and cash conversion</x:v>
      </x:c>
      <x:c r="C10" s="45" t="str">
        <x:v>Profit and cash conversion</x:v>
      </x:c>
      <x:c r="D10" s="45" t="str">
        <x:v>Profit and cash conversion</x:v>
      </x:c>
      <x:c r="E10" s="45" t="str">
        <x:v>Profit and cash conversion</x:v>
      </x:c>
      <x:c r="F10" s="45" t="str">
        <x:v>Profit and cash conversion</x:v>
      </x:c>
    </x:row>
    <x:row r="11">
      <x:c r="A11" s="13" t="str">
        <x:v>指标</x:v>
      </x:c>
      <x:c r="B11" s="14" t="str">
        <x:v>2025H1</x:v>
      </x:c>
      <x:c r="C11" s="14" t="str">
        <x:v>2026H1</x:v>
      </x:c>
      <x:c r="D11" s="15" t="str">
        <x:v>同比/变化</x:v>
      </x:c>
    </x:row>
    <x:row r="12">
      <x:c r="A12" s="40" t="str">
        <x:v>毛利</x:v>
      </x:c>
      <x:c r="B12" s="41" t="n">
        <x:v>3715.805</x:v>
      </x:c>
      <x:c r="C12" s="41" t="n">
        <x:v>3794.587</x:v>
      </x:c>
      <x:c r="D12" s="42" t="n">
        <x:f>IF(B12=0,"",C12/B12-1)</x:f>
        <x:v>0.021201866082854126</x:v>
      </x:c>
    </x:row>
    <x:row r="13">
      <x:c r="A13" t="str">
        <x:v>毛利率</x:v>
      </x:c>
      <x:c r="B13" s="33" t="n">
        <x:v>0.853</x:v>
      </x:c>
      <x:c r="C13" s="33" t="n">
        <x:v>0.838</x:v>
      </x:c>
      <x:c r="D13" s="51" t="n">
        <x:f>C13-B13</x:f>
        <x:v>-0.015000000000000013</x:v>
      </x:c>
    </x:row>
    <x:row r="14">
      <x:c r="A14" t="str">
        <x:v>销售费用</x:v>
      </x:c>
      <x:c r="B14" s="31" t="n">
        <x:v>1615.934</x:v>
      </x:c>
      <x:c r="C14" s="31" t="n">
        <x:v>1206.725</x:v>
      </x:c>
      <x:c r="D14" s="51" t="n">
        <x:f>IF(B14=0,"",C14/B14-1)</x:f>
        <x:v>-0.2532337335559497</x:v>
      </x:c>
    </x:row>
    <x:row r="15">
      <x:c r="A15" t="str">
        <x:v>销售费用率</x:v>
      </x:c>
      <x:c r="B15" s="33" t="n">
        <x:f>B14/B$8</x:f>
        <x:v>0.3710112651059526</x:v>
      </x:c>
      <x:c r="C15" s="33" t="n">
        <x:f>C14/C$8</x:f>
        <x:v>0.26662151995642935</x:v>
      </x:c>
      <x:c r="D15" s="51" t="n">
        <x:f>C15-B15</x:f>
        <x:v>-0.10438974514952326</x:v>
      </x:c>
    </x:row>
    <x:row r="16">
      <x:c r="A16" t="str">
        <x:v>管理费用</x:v>
      </x:c>
      <x:c r="B16" s="31" t="n">
        <x:v>283.402</x:v>
      </x:c>
      <x:c r="C16" s="31" t="n">
        <x:v>267.813</x:v>
      </x:c>
      <x:c r="D16" s="51" t="n">
        <x:f>IF(B16=0,"",C16/B16-1)</x:f>
        <x:v>-0.05500666897199036</x:v>
      </x:c>
    </x:row>
    <x:row r="17">
      <x:c r="A17" t="str">
        <x:v>研发费用</x:v>
      </x:c>
      <x:c r="B17" s="31" t="n">
        <x:v>547.523</x:v>
      </x:c>
      <x:c r="C17" s="31" t="n">
        <x:v>683.849</x:v>
      </x:c>
      <x:c r="D17" s="51" t="n">
        <x:f>IF(B17=0,"",C17/B17-1)</x:f>
        <x:v>0.2489868005544973</x:v>
      </x:c>
    </x:row>
    <x:row r="18">
      <x:c r="A18" t="str">
        <x:v>研发费用率</x:v>
      </x:c>
      <x:c r="B18" s="33" t="n">
        <x:f>B17/B$8</x:f>
        <x:v>0.12570884757954626</x:v>
      </x:c>
      <x:c r="C18" s="33" t="n">
        <x:f>C17/C$8</x:f>
        <x:v>0.15109396076213247</x:v>
      </x:c>
      <x:c r="D18" s="51" t="n">
        <x:f>C18-B18</x:f>
        <x:v>0.02538511318258621</x:v>
      </x:c>
    </x:row>
    <x:row r="19">
      <x:c r="A19" t="str">
        <x:v>归母净利润</x:v>
      </x:c>
      <x:c r="B19" s="31" t="n">
        <x:v>1358.204</x:v>
      </x:c>
      <x:c r="C19" s="31" t="n">
        <x:v>1146.595</x:v>
      </x:c>
      <x:c r="D19" s="51" t="n">
        <x:f>IF(B19=0,"",C19/B19-1)</x:f>
        <x:v>-0.1558006013824138</x:v>
      </x:c>
    </x:row>
    <x:row r="20">
      <x:c r="A20" s="40" t="str">
        <x:v>调整后归母净利润</x:v>
      </x:c>
      <x:c r="B20" s="41" t="n">
        <x:v>1135.8</x:v>
      </x:c>
      <x:c r="C20" s="41" t="n">
        <x:v>1436.3</x:v>
      </x:c>
      <x:c r="D20" s="42" t="n">
        <x:f>IF(B20=0,"",C20/B20-1)</x:f>
        <x:v>0.26457122732875504</x:v>
      </x:c>
    </x:row>
    <x:row r="21">
      <x:c r="A21" s="40" t="str">
        <x:v>经营现金流</x:v>
      </x:c>
      <x:c r="B21" s="41" t="n">
        <x:v>969.6</x:v>
      </x:c>
      <x:c r="C21" s="41" t="n">
        <x:v>899.4</x:v>
      </x:c>
      <x:c r="D21" s="42" t="n">
        <x:f>IF(B21=0,"",C21/B21-1)</x:f>
        <x:v>-0.07240099009900991</x:v>
      </x:c>
    </x:row>
    <x:row r="22">
      <x:c r="A22" t="str">
        <x:v>经营现金流/报告净利润</x:v>
      </x:c>
      <x:c r="B22" s="33" t="n">
        <x:f>B21/B20</x:f>
        <x:v>0.8536714210248284</x:v>
      </x:c>
      <x:c r="C22" s="33" t="n">
        <x:f>C21/C20</x:f>
        <x:v>0.6261922996588456</x:v>
      </x:c>
      <x:c r="D22" s="51" t="n">
        <x:f>C22-B22</x:f>
        <x:v>-0.2274791213659828</x:v>
      </x:c>
    </x:row>
    <x:row r="23">
      <x:c r="A23" t="str">
        <x:v>PPE 新增成本</x:v>
      </x:c>
      <x:c r="B23" s="31" t="n">
        <x:v>167.631</x:v>
      </x:c>
      <x:c r="C23" s="31" t="n">
        <x:v>203.342</x:v>
      </x:c>
      <x:c r="D23" s="51" t="n">
        <x:f>IF(B23=0,"",C23/B23-1)</x:f>
        <x:v>0.21303338881233191</x:v>
      </x:c>
    </x:row>
    <x:row r="24">
      <x:c r="A24" s="40" t="str">
        <x:v>粗略经营现金流-PPE</x:v>
      </x:c>
      <x:c r="B24" s="41" t="n">
        <x:f>B21-B23</x:f>
        <x:v>801.969</x:v>
      </x:c>
      <x:c r="C24" s="41" t="n">
        <x:f>C21-C23</x:f>
        <x:v>696.058</x:v>
      </x:c>
      <x:c r="D24" s="42" t="n">
        <x:f>IF(B24=0,"",C24/B24-1)</x:f>
        <x:v>-0.13206370819819724</x:v>
      </x:c>
    </x:row>
    <x:row r="26" ht="22" customHeight="1">
      <x:c r="A26" s="45" t="str">
        <x:v>Research estimate: adjusted profit excluding license revenue</x:v>
      </x:c>
      <x:c r="B26" s="45" t="str">
        <x:v>Research estimate: adjusted profit excluding license revenue</x:v>
      </x:c>
      <x:c r="C26" s="45" t="str">
        <x:v>Research estimate: adjusted profit excluding license revenue</x:v>
      </x:c>
      <x:c r="D26" s="45" t="str">
        <x:v>Research estimate: adjusted profit excluding license revenue</x:v>
      </x:c>
      <x:c r="E26" s="45" t="str">
        <x:v>Research estimate: adjusted profit excluding license revenue</x:v>
      </x:c>
      <x:c r="F26" s="45" t="str">
        <x:v>Research estimate: adjusted profit excluding license revenue</x:v>
      </x:c>
    </x:row>
    <x:row r="27">
      <x:c r="A27" t="str">
        <x:v>公司调整后归母净利润</x:v>
      </x:c>
      <x:c r="B27" s="31" t="n">
        <x:v>1436.3</x:v>
      </x:c>
      <x:c r="D27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E27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F27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</x:row>
    <x:row r="28">
      <x:c r="A28" t="str">
        <x:v>许可收入</x:v>
      </x:c>
      <x:c r="B28" s="31" t="n">
        <x:v>851.584</x:v>
      </x:c>
      <x:c r="D28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E28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F28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</x:row>
    <x:row r="29">
      <x:c r="A29" t="str">
        <x:v>估计有效税率</x:v>
      </x:c>
      <x:c r="B29" s="32" t="n">
        <x:f>'Assumptions'!B13</x:f>
        <x:v>0.156</x:v>
      </x:c>
      <x:c r="D29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E29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F29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</x:row>
    <x:row r="30">
      <x:c r="A30" t="str">
        <x:v>估计税后许可贡献</x:v>
      </x:c>
      <x:c r="B30" s="53" t="n">
        <x:f>B28*(1-B29)</x:f>
        <x:v>718.7368959999999</x:v>
      </x:c>
      <x:c r="D30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E30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F30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</x:row>
    <x:row r="31">
      <x:c r="A31" s="55" t="str">
        <x:v>推算核心调整后归母净利润</x:v>
      </x:c>
      <x:c r="B31" s="56" t="n">
        <x:f>B27-B30</x:f>
        <x:v>717.5631040000001</x:v>
      </x:c>
      <x:c r="D31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E31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F31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</x:row>
    <x:row r="32">
      <x:c r="A32" s="57" t="str">
        <x:v>推算核心利润简单年化</x:v>
      </x:c>
      <x:c r="B32" s="58" t="n">
        <x:f>B31*2</x:f>
        <x:v>1435.1262080000001</x:v>
      </x:c>
      <x:c r="D32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E32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  <x:c r="F32" s="62" t="str">
        <x:v>口径提示：公司调整后利润剔除股份支付、公允价值及非经营性汇兑损益，但不剔除许可收入。此处按报告期有效税率粗略估计许可收入税后贡献，未考虑实际税务结构、少数股东和相关成本，仅用于观察核心经营质量。</x:v>
      </x:c>
    </x:row>
  </x:sheetData>
  <x:mergeCells>
    <x:mergeCell ref="A1:F1"/>
    <x:mergeCell ref="A3:F3"/>
    <x:mergeCell ref="A10:F10"/>
    <x:mergeCell ref="A26:F26"/>
    <x:mergeCell ref="D27:F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24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34" customHeight="1">
      <x:c r="A1" s="4" t="str">
        <x:v>Balance Sheet &amp; Liquidity (RMB mn)</x:v>
      </x:c>
      <x:c r="B1" s="4" t="str">
        <x:v>Balance Sheet &amp; Liquidity (RMB mn)</x:v>
      </x:c>
      <x:c r="C1" s="4" t="str">
        <x:v>Balance Sheet &amp; Liquidity (RMB mn)</x:v>
      </x:c>
      <x:c r="D1" s="4" t="str">
        <x:v>Balance Sheet &amp; Liquidity (RMB mn)</x:v>
      </x:c>
      <x:c r="E1" s="4" t="str">
        <x:v>Balance Sheet &amp; Liquidity (RMB mn)</x:v>
      </x:c>
      <x:c r="F1" s="4" t="str">
        <x:v>Balance Sheet &amp; Liquidity (RMB mn)</x:v>
      </x:c>
    </x:row>
    <x:row r="3" ht="22" customHeight="1">
      <x:c r="A3" s="45" t="str">
        <x:v>Reported balance sheet - 2026-06-30</x:v>
      </x:c>
      <x:c r="B3" s="45" t="str">
        <x:v>Reported balance sheet - 2026-06-30</x:v>
      </x:c>
      <x:c r="C3" s="45" t="str">
        <x:v>Reported balance sheet - 2026-06-30</x:v>
      </x:c>
      <x:c r="D3" s="45" t="str">
        <x:v>Foreign-currency deposits</x:v>
      </x:c>
      <x:c r="E3" s="45" t="str">
        <x:v>Foreign-currency deposits</x:v>
      </x:c>
      <x:c r="F3" s="45" t="str">
        <x:v>Foreign-currency deposits</x:v>
      </x:c>
    </x:row>
    <x:row r="4">
      <x:c r="A4" s="13" t="str">
        <x:v>项目</x:v>
      </x:c>
      <x:c r="B4" s="14" t="str">
        <x:v>2026-06-30</x:v>
      </x:c>
      <x:c r="C4" s="15" t="str">
        <x:v>说明</x:v>
      </x:c>
      <x:c r="D4" s="13" t="str">
        <x:v>币种</x:v>
      </x:c>
      <x:c r="E4" s="14" t="str">
        <x:v>原币 mn</x:v>
      </x:c>
      <x:c r="F4" s="15" t="str">
        <x:v>折合 RMB mn</x:v>
      </x:c>
    </x:row>
    <x:row r="5">
      <x:c r="A5" t="str">
        <x:v>现金及现金等价物</x:v>
      </x:c>
      <x:c r="B5" s="31" t="n">
        <x:v>6785.032</x:v>
      </x:c>
      <x:c r="C5" t="str">
        <x:v>S1</x:v>
      </x:c>
      <x:c r="D5" t="str">
        <x:v>USD</x:v>
      </x:c>
      <x:c r="E5" s="31" t="n">
        <x:v>1013.6</x:v>
      </x:c>
      <x:c r="F5" s="31" t="n">
        <x:v>6903.6</x:v>
      </x:c>
    </x:row>
    <x:row r="6">
      <x:c r="A6" t="str">
        <x:v>流动非质押定期存款</x:v>
      </x:c>
      <x:c r="B6" s="31" t="n">
        <x:v>5549.072</x:v>
      </x:c>
      <x:c r="C6" t="str">
        <x:v>S1</x:v>
      </x:c>
      <x:c r="D6" t="str">
        <x:v>HKD</x:v>
      </x:c>
      <x:c r="E6" s="31" t="n">
        <x:v>1466</x:v>
      </x:c>
      <x:c r="F6" s="31" t="n">
        <x:v>1273.4</x:v>
      </x:c>
    </x:row>
    <x:row r="7">
      <x:c r="A7" t="str">
        <x:v>非流动非质押定期存款</x:v>
      </x:c>
      <x:c r="B7" s="31" t="n">
        <x:v>1695.571</x:v>
      </x:c>
      <x:c r="C7" t="str">
        <x:v>S1</x:v>
      </x:c>
      <x:c r="D7" t="str">
        <x:v>EUR</x:v>
      </x:c>
      <x:c r="E7" s="31" t="n">
        <x:v>3.8</x:v>
      </x:c>
      <x:c r="F7" s="31" t="n">
        <x:v>29.4</x:v>
      </x:c>
    </x:row>
    <x:row r="8">
      <x:c r="A8" t="str">
        <x:v>质押存款</x:v>
      </x:c>
      <x:c r="B8" s="31" t="n">
        <x:v>135.127</x:v>
      </x:c>
      <x:c r="C8" t="str">
        <x:v>S1</x:v>
      </x:c>
      <x:c r="D8" t="str">
        <x:v>CHF</x:v>
      </x:c>
      <x:c r="E8" s="31" t="n">
        <x:v>182.4</x:v>
      </x:c>
      <x:c r="F8" s="31" t="n">
        <x:v>1536.3</x:v>
      </x:c>
    </x:row>
    <x:row r="9">
      <x:c r="A9" s="40" t="str">
        <x:v>现金与存款合计</x:v>
      </x:c>
      <x:c r="B9" s="41" t="n">
        <x:f>SUM(B5:B8)</x:f>
        <x:v>14164.802</x:v>
      </x:c>
      <x:c r="C9" s="40" t="str">
        <x:v>计算</x:v>
      </x:c>
    </x:row>
    <x:row r="10">
      <x:c r="A10" t="str">
        <x:v>流动公允价值金融资产</x:v>
      </x:c>
      <x:c r="B10" s="31" t="n">
        <x:v>5126.837</x:v>
      </x:c>
      <x:c r="C10" t="str">
        <x:v>主要含银行理财</x:v>
      </x:c>
      <x:c r="D10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E10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F10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</x:row>
    <x:row r="11">
      <x:c r="A11" t="str">
        <x:v>非流动公允价值金融资产</x:v>
      </x:c>
      <x:c r="B11" s="31" t="n">
        <x:v>889.088</x:v>
      </x:c>
      <x:c r="C11" t="str">
        <x:v>股权/基金等</x:v>
      </x:c>
      <x:c r="D11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E11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F11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</x:row>
    <x:row r="12">
      <x:c r="A12" t="str">
        <x:v>衍生金融资产</x:v>
      </x:c>
      <x:c r="B12" s="31" t="n">
        <x:v>58.393</x:v>
      </x:c>
      <x:c r="C12" t="str">
        <x:v>S1</x:v>
      </x:c>
      <x:c r="D12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E12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F12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</x:row>
    <x:row r="13">
      <x:c r="A13" t="str">
        <x:v>贸易及票据应收款</x:v>
      </x:c>
      <x:c r="B13" s="31" t="n">
        <x:v>1150.891</x:v>
      </x:c>
      <x:c r="C13" t="str">
        <x:v>S1</x:v>
      </x:c>
      <x:c r="D13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E13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F13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</x:row>
    <x:row r="14">
      <x:c r="A14" t="str">
        <x:v>存货</x:v>
      </x:c>
      <x:c r="B14" s="31" t="n">
        <x:v>1039.915</x:v>
      </x:c>
      <x:c r="C14" t="str">
        <x:v>S1</x:v>
      </x:c>
      <x:c r="D14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E14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F14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</x:row>
    <x:row r="15">
      <x:c r="A15" t="str">
        <x:v>总流动资产</x:v>
      </x:c>
      <x:c r="B15" s="31" t="n">
        <x:v>20641.471</x:v>
      </x:c>
      <x:c r="C15" t="str">
        <x:v>S1</x:v>
      </x:c>
      <x:c r="D15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E15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  <x:c r="F15" s="62" t="str">
        <x:v>2026H1 非经营性汇兑损失约 RMB503.3mn。流动性很强，但外币存款会使 IFRS 净利润和综合收益产生较大波动。模型对经营估值使用调整后口径，对权益桥仍保留实际资产价值。</x:v>
      </x:c>
    </x:row>
    <x:row r="16">
      <x:c r="A16" t="str">
        <x:v>总资产</x:v>
      </x:c>
      <x:c r="B16" s="31" t="n">
        <x:v>35578.417</x:v>
      </x:c>
      <x:c r="C16" t="str">
        <x:v>S1</x:v>
      </x:c>
    </x:row>
    <x:row r="17">
      <x:c r="A17" t="str">
        <x:v>流动借款</x:v>
      </x:c>
      <x:c r="B17" s="31" t="n">
        <x:v>600.367</x:v>
      </x:c>
      <x:c r="C17" t="str">
        <x:v>S1</x:v>
      </x:c>
    </x:row>
    <x:row r="18">
      <x:c r="A18" t="str">
        <x:v>非流动借款</x:v>
      </x:c>
      <x:c r="B18" s="31" t="n">
        <x:v>720.225</x:v>
      </x:c>
      <x:c r="C18" t="str">
        <x:v>S1</x:v>
      </x:c>
    </x:row>
    <x:row r="19">
      <x:c r="A19" t="str">
        <x:v>租赁负债</x:v>
      </x:c>
      <x:c r="B19" s="31" t="n">
        <x:v>66.566</x:v>
      </x:c>
      <x:c r="C19" t="str">
        <x:v>流动+非流动</x:v>
      </x:c>
    </x:row>
    <x:row r="20">
      <x:c r="A20" t="str">
        <x:v>公允价值金融负债</x:v>
      </x:c>
      <x:c r="B20" s="31" t="n">
        <x:v>361.557</x:v>
      </x:c>
      <x:c r="C20" t="str">
        <x:v>S1</x:v>
      </x:c>
    </x:row>
    <x:row r="21">
      <x:c r="A21" t="str">
        <x:v>衍生金融负债</x:v>
      </x:c>
      <x:c r="B21" s="31" t="n">
        <x:v>16.971</x:v>
      </x:c>
      <x:c r="C21" t="str">
        <x:v>S1</x:v>
      </x:c>
    </x:row>
    <x:row r="22">
      <x:c r="A22" t="str">
        <x:v>总流动负债</x:v>
      </x:c>
      <x:c r="B22" s="31" t="n">
        <x:v>3407.649</x:v>
      </x:c>
      <x:c r="C22" t="str">
        <x:v>S1</x:v>
      </x:c>
    </x:row>
    <x:row r="23">
      <x:c r="A23" t="str">
        <x:v>总非流动负债</x:v>
      </x:c>
      <x:c r="B23" s="31" t="n">
        <x:v>1406.255</x:v>
      </x:c>
      <x:c r="C23" t="str">
        <x:v>S1</x:v>
      </x:c>
    </x:row>
    <x:row r="24">
      <x:c r="A24" s="40" t="str">
        <x:v>总负债</x:v>
      </x:c>
      <x:c r="B24" s="41" t="n">
        <x:f>B22+B23</x:f>
        <x:v>4813.904</x:v>
      </x:c>
      <x:c r="C24" s="40" t="str">
        <x:v>计算</x:v>
      </x:c>
    </x:row>
    <x:row r="25">
      <x:c r="A25" t="str">
        <x:v>归母权益</x:v>
      </x:c>
      <x:c r="B25" s="31" t="n">
        <x:v>27519.1</x:v>
      </x:c>
      <x:c r="C25" t="str">
        <x:v>S1</x:v>
      </x:c>
    </x:row>
    <x:row r="26">
      <x:c r="A26" s="40" t="str">
        <x:v>总权益</x:v>
      </x:c>
      <x:c r="B26" s="41" t="n">
        <x:v>30764.513</x:v>
      </x:c>
      <x:c r="C26" s="40" t="str">
        <x:v>S1</x:v>
      </x:c>
    </x:row>
    <x:row r="28" ht="22" customHeight="1">
      <x:c r="A28" s="45" t="str">
        <x:v>Liquidity calculations</x:v>
      </x:c>
      <x:c r="B28" s="45" t="str">
        <x:v>Liquidity calculations</x:v>
      </x:c>
      <x:c r="C28" s="45" t="str">
        <x:v>Liquidity calculations</x:v>
      </x:c>
      <x:c r="D28" s="45" t="str">
        <x:v>Liquidity calculations</x:v>
      </x:c>
      <x:c r="E28" s="45" t="str">
        <x:v>Liquidity calculations</x:v>
      </x:c>
      <x:c r="F28" s="45" t="str">
        <x:v>Liquidity calculations</x:v>
      </x:c>
    </x:row>
    <x:row r="29">
      <x:c r="A29" s="55" t="str">
        <x:v>狭义净现金</x:v>
      </x:c>
      <x:c r="B29" s="56" t="n">
        <x:f>B9-SUM(B17:B19)</x:f>
        <x:v>12777.644</x:v>
      </x:c>
    </x:row>
    <x:row r="30">
      <x:c r="A30" s="37" t="str">
        <x:v>扣除 FV 负债的严格净现金</x:v>
      </x:c>
      <x:c r="B30" s="38" t="n">
        <x:f>B29-B20-B21</x:f>
        <x:v>12399.116</x:v>
      </x:c>
    </x:row>
    <x:row r="31">
      <x:c r="A31" s="37" t="str">
        <x:v>类现金金融资产</x:v>
      </x:c>
      <x:c r="B31" s="38" t="n">
        <x:f>B10+B12</x:f>
        <x:v>5185.2300000000005</x:v>
      </x:c>
    </x:row>
    <x:row r="32">
      <x:c r="A32" s="57" t="str">
        <x:v>经济流动金融资源净额</x:v>
      </x:c>
      <x:c r="B32" s="58" t="n">
        <x:f>B29+B31-B20-B21</x:f>
        <x:v>17584.345999999998</x:v>
      </x:c>
    </x:row>
    <x:row r="33">
      <x:c r="A33" t="str">
        <x:v>净现金/归母权益</x:v>
      </x:c>
      <x:c r="B33" s="32" t="n">
        <x:f>B29/B25</x:f>
        <x:v>0.46431910927319575</x:v>
      </x:c>
    </x:row>
    <x:row r="34">
      <x:c r="A34" t="str">
        <x:v>流动比率</x:v>
      </x:c>
      <x:c r="B34" s="63" t="n">
        <x:f>B15/B22</x:f>
        <x:v>6.057393528500149</x:v>
      </x:c>
    </x:row>
    <x:row r="35">
      <x:c r="A35" t="str">
        <x:v>资本承诺</x:v>
      </x:c>
      <x:c r="B35" s="31" t="n">
        <x:v>328.4</x:v>
      </x:c>
    </x:row>
    <x:row r="36">
      <x:c r="A36" t="str">
        <x:v>未来三年计划资本开支中值</x:v>
      </x:c>
      <x:c r="B36" s="31" t="n">
        <x:v>1100</x:v>
      </x:c>
    </x:row>
  </x:sheetData>
  <x:mergeCells>
    <x:mergeCell ref="A1:F1"/>
    <x:mergeCell ref="A3:F3"/>
    <x:mergeCell ref="A28:F28"/>
    <x:mergeCell ref="D3:F3"/>
    <x:mergeCell ref="D10:F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46" hidden="0" customWidth="1"/>
  </x:cols>
  <x:sheetData>
    <x:row r="1" ht="34" customHeight="1">
      <x:c r="A1" s="4" t="str">
        <x:v>Valuation Assumptions</x:v>
      </x:c>
      <x:c r="B1" s="4" t="str">
        <x:v>Valuation Assumptions</x:v>
      </x:c>
      <x:c r="C1" s="4" t="str">
        <x:v>Valuation Assumptions</x:v>
      </x:c>
      <x:c r="D1" s="4" t="str">
        <x:v>Valuation Assumptions</x:v>
      </x:c>
      <x:c r="E1" s="4" t="str">
        <x:v>Valuation Assumptions</x:v>
      </x:c>
      <x:c r="F1" s="4" t="str">
        <x:v>Valuation Assumptions</x:v>
      </x:c>
    </x:row>
    <x:row r="2">
      <x:c r="A2" s="64" t="str">
        <x:v>蓝色=可编辑</x:v>
      </x:c>
      <x:c r="B2" s="29" t="str">
        <x:v>绿色=工作簿链接</x:v>
      </x:c>
      <x:c r="C2" s="30" t="str">
        <x:v>黑色=公式</x:v>
      </x:c>
      <x:c r="D2"/>
      <x:c r="E2"/>
      <x:c r="F2"/>
    </x:row>
    <x:row r="4" ht="22" customHeight="1">
      <x:c r="A4" s="45" t="str">
        <x:v>Market and bridge assumptions</x:v>
      </x:c>
      <x:c r="B4" s="45" t="str">
        <x:v>Market and bridge assumptions</x:v>
      </x:c>
      <x:c r="C4" s="45" t="str">
        <x:v>Market and bridge assumptions</x:v>
      </x:c>
      <x:c r="D4" s="45" t="str">
        <x:v>Market and bridge assumptions</x:v>
      </x:c>
      <x:c r="E4" s="45" t="str">
        <x:v>Market and bridge assumptions</x:v>
      </x:c>
      <x:c r="F4" s="45" t="str">
        <x:v>Market and bridge assumptions</x:v>
      </x:c>
    </x:row>
    <x:row r="5">
      <x:c r="A5" s="13" t="str">
        <x:v>假设</x:v>
      </x:c>
      <x:c r="B5" s="14" t="str">
        <x:v>数值</x:v>
      </x:c>
      <x:c r="C5" s="15" t="str">
        <x:v>单位</x:v>
      </x:c>
    </x:row>
    <x:row r="6">
      <x:c r="A6" t="str">
        <x:v>估值日股价</x:v>
      </x:c>
      <x:c r="B6" s="67" t="n">
        <x:v>16.96</x:v>
      </x:c>
      <x:c r="C6" t="str">
        <x:v>HKD/share</x:v>
      </x:c>
    </x:row>
    <x:row r="7">
      <x:c r="A7" t="str">
        <x:v>HKD/RMB</x:v>
      </x:c>
      <x:c r="B7" s="68" t="n">
        <x:v>0.86498</x:v>
      </x:c>
      <x:c r="C7" t="str">
        <x:v>RMB per HKD</x:v>
      </x:c>
    </x:row>
    <x:row r="8">
      <x:c r="A8" t="str">
        <x:v>经济在外股份</x:v>
      </x:c>
      <x:c r="B8" s="69" t="n">
        <x:v>2529.718912</x:v>
      </x:c>
      <x:c r="C8" t="str">
        <x:v>mn shares</x:v>
      </x:c>
    </x:row>
    <x:row r="9">
      <x:c r="A9" t="str">
        <x:v>归母权益</x:v>
      </x:c>
      <x:c r="B9" s="70" t="n">
        <x:f>'Balance Sheet'!B25</x:f>
        <x:v>27519.1</x:v>
      </x:c>
      <x:c r="C9" t="str">
        <x:v>RMB mn</x:v>
      </x:c>
    </x:row>
    <x:row r="10">
      <x:c r="A10" t="str">
        <x:v>狭义净现金</x:v>
      </x:c>
      <x:c r="B10" s="70" t="n">
        <x:f>'Balance Sheet'!B29</x:f>
        <x:v>12777.644</x:v>
      </x:c>
      <x:c r="C10" t="str">
        <x:v>RMB mn</x:v>
      </x:c>
    </x:row>
    <x:row r="11">
      <x:c r="A11" t="str">
        <x:v>人民币市值</x:v>
      </x:c>
      <x:c r="B11" s="71" t="n">
        <x:f>B6*B7*B8</x:f>
        <x:v>37111.13024594985</x:v>
      </x:c>
      <x:c r="C11" t="str">
        <x:v>RMB mn</x:v>
      </x:c>
    </x:row>
    <x:row r="12">
      <x:c r="A12" t="str">
        <x:v>市净率</x:v>
      </x:c>
      <x:c r="B12" s="72" t="n">
        <x:f>B11/B9</x:f>
        <x:v>1.3485590097768405</x:v>
      </x:c>
      <x:c r="C12" t="str">
        <x:v>x</x:v>
      </x:c>
    </x:row>
    <x:row r="13">
      <x:c r="A13" t="str">
        <x:v>2026H1 有效税率</x:v>
      </x:c>
      <x:c r="B13" s="73" t="n">
        <x:v>0.156</x:v>
      </x:c>
      <x:c r="C13" t="str">
        <x:v>%</x:v>
      </x:c>
    </x:row>
    <x:row r="15" ht="22" customHeight="1">
      <x:c r="A15" s="45" t="str">
        <x:v>SOTP scenario assumptions</x:v>
      </x:c>
      <x:c r="B15" s="45" t="str">
        <x:v>SOTP scenario assumptions</x:v>
      </x:c>
      <x:c r="C15" s="45" t="str">
        <x:v>SOTP scenario assumptions</x:v>
      </x:c>
      <x:c r="D15" s="45" t="str">
        <x:v>SOTP scenario assumptions</x:v>
      </x:c>
      <x:c r="E15" s="45" t="str">
        <x:v>SOTP scenario assumptions</x:v>
      </x:c>
      <x:c r="F15" s="45" t="str">
        <x:v>SOTP scenario assumptions</x:v>
      </x:c>
    </x:row>
    <x:row r="16">
      <x:c r="A16" s="13" t="str">
        <x:v>项目</x:v>
      </x:c>
      <x:c r="B16" s="14" t="str">
        <x:v>Bear</x:v>
      </x:c>
      <x:c r="C16" s="14" t="str">
        <x:v>Base</x:v>
      </x:c>
      <x:c r="D16" s="14" t="str">
        <x:v>Bull</x:v>
      </x:c>
      <x:c r="E16" s="14" t="str">
        <x:v>单位</x:v>
      </x:c>
      <x:c r="F16" s="15" t="str">
        <x:v>说明</x:v>
      </x:c>
    </x:row>
    <x:row r="17">
      <x:c r="A17" t="str">
        <x:v>正常化核心归母净利润</x:v>
      </x:c>
      <x:c r="B17" s="69" t="n">
        <x:v>1300</x:v>
      </x:c>
      <x:c r="C17" s="69" t="n">
        <x:v>1600</x:v>
      </x:c>
      <x:c r="D17" s="69" t="n">
        <x:v>2000</x:v>
      </x:c>
      <x:c r="E17" t="str">
        <x:v>RMB mn</x:v>
      </x:c>
      <x:c r="F17" t="str">
        <x:v>剔除许可收入后的可持续盈利假设</x:v>
      </x:c>
    </x:row>
    <x:row r="18">
      <x:c r="A18" t="str">
        <x:v>核心业务 P/E</x:v>
      </x:c>
      <x:c r="B18" s="74" t="n">
        <x:v>12</x:v>
      </x:c>
      <x:c r="C18" s="74" t="n">
        <x:v>16</x:v>
      </x:c>
      <x:c r="D18" s="74" t="n">
        <x:v>20</x:v>
      </x:c>
      <x:c r="E18" t="str">
        <x:v>x</x:v>
      </x:c>
      <x:c r="F18" t="str">
        <x:v>包含除 707 外管线及商业平台</x:v>
      </x:c>
    </x:row>
    <x:row r="19">
      <x:c r="A19" t="str">
        <x:v>707 风险调整价值</x:v>
      </x:c>
      <x:c r="B19" s="69" t="n">
        <x:v>3000</x:v>
      </x:c>
      <x:c r="C19" s="69" t="n">
        <x:v>8000</x:v>
      </x:c>
      <x:c r="D19" s="69" t="n">
        <x:v>15000</x:v>
      </x:c>
      <x:c r="E19" t="str">
        <x:v>RMB mn</x:v>
      </x:c>
      <x:c r="F19" t="str">
        <x:v>未把全部潜在里程碑视为确定</x:v>
      </x:c>
    </x:row>
    <x:row r="21">
      <x:c r="A21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B21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C21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D21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E21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F21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</x:row>
    <x:row r="22">
      <x:c r="A22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B22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C22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D22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E22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F22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</x:row>
    <x:row r="23">
      <x:c r="A23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B23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C23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D23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E23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F23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</x:row>
    <x:row r="24">
      <x:c r="A24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B24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C24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D24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E24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  <x:c r="F24" s="77" t="str">
        <x:v>方法说明：核心业务价值=正常化核心归母净利润×P/E；权益价值=核心业务价值+狭义净现金+707 风险调整价值。蔓迪尚未确定分派比例，且利润仍包含在核心业务中，因此不额外加完整蔓迪估值。其他早期管线主要包含在核心倍数内。</x:v>
      </x:c>
    </x:row>
  </x:sheetData>
  <x:mergeCells>
    <x:mergeCell ref="A1:F1"/>
    <x:mergeCell ref="A4:F4"/>
    <x:mergeCell ref="A15:F15"/>
    <x:mergeCell ref="A21:F24"/>
  </x:mergeCells>
  <x:pageMargins left="0.7" right="0.7" top="0.75" bottom="0.75" header="0.3" footer="0.3"/>
  <x:legacyDrawing xmlns:r="http://schemas.openxmlformats.org/officeDocument/2006/relationships" r:id="R10188efcd59948b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28" hidden="0" customWidth="1"/>
  </x:cols>
  <x:sheetData>
    <x:row r="1" ht="34" customHeight="1">
      <x:c r="A1" s="4" t="str">
        <x:v>SOTP Valuation</x:v>
      </x:c>
      <x:c r="B1" s="4" t="str">
        <x:v>SOTP Valuation</x:v>
      </x:c>
      <x:c r="C1" s="4" t="str">
        <x:v>SOTP Valuation</x:v>
      </x:c>
      <x:c r="D1" s="4" t="str">
        <x:v>SOTP Valuation</x:v>
      </x:c>
      <x:c r="E1" s="4" t="str">
        <x:v>SOTP Valuation</x:v>
      </x:c>
      <x:c r="F1" s="4" t="str">
        <x:v>SOTP Valuation</x:v>
      </x:c>
      <x:c r="G1" s="4" t="str">
        <x:v>SOTP Valuation</x:v>
      </x:c>
      <x:c r="H1" s="4" t="str">
        <x:v>SOTP Valuation</x:v>
      </x:c>
    </x:row>
    <x:row r="3" ht="22" customHeight="1">
      <x:c r="A3" s="45" t="str">
        <x:v>Scenario valuation</x:v>
      </x:c>
      <x:c r="B3" s="45" t="str">
        <x:v>Scenario valuation</x:v>
      </x:c>
      <x:c r="C3" s="45" t="str">
        <x:v>Scenario valuation</x:v>
      </x:c>
      <x:c r="D3" s="45" t="str">
        <x:v>Scenario valuation</x:v>
      </x:c>
      <x:c r="E3" s="45" t="str">
        <x:v>Scenario valuation</x:v>
      </x:c>
      <x:c r="F3" s="45" t="str">
        <x:v>Scenario valuation</x:v>
      </x:c>
      <x:c r="G3" s="45" t="str">
        <x:v>Scenario valuation</x:v>
      </x:c>
      <x:c r="H3" s="45" t="str">
        <x:v>Scenario valuation</x:v>
      </x:c>
    </x:row>
    <x:row r="4">
      <x:c r="A4" s="13" t="str">
        <x:v>项目</x:v>
      </x:c>
      <x:c r="B4" s="14" t="str">
        <x:v>Bear</x:v>
      </x:c>
      <x:c r="C4" s="14" t="str">
        <x:v>Base</x:v>
      </x:c>
      <x:c r="D4" s="14" t="str">
        <x:v>Bull</x:v>
      </x:c>
      <x:c r="E4" s="14" t="str">
        <x:v>单位</x:v>
      </x:c>
      <x:c r="F4" s="14" t="str">
        <x:v>公式/口径</x:v>
      </x:c>
      <x:c r="G4" s="14" t="str">
        <x:v>Current</x:v>
      </x:c>
      <x:c r="H4" s="15" t="str">
        <x:v>备注</x:v>
      </x:c>
    </x:row>
    <x:row r="5">
      <x:c r="A5" t="str">
        <x:v>正常化核心归母净利润</x:v>
      </x:c>
      <x:c r="B5" s="31" t="n">
        <x:f>'Assumptions'!B17</x:f>
        <x:v>1300</x:v>
      </x:c>
      <x:c r="C5" s="31" t="n">
        <x:f>'Assumptions'!C17</x:f>
        <x:v>1600</x:v>
      </x:c>
      <x:c r="D5" s="31" t="n">
        <x:f>'Assumptions'!D17</x:f>
        <x:v>2000</x:v>
      </x:c>
      <x:c r="E5" t="str">
        <x:v>RMB mn</x:v>
      </x:c>
      <x:c r="F5" t="str">
        <x:v>输入</x:v>
      </x:c>
      <x:c r="G5"/>
      <x:c r="H5" t="str"/>
    </x:row>
    <x:row r="6">
      <x:c r="A6" t="str">
        <x:v>核心业务 P/E</x:v>
      </x:c>
      <x:c r="B6" s="82" t="n">
        <x:f>'Assumptions'!B18</x:f>
        <x:v>12</x:v>
      </x:c>
      <x:c r="C6" s="82" t="n">
        <x:f>'Assumptions'!C18</x:f>
        <x:v>16</x:v>
      </x:c>
      <x:c r="D6" s="82" t="n">
        <x:f>'Assumptions'!D18</x:f>
        <x:v>20</x:v>
      </x:c>
      <x:c r="E6" t="str">
        <x:v>x</x:v>
      </x:c>
      <x:c r="F6" t="str">
        <x:v>输入</x:v>
      </x:c>
      <x:c r="G6"/>
      <x:c r="H6" t="str"/>
    </x:row>
    <x:row r="7">
      <x:c r="A7" s="40" t="str">
        <x:v>核心业务价值</x:v>
      </x:c>
      <x:c r="B7" s="41" t="n">
        <x:f>B5*B6</x:f>
        <x:v>15600</x:v>
      </x:c>
      <x:c r="C7" s="41" t="n">
        <x:f>C5*C6</x:f>
        <x:v>25600</x:v>
      </x:c>
      <x:c r="D7" s="41" t="n">
        <x:f>D5*D6</x:f>
        <x:v>40000</x:v>
      </x:c>
      <x:c r="E7" s="40" t="str">
        <x:v>RMB mn</x:v>
      </x:c>
      <x:c r="F7" s="40" t="str">
        <x:v>利润×P/E</x:v>
      </x:c>
      <x:c r="G7" s="40"/>
      <x:c r="H7" s="40" t="str"/>
    </x:row>
    <x:row r="8">
      <x:c r="A8" t="str">
        <x:v>狭义净现金</x:v>
      </x:c>
      <x:c r="B8" s="31" t="n">
        <x:f>'Assumptions'!$B$10</x:f>
        <x:v>12777.644</x:v>
      </x:c>
      <x:c r="C8" s="31" t="n">
        <x:f>'Assumptions'!$B$10</x:f>
        <x:v>12777.644</x:v>
      </x:c>
      <x:c r="D8" s="31" t="n">
        <x:f>'Assumptions'!$B$10</x:f>
        <x:v>12777.644</x:v>
      </x:c>
      <x:c r="E8" t="str">
        <x:v>RMB mn</x:v>
      </x:c>
      <x:c r="F8" t="str">
        <x:v>资产负债表</x:v>
      </x:c>
      <x:c r="G8"/>
      <x:c r="H8" t="str">
        <x:v>未计流动理财</x:v>
      </x:c>
    </x:row>
    <x:row r="9">
      <x:c r="A9" t="str">
        <x:v>707 风险调整价值</x:v>
      </x:c>
      <x:c r="B9" s="31" t="n">
        <x:f>'Assumptions'!B19</x:f>
        <x:v>3000</x:v>
      </x:c>
      <x:c r="C9" s="31" t="n">
        <x:f>'Assumptions'!C19</x:f>
        <x:v>8000</x:v>
      </x:c>
      <x:c r="D9" s="31" t="n">
        <x:f>'Assumptions'!D19</x:f>
        <x:v>15000</x:v>
      </x:c>
      <x:c r="E9" t="str">
        <x:v>RMB mn</x:v>
      </x:c>
      <x:c r="F9" t="str">
        <x:v>输入</x:v>
      </x:c>
      <x:c r="G9"/>
      <x:c r="H9" t="str">
        <x:v>rNPV 简化情景</x:v>
      </x:c>
    </x:row>
    <x:row r="10">
      <x:c r="A10" s="55" t="str">
        <x:v>权益价值</x:v>
      </x:c>
      <x:c r="B10" s="56" t="n">
        <x:f>SUM(B7:B9)</x:f>
        <x:v>31377.644</x:v>
      </x:c>
      <x:c r="C10" s="56" t="n">
        <x:f>SUM(C7:C9)</x:f>
        <x:v>46377.644</x:v>
      </x:c>
      <x:c r="D10" s="56" t="n">
        <x:f>SUM(D7:D9)</x:f>
        <x:v>67777.644</x:v>
      </x:c>
      <x:c r="E10" s="55" t="str">
        <x:v>RMB mn</x:v>
      </x:c>
      <x:c r="F10" s="55" t="str">
        <x:v>核心+现金+707</x:v>
      </x:c>
      <x:c r="G10" s="55"/>
      <x:c r="H10" s="55" t="str"/>
    </x:row>
    <x:row r="11">
      <x:c r="A11" s="37" t="str">
        <x:v>每股价值</x:v>
      </x:c>
      <x:c r="B11" s="87" t="n">
        <x:f>B10/'Assumptions'!$B$8/'Assumptions'!$B$7</x:f>
        <x:v>14.339763804366433</x:v>
      </x:c>
      <x:c r="C11" s="87" t="n">
        <x:f>C10/'Assumptions'!$B$8/'Assumptions'!$B$7</x:f>
        <x:v>21.194850090178605</x:v>
      </x:c>
      <x:c r="D11" s="87" t="n">
        <x:f>D10/'Assumptions'!$B$8/'Assumptions'!$B$7</x:f>
        <x:v>30.974773191270636</x:v>
      </x:c>
      <x:c r="E11" s="37" t="str">
        <x:v>HKD/share</x:v>
      </x:c>
      <x:c r="F11" s="37" t="str">
        <x:v>权益/股份/汇率</x:v>
      </x:c>
      <x:c r="G11" s="87" t="n">
        <x:f>'Assumptions'!B6</x:f>
        <x:v>16.96</x:v>
      </x:c>
      <x:c r="H11" s="37" t="str">
        <x:v>现价见 Current</x:v>
      </x:c>
    </x:row>
    <x:row r="12">
      <x:c r="A12" s="37" t="str">
        <x:v>相对现价</x:v>
      </x:c>
      <x:c r="B12" s="39" t="n">
        <x:f>B11/'Assumptions'!$B$6-1</x:f>
        <x:v>-0.1544950587048094</x:v>
      </x:c>
      <x:c r="C12" s="39" t="n">
        <x:f>C11/'Assumptions'!$B$6-1</x:f>
        <x:v>0.24969634965675724</x:v>
      </x:c>
      <x:c r="D12" s="39" t="n">
        <x:f>D11/'Assumptions'!$B$6-1</x:f>
        <x:v>0.8263427589192591</x:v>
      </x:c>
      <x:c r="E12" s="37" t="str">
        <x:v>%</x:v>
      </x:c>
      <x:c r="F12" s="37" t="str">
        <x:v>价值/现价-1</x:v>
      </x:c>
      <x:c r="G12" s="39" t="n">
        <x:f>0</x:f>
        <x:v>0</x:v>
      </x:c>
      <x:c r="H12" s="37" t="str"/>
    </x:row>
    <x:row r="13">
      <x:c r="A13" s="57" t="str">
        <x:v>隐含市值/净资产</x:v>
      </x:c>
      <x:c r="B13" s="89" t="n">
        <x:f>B10/'Assumptions'!$B$9</x:f>
        <x:v>1.140213306394468</x:v>
      </x:c>
      <x:c r="C13" s="89" t="n">
        <x:f>C10/'Assumptions'!$B$9</x:f>
        <x:v>1.6852892718148487</x:v>
      </x:c>
      <x:c r="D13" s="89" t="n">
        <x:f>D10/'Assumptions'!$B$9</x:f>
        <x:v>2.4629309824812586</x:v>
      </x:c>
      <x:c r="E13" s="57" t="str">
        <x:v>x</x:v>
      </x:c>
      <x:c r="F13" s="57" t="str">
        <x:v>权益价值/归母权益</x:v>
      </x:c>
      <x:c r="G13" s="57"/>
      <x:c r="H13" s="57" t="str"/>
    </x:row>
    <x:row r="15" ht="22" customHeight="1">
      <x:c r="A15" s="45" t="str">
        <x:v>Cross-checks at current price</x:v>
      </x:c>
      <x:c r="B15" s="45" t="str">
        <x:v>Cross-checks at current price</x:v>
      </x:c>
      <x:c r="C15" s="45" t="str">
        <x:v>Cross-checks at current price</x:v>
      </x:c>
      <x:c r="D15" s="45" t="str">
        <x:v>Cross-checks at current price</x:v>
      </x:c>
      <x:c r="E15" s="45" t="str">
        <x:v>Cross-checks at current price</x:v>
      </x:c>
      <x:c r="F15" s="45" t="str">
        <x:v>Cross-checks at current price</x:v>
      </x:c>
      <x:c r="G15" s="45" t="str">
        <x:v>Cross-checks at current price</x:v>
      </x:c>
      <x:c r="H15" s="45" t="str">
        <x:v>Cross-checks at current price</x:v>
      </x:c>
    </x:row>
    <x:row r="16">
      <x:c r="A16" s="13" t="str">
        <x:v>指标</x:v>
      </x:c>
      <x:c r="B16" s="14" t="str">
        <x:v>数值</x:v>
      </x:c>
      <x:c r="C16" s="15" t="str">
        <x:v>说明</x:v>
      </x:c>
    </x:row>
    <x:row r="17">
      <x:c r="A17" t="str">
        <x:v>人民币市值</x:v>
      </x:c>
      <x:c r="B17" s="53" t="n">
        <x:f>'Assumptions'!B11</x:f>
        <x:v>37111.13024594985</x:v>
      </x:c>
      <x:c r="C17" t="str">
        <x:v>股价×股份×汇率</x:v>
      </x:c>
    </x:row>
    <x:row r="18">
      <x:c r="A18" t="str">
        <x:v>P/B</x:v>
      </x:c>
      <x:c r="B18" s="63" t="n">
        <x:f>'Assumptions'!B12</x:f>
        <x:v>1.3485590097768405</x:v>
      </x:c>
      <x:c r="C18" t="str">
        <x:v>市值/归母权益</x:v>
      </x:c>
    </x:row>
    <x:row r="19">
      <x:c r="A19" t="str">
        <x:v>2026H1 调整后净利润年化 P/E</x:v>
      </x:c>
      <x:c r="B19" s="63" t="n">
        <x:f>'Assumptions'!B11/('H1 Bridge'!B20*2)</x:f>
        <x:v>16.337000460446315</x:v>
      </x:c>
      <x:c r="C19" t="str">
        <x:v>含许可收入</x:v>
      </x:c>
    </x:row>
    <x:row r="20">
      <x:c r="A20" t="str">
        <x:v>基准除现金 P/E</x:v>
      </x:c>
      <x:c r="B20" s="63" t="n">
        <x:f>('Assumptions'!B11-'Assumptions'!B10)/'Assumptions'!C17</x:f>
        <x:v>15.208428903718655</x:v>
      </x:c>
      <x:c r="C20" t="str">
        <x:v>(市值-狭义净现金)/Base 核心利润</x:v>
      </x:c>
    </x:row>
    <x:row r="21">
      <x:c r="A21" t="str">
        <x:v>狭义净现金/市值</x:v>
      </x:c>
      <x:c r="B21" s="32" t="n">
        <x:f>'Assumptions'!B10/'Assumptions'!B11</x:f>
        <x:v>0.3443075949268481</x:v>
      </x:c>
      <x:c r="C21" t="str">
        <x:v>资产安全垫</x:v>
      </x:c>
    </x:row>
    <x:row r="22">
      <x:c r="A22" t="str">
        <x:v>2026H1 推算核心利润年化</x:v>
      </x:c>
      <x:c r="B22" s="53" t="n">
        <x:f>'H1 Bridge'!B32</x:f>
        <x:v>1435.1262080000001</x:v>
      </x:c>
      <x:c r="C22" t="str">
        <x:v>H1 调整后利润减税后许可贡献后×2</x:v>
      </x:c>
    </x:row>
  </x:sheetData>
  <x:mergeCells>
    <x:mergeCell ref="A1:H1"/>
    <x:mergeCell ref="A3:H3"/>
    <x:mergeCell ref="A15:H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  <x:col min="5" max="5" width="12" hidden="0" customWidth="1"/>
    <x:col min="6" max="6" width="14" hidden="0" customWidth="1"/>
    <x:col min="7" max="7" width="34" hidden="0" customWidth="1"/>
  </x:cols>
  <x:sheetData>
    <x:row r="1" ht="34" customHeight="1">
      <x:c r="A1" s="4" t="str">
        <x:v>Model Checks</x:v>
      </x:c>
      <x:c r="B1" s="4" t="str">
        <x:v>Model Checks</x:v>
      </x:c>
      <x:c r="C1" s="4" t="str">
        <x:v>Model Checks</x:v>
      </x:c>
      <x:c r="D1" s="4" t="str">
        <x:v>Model Checks</x:v>
      </x:c>
      <x:c r="E1" s="4" t="str">
        <x:v>Model Checks</x:v>
      </x:c>
      <x:c r="F1" s="4" t="str">
        <x:v>Model Checks</x:v>
      </x:c>
      <x:c r="G1" s="4" t="str">
        <x:v>Model Checks</x:v>
      </x:c>
    </x:row>
    <x:row r="3">
      <x:c r="A3" s="13" t="str">
        <x:v>检查</x:v>
      </x:c>
      <x:c r="B3" s="14" t="str">
        <x:v>实际</x:v>
      </x:c>
      <x:c r="C3" s="14" t="str">
        <x:v>期望</x:v>
      </x:c>
      <x:c r="D3" s="14" t="str">
        <x:v>差异</x:v>
      </x:c>
      <x:c r="E3" s="14" t="str">
        <x:v>容差</x:v>
      </x:c>
      <x:c r="F3" s="14" t="str">
        <x:v>状态</x:v>
      </x:c>
      <x:c r="G3" s="15" t="str">
        <x:v>说明</x:v>
      </x:c>
    </x:row>
    <x:row r="4">
      <x:c r="A4" t="str">
        <x:v>2026H1 收入组成</x:v>
      </x:c>
      <x:c r="B4" s="50" t="n">
        <x:f>SUM('H1 Bridge'!C5:C7)</x:f>
        <x:v>4525.985000000001</x:v>
      </x:c>
      <x:c r="C4" s="50" t="n">
        <x:f>'H1 Bridge'!C8</x:f>
        <x:v>4525.985</x:v>
      </x:c>
      <x:c r="D4" s="50" t="n">
        <x:f>B4-C4</x:f>
        <x:v>9.094947017729282e-13</x:v>
      </x:c>
      <x:c r="E4" s="50" t="n">
        <x:v>0.1</x:v>
      </x:c>
      <x:c r="F4" t="str">
        <x:f>IF(ABS(D4)&lt;=E4,"OK","CHECK")</x:f>
        <x:v>OK</x:v>
      </x:c>
      <x:c r="G4" t="str">
        <x:v>分项=总收入</x:v>
      </x:c>
    </x:row>
    <x:row r="5">
      <x:c r="A5" t="str">
        <x:v>2025H1 收入组成</x:v>
      </x:c>
      <x:c r="B5" s="50" t="n">
        <x:f>SUM('H1 Bridge'!B5:B7)</x:f>
        <x:v>4355.485</x:v>
      </x:c>
      <x:c r="C5" s="50" t="n">
        <x:f>'H1 Bridge'!B8</x:f>
        <x:v>4355.485</x:v>
      </x:c>
      <x:c r="D5" s="50" t="n">
        <x:f>B5-C5</x:f>
        <x:v>0</x:v>
      </x:c>
      <x:c r="E5" s="50" t="n">
        <x:v>0.1</x:v>
      </x:c>
      <x:c r="F5" t="str">
        <x:f>IF(ABS(D5)&lt;=E5,"OK","CHECK")</x:f>
        <x:v>OK</x:v>
      </x:c>
      <x:c r="G5" t="str">
        <x:v>分项=总收入</x:v>
      </x:c>
    </x:row>
    <x:row r="6">
      <x:c r="A6" t="str">
        <x:v>资产负债表平衡</x:v>
      </x:c>
      <x:c r="B6" s="50" t="n">
        <x:f>'Balance Sheet'!B16</x:f>
        <x:v>35578.417</x:v>
      </x:c>
      <x:c r="C6" s="50" t="n">
        <x:f>'Balance Sheet'!B24+'Balance Sheet'!B26</x:f>
        <x:v>35578.417</x:v>
      </x:c>
      <x:c r="D6" s="50" t="n">
        <x:f>B6-C6</x:f>
        <x:v>0</x:v>
      </x:c>
      <x:c r="E6" s="50" t="n">
        <x:v>0.1</x:v>
      </x:c>
      <x:c r="F6" t="str">
        <x:f>IF(ABS(D6)&lt;=E6,"OK","CHECK")</x:f>
        <x:v>OK</x:v>
      </x:c>
      <x:c r="G6" t="str">
        <x:v>总资产=总负债+总权益</x:v>
      </x:c>
    </x:row>
    <x:row r="7">
      <x:c r="A7" t="str">
        <x:v>总负债组成</x:v>
      </x:c>
      <x:c r="B7" s="50" t="n">
        <x:f>'Balance Sheet'!B24</x:f>
        <x:v>4813.904</x:v>
      </x:c>
      <x:c r="C7" s="50" t="n">
        <x:f>'Balance Sheet'!B22+'Balance Sheet'!B23</x:f>
        <x:v>4813.904</x:v>
      </x:c>
      <x:c r="D7" s="50" t="n">
        <x:f>B7-C7</x:f>
        <x:v>0</x:v>
      </x:c>
      <x:c r="E7" s="50" t="n">
        <x:v>0.1</x:v>
      </x:c>
      <x:c r="F7" t="str">
        <x:f>IF(ABS(D7)&lt;=E7,"OK","CHECK")</x:f>
        <x:v>OK</x:v>
      </x:c>
      <x:c r="G7" t="str">
        <x:v>流动+非流动</x:v>
      </x:c>
    </x:row>
    <x:row r="8">
      <x:c r="A8" t="str">
        <x:v>历史 2025 资产平衡</x:v>
      </x:c>
      <x:c r="B8" s="50" t="n">
        <x:f>'Historical'!F16</x:f>
        <x:v>36250.338</x:v>
      </x:c>
      <x:c r="C8" s="50" t="n">
        <x:f>'Historical'!F17+'Historical'!F18</x:f>
        <x:v>36250.338</x:v>
      </x:c>
      <x:c r="D8" s="50" t="n">
        <x:f>B8-C8</x:f>
        <x:v>0</x:v>
      </x:c>
      <x:c r="E8" s="50" t="n">
        <x:v>0.1</x:v>
      </x:c>
      <x:c r="F8" t="str">
        <x:f>IF(ABS(D8)&lt;=E8,"OK","CHECK")</x:f>
        <x:v>OK</x:v>
      </x:c>
      <x:c r="G8" t="str">
        <x:v>资产=负债+权益</x:v>
      </x:c>
    </x:row>
    <x:row r="9">
      <x:c r="A9" t="str">
        <x:v>估值权益桥 Base</x:v>
      </x:c>
      <x:c r="B9" s="50" t="n">
        <x:f>'Valuation'!C10</x:f>
        <x:v>46377.644</x:v>
      </x:c>
      <x:c r="C9" s="50" t="n">
        <x:f>SUM('Valuation'!C7:C9)</x:f>
        <x:v>46377.644</x:v>
      </x:c>
      <x:c r="D9" s="50" t="n">
        <x:f>B9-C9</x:f>
        <x:v>0</x:v>
      </x:c>
      <x:c r="E9" s="50" t="n">
        <x:v>0.1</x:v>
      </x:c>
      <x:c r="F9" t="str">
        <x:f>IF(ABS(D9)&lt;=E9,"OK","CHECK")</x:f>
        <x:v>OK</x:v>
      </x:c>
      <x:c r="G9" t="str">
        <x:v>核心+净现金+707</x:v>
      </x:c>
    </x:row>
    <x:row r="10">
      <x:c r="A10" s="40" t="str">
        <x:v>模型总状态</x:v>
      </x:c>
      <x:c r="B10" s="40"/>
      <x:c r="C10" s="40"/>
      <x:c r="D10" s="40"/>
      <x:c r="E10" s="40"/>
      <x:c r="F10" s="40" t="str">
        <x:f>IF(COUNTIF(F4:F9,"CHECK")=0,"OK","CHECK")</x:f>
        <x:v>OK</x:v>
      </x:c>
      <x:c r="G10" s="40" t="str">
        <x:v>所有检查通过</x:v>
      </x:c>
    </x:row>
  </x:sheetData>
  <x:mergeCells>
    <x:mergeCell ref="A1:G1"/>
  </x:mergeCells>
  <x:conditionalFormatting sqref="F4:F10">
    <x:cfRule type="containsText" dxfId="0" priority="1" operator="containsText" text="OK"/>
    <x:cfRule type="containsText" dxfId="1" priority="2" operator="containsText" text="CHECK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14" hidden="0" customWidth="1"/>
    <x:col min="5" max="5" width="16" hidden="0" customWidth="1"/>
    <x:col min="6" max="6" width="70" hidden="0" customWidth="1"/>
    <x:col min="7" max="7" width="34" hidden="0" customWidth="1"/>
  </x:cols>
  <x:sheetData>
    <x:row r="1" ht="34" customHeight="1">
      <x:c r="A1" s="4" t="str">
        <x:v>三生制药财务模型 - Sources / Audit</x:v>
      </x:c>
      <x:c r="B1" s="4" t="str">
        <x:v>三生制药财务模型 - Sources / Audit</x:v>
      </x:c>
      <x:c r="C1" s="4" t="str">
        <x:v>三生制药财务模型 - Sources / Audit</x:v>
      </x:c>
      <x:c r="D1" s="4" t="str">
        <x:v>三生制药财务模型 - Sources / Audit</x:v>
      </x:c>
      <x:c r="E1" s="4" t="str">
        <x:v>三生制药财务模型 - Sources / Audit</x:v>
      </x:c>
      <x:c r="F1" s="4" t="str">
        <x:v>三生制药财务模型 - Sources / Audit</x:v>
      </x:c>
      <x:c r="G1" s="4" t="str">
        <x:v>三生制药财务模型 - Sources / Audit</x:v>
      </x:c>
    </x:row>
    <x:row r="3">
      <x:c r="A3" s="17" t="str">
        <x:v>ID</x:v>
      </x:c>
      <x:c r="B3" s="18" t="str">
        <x:v>项目</x:v>
      </x:c>
      <x:c r="C3" s="18" t="str">
        <x:v>数值/用途</x:v>
      </x:c>
      <x:c r="D3" s="18" t="str">
        <x:v>单位</x:v>
      </x:c>
      <x:c r="E3" s="18" t="str">
        <x:v>期间/日期</x:v>
      </x:c>
      <x:c r="F3" s="18" t="str">
        <x:v>来源</x:v>
      </x:c>
      <x:c r="G3" s="19" t="str">
        <x:v>备注</x:v>
      </x:c>
    </x:row>
    <x:row r="4">
      <x:c r="A4" s="22" t="str">
        <x:v>S1</x:v>
      </x:c>
      <x:c r="B4" s="22" t="str">
        <x:v>2026H1 财务</x:v>
      </x:c>
      <x:c r="C4" s="22" t="str">
        <x:v>损益、收入拆分、资产负债表</x:v>
      </x:c>
      <x:c r="D4" s="22" t="str">
        <x:v>RMB mn</x:v>
      </x:c>
      <x:c r="E4" s="22" t="str">
        <x:v>2026-06-30</x:v>
      </x:c>
      <x:c r="F4" s="23" t="str">
        <x:v>https://www1.hkexnews.hk/listedco/listconews/sehk/2026/0820/2026082001637.pdf</x:v>
      </x:c>
      <x:c r="G4" s="22" t="str">
        <x:v>毕马威审阅，未经审计</x:v>
      </x:c>
    </x:row>
    <x:row r="5">
      <x:c r="A5" s="24" t="str">
        <x:v>S2</x:v>
      </x:c>
      <x:c r="B5" s="24" t="str">
        <x:v>2026H1 路演</x:v>
      </x:c>
      <x:c r="C5" s="24" t="str">
        <x:v>产品、管线、707 全球进度</x:v>
      </x:c>
      <x:c r="D5" s="24" t="str">
        <x:v>-</x:v>
      </x:c>
      <x:c r="E5" s="24" t="str">
        <x:v>2026-08-21</x:v>
      </x:c>
      <x:c r="F5" s="25" t="str">
        <x:v>https://www.3sbio.com/ImgUpload/files/202608/2026082008110299339.pdf</x:v>
      </x:c>
      <x:c r="G5" s="24" t="str">
        <x:v>公司演示材料</x:v>
      </x:c>
    </x:row>
    <x:row r="6">
      <x:c r="A6" s="24" t="str">
        <x:v>S3</x:v>
      </x:c>
      <x:c r="B6" s="24" t="str">
        <x:v>2025 年报</x:v>
      </x:c>
      <x:c r="C6" s="24" t="str">
        <x:v>五年财务、股东、治理</x:v>
      </x:c>
      <x:c r="D6" s="24" t="str">
        <x:v>RMB mn</x:v>
      </x:c>
      <x:c r="E6" s="24" t="str">
        <x:v>2025-12-31</x:v>
      </x:c>
      <x:c r="F6" s="25" t="str">
        <x:v>https://www1.hkexnews.hk/listedco/listconews/sehk/2026/0429/2026042904532.pdf</x:v>
      </x:c>
      <x:c r="G6" s="24" t="str">
        <x:v>经审计</x:v>
      </x:c>
    </x:row>
    <x:row r="7">
      <x:c r="A7" s="24" t="str">
        <x:v>S4</x:v>
      </x:c>
      <x:c r="B7" s="24" t="str">
        <x:v>辉瑞许可完成</x:v>
      </x:c>
      <x:c r="C7" s="24" t="str">
        <x:v>前端款项、股权投资、里程碑与提成</x:v>
      </x:c>
      <x:c r="D7" s="24" t="str">
        <x:v>USD</x:v>
      </x:c>
      <x:c r="E7" s="24" t="str">
        <x:v>2025-07-24</x:v>
      </x:c>
      <x:c r="F7" s="25" t="str">
        <x:v>https://www.pfizer.com/news/press-release/press-release-detail/pfizer-completes-licensing-agreement-3sbio</x:v>
      </x:c>
      <x:c r="G7" s="24" t="str">
        <x:v>合作方正式披露</x:v>
      </x:c>
    </x:row>
    <x:row r="8">
      <x:c r="A8" s="24" t="str">
        <x:v>S5</x:v>
      </x:c>
      <x:c r="B8" s="24" t="str">
        <x:v>707 临床</x:v>
      </x:c>
      <x:c r="C8" s="24" t="str">
        <x:v>NCT06980272 Phase III</x:v>
      </x:c>
      <x:c r="D8" s="24" t="str">
        <x:v>-</x:v>
      </x:c>
      <x:c r="E8" s="24" t="str">
        <x:v>截至 2026-08-31</x:v>
      </x:c>
      <x:c r="F8" s="25" t="str">
        <x:v>https://clinicaltrials.gov/study/NCT06980272</x:v>
      </x:c>
      <x:c r="G8" s="24" t="str">
        <x:v>ClinicalTrials.gov</x:v>
      </x:c>
    </x:row>
    <x:row r="9">
      <x:c r="A9" s="24" t="str">
        <x:v>S6</x:v>
      </x:c>
      <x:c r="B9" s="24" t="str">
        <x:v>股本</x:v>
      </x:c>
      <x:c r="C9" s="24" t="str">
        <x:v>总股份及库存股</x:v>
      </x:c>
      <x:c r="D9" s="24" t="str">
        <x:v>mn shares</x:v>
      </x:c>
      <x:c r="E9" s="24" t="str">
        <x:v>2026-07-31</x:v>
      </x:c>
      <x:c r="F9" s="25" t="str">
        <x:v>https://www1.hkexnews.hk/listedco/listconews/sehk/2026/0804/2026080400627.pdf</x:v>
      </x:c>
      <x:c r="G9" s="24" t="str">
        <x:v>经济在外股份=总股本-库存股</x:v>
      </x:c>
    </x:row>
    <x:row r="10">
      <x:c r="A10" s="24" t="str">
        <x:v>S7</x:v>
      </x:c>
      <x:c r="B10" s="24" t="str">
        <x:v>市场价格</x:v>
      </x:c>
      <x:c r="C10" s="78" t="str">
        <x:v>16.96</x:v>
      </x:c>
      <x:c r="D10" s="24" t="str">
        <x:v>HKD/share</x:v>
      </x:c>
      <x:c r="E10" s="24" t="str">
        <x:v>2026-08-28</x:v>
      </x:c>
      <x:c r="F10" s="25" t="str">
        <x:v>https://content.etnet.com.hk/content/cpy/eng/stock_quote.php?code=01530</x:v>
      </x:c>
      <x:c r="G10" s="24" t="str">
        <x:v>最近可用收盘</x:v>
      </x:c>
    </x:row>
    <x:row r="11">
      <x:c r="A11" s="24" t="str">
        <x:v>S8</x:v>
      </x:c>
      <x:c r="B11" s="24" t="str">
        <x:v>汇率</x:v>
      </x:c>
      <x:c r="C11" s="79" t="str">
        <x:v>0.86498</x:v>
      </x:c>
      <x:c r="D11" s="24" t="str">
        <x:v>RMB/HKD</x:v>
      </x:c>
      <x:c r="E11" s="24" t="str">
        <x:v>2026-08-28</x:v>
      </x:c>
      <x:c r="F11" s="25" t="str">
        <x:v>https://www.news.cn/20260828/8ded7ca354aa4c95b9a24a3cdd0b4fb8/c.html</x:v>
      </x:c>
      <x:c r="G11" s="24" t="str">
        <x:v>100 港元=86.498 人民币</x:v>
      </x:c>
    </x:row>
    <x:row r="12">
      <x:c r="A12" s="24" t="str">
        <x:v>S9</x:v>
      </x:c>
      <x:c r="B12" s="24" t="str">
        <x:v>蔓迪分拆</x:v>
      </x:c>
      <x:c r="C12" s="24" t="str">
        <x:v>实物分派及全球发售</x:v>
      </x:c>
      <x:c r="D12" s="24" t="str">
        <x:v>-</x:v>
      </x:c>
      <x:c r="E12" s="24" t="str">
        <x:v>2026-03-30</x:v>
      </x:c>
      <x:c r="F12" s="25" t="str">
        <x:v>https://www1.hkexnews.hk/listedco/listconews/sehk/2026/0330/2026033002422.pdf</x:v>
      </x:c>
      <x:c r="G12" s="24" t="str">
        <x:v>尚未确定比例和记录日</x:v>
      </x:c>
    </x:row>
    <x:row r="13">
      <x:c r="A13" s="26" t="str">
        <x:v>S10</x:v>
      </x:c>
      <x:c r="B13" s="26" t="str">
        <x:v>审计师变更</x:v>
      </x:c>
      <x:c r="C13" s="26" t="str">
        <x:v>安永变更为毕马威</x:v>
      </x:c>
      <x:c r="D13" s="26" t="str">
        <x:v>-</x:v>
      </x:c>
      <x:c r="E13" s="26" t="str">
        <x:v>2026-05-26</x:v>
      </x:c>
      <x:c r="F13" s="27" t="str">
        <x:v>https://www1.hkexnews.hk/listedco/listconews/sehk/2026/0526/2026052601736.pdf</x:v>
      </x:c>
      <x:c r="G13" s="26" t="str">
        <x:v>公告称无分歧或未解决事项</x:v>
      </x:c>
    </x:row>
  </x:sheetData>
  <x:mergeCells>
    <x:mergeCell ref="A1:G1"/>
  </x:mergeCells>
  <x:pageMargins left="0.7" right="0.7" top="0.75" bottom="0.75" header="0.3" footer="0.3"/>
</x:worksheet>
</file>
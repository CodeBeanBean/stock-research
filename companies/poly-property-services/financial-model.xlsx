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1cfeaf24b04c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669b745103a64de1"/>
    <x:sheet xmlns:r="http://schemas.openxmlformats.org/officeDocument/2006/relationships" name="Historical" sheetId="2" r:id="Rdb07f03b8e524103"/>
    <x:sheet xmlns:r="http://schemas.openxmlformats.org/officeDocument/2006/relationships" name="Operations" sheetId="3" r:id="R8423f5f58d22429f"/>
    <x:sheet xmlns:r="http://schemas.openxmlformats.org/officeDocument/2006/relationships" name="Balance &amp; Cash" sheetId="4" r:id="R49cfcd2823424501"/>
    <x:sheet xmlns:r="http://schemas.openxmlformats.org/officeDocument/2006/relationships" name="Assumptions" sheetId="5" r:id="R24738ed46391463c"/>
    <x:sheet xmlns:r="http://schemas.openxmlformats.org/officeDocument/2006/relationships" name="Forecast" sheetId="6" r:id="R543705f0b9754477"/>
    <x:sheet xmlns:r="http://schemas.openxmlformats.org/officeDocument/2006/relationships" name="Valuation" sheetId="7" r:id="Rc5827d13f77c4676"/>
    <x:sheet xmlns:r="http://schemas.openxmlformats.org/officeDocument/2006/relationships" name="Checks" sheetId="8" r:id="R63f742adba4f48ad"/>
    <x:sheet xmlns:r="http://schemas.openxmlformats.org/officeDocument/2006/relationships" name="Sources Audit" sheetId="9" r:id="R408daf8c88e54e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&quot;HKD &quot;0.00"/>
    <x:numFmt numFmtId="201" formatCode="0.000&quot; bn&quot;"/>
    <x:numFmt numFmtId="202" formatCode="0.00&quot; bn&quot;"/>
    <x:numFmt numFmtId="203" formatCode="0.0%"/>
    <x:numFmt numFmtId="204" formatCode="0.000"/>
    <x:numFmt numFmtId="205" formatCode="0.00x"/>
    <x:numFmt numFmtId="206" formatCode="0.00"/>
    <x:numFmt numFmtId="207" formatCode="0.0x"/>
    <x:numFmt numFmtId="208" formatCode="&quot;RMB &quot;0.00"/>
    <x:numFmt numFmtId="209" formatCode="&quot;HKD &quot;0.000"/>
    <x:numFmt numFmtId="210" formatCode="0.0000"/>
  </x:numFmts>
  <x:fonts count="8">
    <x:font>
      <x:sz val="11"/>
      <x:name val="Carlito"/>
    </x:font>
    <x:font>
      <x:b/>
      <x:sz val="15"/>
      <x:color rgb="FF17365D"/>
      <x:name val="Carlito"/>
    </x:font>
    <x:font>
      <x:i/>
      <x:sz val="11"/>
      <x:color rgb="FF666666"/>
      <x:name val="Carlito"/>
    </x:font>
    <x:font>
      <x:b/>
      <x:sz val="11"/>
      <x:color rgb="FFFFFFFF"/>
      <x:name val="Carlito"/>
    </x:font>
    <x:font>
      <x:b/>
      <x:sz val="11"/>
      <x:color rgb="FF008000"/>
      <x:name val="Carlito"/>
    </x:font>
    <x:font>
      <x:b/>
      <x:sz val="11"/>
      <x:name val="Carlito"/>
    </x:font>
    <x:font>
      <x:sz val="11"/>
      <x:color rgb="FF0000FF"/>
      <x:name val="Carlito"/>
    </x:font>
    <x:font>
      <x:sz val="11"/>
      <x:color rgb="FF0563C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EF5FB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</x:fills>
  <x:borders count="9">
    <x:border/>
    <x:border>
      <x:bottom style="thin">
        <x:color rgb="FF17365D"/>
      </x:bottom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bottom style="thin">
        <x:color rgb="FF9FBAD0"/>
      </x:bottom>
    </x:border>
  </x:borders>
  <x:cellStyleXfs count="1">
    <x:xf numFmtId="0" fontId="0" fillId="0" borderId="0"/>
  </x:cellStyleXfs>
  <x:cellXfs count="119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202" fontId="4" fillId="0" borderId="6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203" fontId="4" fillId="0" borderId="7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202" fontId="0" fillId="0" borderId="5" xfId="0" applyNumberFormat="1" applyFont="1" applyFill="1" applyBorder="1" applyAlignment="1">
      <x:alignment vertical="center"/>
    </x:xf>
    <x:xf numFmtId="202" fontId="0" fillId="0" borderId="6" xfId="0" applyNumberFormat="1" applyFont="1" applyFill="1" applyBorder="1" applyAlignment="1">
      <x:alignment vertical="center"/>
    </x:xf>
    <x:xf numFmtId="202" fontId="0" fillId="0" borderId="7" xfId="0" applyNumberFormat="1" applyFont="1" applyFill="1" applyBorder="1" applyAlignment="1">
      <x:alignment vertical="center"/>
    </x:xf>
    <x:xf numFmtId="203" fontId="0" fillId="0" borderId="6" xfId="0" applyNumberFormat="1" applyFont="1" applyFill="1" applyBorder="1" applyAlignment="1">
      <x:alignment vertical="center"/>
    </x:xf>
    <x:xf numFmtId="203" fontId="0" fillId="0" borderId="5" xfId="0" applyNumberFormat="1" applyFont="1" applyFill="1" applyBorder="1" applyAlignment="1">
      <x:alignment vertical="center"/>
    </x:xf>
    <x:xf numFmtId="203" fontId="0" fillId="0" borderId="7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5" xfId="0" applyNumberFormat="1" applyFont="1" applyFill="1" applyBorder="1"/>
    <x:xf numFmtId="204" fontId="0" fillId="0" borderId="6" xfId="0" applyNumberFormat="1" applyFont="1" applyFill="1" applyBorder="1"/>
    <x:xf numFmtId="203" fontId="0" fillId="0" borderId="6" xfId="0" applyNumberFormat="1" applyFont="1" applyFill="1" applyBorder="1"/>
    <x:xf numFmtId="204" fontId="0" fillId="0" borderId="7" xfId="0" applyNumberFormat="1" applyFont="1" applyFill="1" applyBorder="1"/>
    <x:xf numFmtId="204" fontId="0" fillId="0" borderId="5" xfId="0" applyNumberFormat="1" applyFont="1" applyFill="1" applyBorder="1" applyAlignment="1">
      <x:alignment vertical="center"/>
    </x:xf>
    <x:xf numFmtId="204" fontId="0" fillId="0" borderId="6" xfId="0" applyNumberFormat="1" applyFont="1" applyFill="1" applyBorder="1" applyAlignment="1">
      <x:alignment vertical="center"/>
    </x:xf>
    <x:xf numFmtId="204" fontId="0" fillId="0" borderId="7" xfId="0" applyNumberFormat="1" applyFont="1" applyFill="1" applyBorder="1" applyAlignment="1">
      <x:alignment vertical="center"/>
    </x:xf>
    <x:xf numFmtId="205" fontId="0" fillId="0" borderId="6" xfId="0" applyNumberFormat="1" applyFont="1" applyFill="1" applyBorder="1" applyAlignment="1">
      <x:alignment vertical="center"/>
    </x:xf>
    <x:xf numFmtId="0" fontId="0" fillId="4" borderId="6" xfId="0" applyNumberFormat="1" applyFont="1" applyFill="1" applyBorder="1" applyAlignment="1">
      <x:alignment vertical="center"/>
    </x:xf>
    <x:xf numFmtId="202" fontId="0" fillId="4" borderId="6" xfId="0" applyNumberFormat="1" applyFont="1" applyFill="1" applyBorder="1" applyAlignment="1">
      <x:alignment vertical="center"/>
    </x:xf>
    <x:xf numFmtId="203" fontId="0" fillId="4" borderId="6" xfId="0" applyNumberFormat="1" applyFont="1" applyFill="1" applyBorder="1" applyAlignment="1">
      <x:alignment vertical="center"/>
    </x:xf>
    <x:xf numFmtId="0" fontId="0" fillId="5" borderId="6" xfId="0" applyNumberFormat="1" applyFont="1" applyFill="1" applyBorder="1" applyAlignment="1">
      <x:alignment vertical="center"/>
    </x:xf>
    <x:xf numFmtId="202" fontId="0" fillId="5" borderId="6" xfId="0" applyNumberFormat="1" applyFont="1" applyFill="1" applyBorder="1" applyAlignment="1">
      <x:alignment vertical="center"/>
    </x:xf>
    <x:xf numFmtId="203" fontId="0" fillId="5" borderId="6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8" xfId="0" applyNumberFormat="1" applyFont="1" applyFill="1" applyBorder="1"/>
    <x:xf numFmtId="0" fontId="5" fillId="6" borderId="8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203" fontId="6" fillId="0" borderId="0" xfId="0" applyNumberFormat="1" applyFont="1" applyFill="1" applyBorder="1"/>
    <x:xf numFmtId="203" fontId="6" fillId="0" borderId="5" xfId="0" applyNumberFormat="1" applyFont="1" applyFill="1" applyBorder="1"/>
    <x:xf numFmtId="203" fontId="6" fillId="0" borderId="7" xfId="0" applyNumberFormat="1" applyFont="1" applyFill="1" applyBorder="1"/>
    <x:xf numFmtId="203" fontId="6" fillId="0" borderId="5" xfId="0" applyNumberFormat="1" applyFont="1" applyFill="1" applyBorder="1" applyAlignment="1">
      <x:alignment vertical="center"/>
    </x:xf>
    <x:xf numFmtId="203" fontId="6" fillId="0" borderId="7" xfId="0" applyNumberFormat="1" applyFont="1" applyFill="1" applyBorder="1" applyAlignment="1">
      <x:alignment vertical="center"/>
    </x:xf>
    <x:xf numFmtId="206" fontId="0" fillId="0" borderId="0" xfId="0" applyNumberFormat="1" applyFont="1" applyFill="1" applyBorder="1"/>
    <x:xf numFmtId="206" fontId="6" fillId="0" borderId="0" xfId="0" applyNumberFormat="1" applyFont="1" applyFill="1" applyBorder="1"/>
    <x:xf numFmtId="207" fontId="6" fillId="0" borderId="0" xfId="0" applyNumberFormat="1" applyFont="1" applyFill="1" applyBorder="1"/>
    <x:xf numFmtId="207" fontId="6" fillId="0" borderId="5" xfId="0" applyNumberFormat="1" applyFont="1" applyFill="1" applyBorder="1"/>
    <x:xf numFmtId="206" fontId="6" fillId="0" borderId="6" xfId="0" applyNumberFormat="1" applyFont="1" applyFill="1" applyBorder="1"/>
    <x:xf numFmtId="206" fontId="6" fillId="0" borderId="7" xfId="0" applyNumberFormat="1" applyFont="1" applyFill="1" applyBorder="1"/>
    <x:xf numFmtId="207" fontId="6" fillId="0" borderId="5" xfId="0" applyNumberFormat="1" applyFont="1" applyFill="1" applyBorder="1" applyAlignment="1">
      <x:alignment vertical="center"/>
    </x:xf>
    <x:xf numFmtId="206" fontId="6" fillId="0" borderId="6" xfId="0" applyNumberFormat="1" applyFont="1" applyFill="1" applyBorder="1" applyAlignment="1">
      <x:alignment vertical="center"/>
    </x:xf>
    <x:xf numFmtId="206" fontId="6" fillId="0" borderId="7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8" fontId="0" fillId="0" borderId="0" xfId="0" applyNumberFormat="1" applyFont="1" applyFill="1" applyBorder="1"/>
    <x:xf numFmtId="202" fontId="0" fillId="0" borderId="5" xfId="0" applyNumberFormat="1" applyFont="1" applyFill="1" applyBorder="1"/>
    <x:xf numFmtId="202" fontId="0" fillId="0" borderId="6" xfId="0" applyNumberFormat="1" applyFont="1" applyFill="1" applyBorder="1"/>
    <x:xf numFmtId="208" fontId="0" fillId="0" borderId="7" xfId="0" applyNumberFormat="1" applyFont="1" applyFill="1" applyBorder="1"/>
    <x:xf numFmtId="208" fontId="0" fillId="0" borderId="7" xfId="0" applyNumberFormat="1" applyFont="1" applyFill="1" applyBorder="1" applyAlignment="1">
      <x:alignment vertical="center"/>
    </x:xf>
    <x:xf numFmtId="209" fontId="0" fillId="0" borderId="6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210" fontId="0" fillId="0" borderId="7" xfId="0" applyNumberFormat="1" applyFont="1" applyFill="1" applyBorder="1" applyAlignment="1">
      <x:alignment vertical="center"/>
    </x:xf>
    <x:xf numFmtId="207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208" fontId="0" fillId="4" borderId="0" xfId="0" applyNumberFormat="1" applyFont="1" applyFill="1" applyBorder="1"/>
    <x:xf numFmtId="207" fontId="0" fillId="4" borderId="0" xfId="0" applyNumberFormat="1" applyFont="1" applyFill="1" applyBorder="1"/>
    <x:xf numFmtId="200" fontId="0" fillId="4" borderId="0" xfId="0" applyNumberFormat="1" applyFont="1" applyFill="1" applyBorder="1"/>
    <x:xf numFmtId="203" fontId="0" fillId="4" borderId="0" xfId="0" applyNumberFormat="1" applyFont="1" applyFill="1" applyBorder="1"/>
    <x:xf numFmtId="208" fontId="0" fillId="0" borderId="5" xfId="0" applyNumberFormat="1" applyFont="1" applyFill="1" applyBorder="1"/>
    <x:xf numFmtId="207" fontId="0" fillId="0" borderId="5" xfId="0" applyNumberFormat="1" applyFont="1" applyFill="1" applyBorder="1"/>
    <x:xf numFmtId="200" fontId="0" fillId="0" borderId="5" xfId="0" applyNumberFormat="1" applyFont="1" applyFill="1" applyBorder="1"/>
    <x:xf numFmtId="203" fontId="0" fillId="0" borderId="5" xfId="0" applyNumberFormat="1" applyFont="1" applyFill="1" applyBorder="1"/>
    <x:xf numFmtId="0" fontId="0" fillId="4" borderId="6" xfId="0" applyNumberFormat="1" applyFont="1" applyFill="1" applyBorder="1"/>
    <x:xf numFmtId="208" fontId="0" fillId="4" borderId="6" xfId="0" applyNumberFormat="1" applyFont="1" applyFill="1" applyBorder="1"/>
    <x:xf numFmtId="207" fontId="0" fillId="4" borderId="6" xfId="0" applyNumberFormat="1" applyFont="1" applyFill="1" applyBorder="1"/>
    <x:xf numFmtId="200" fontId="0" fillId="4" borderId="6" xfId="0" applyNumberFormat="1" applyFont="1" applyFill="1" applyBorder="1"/>
    <x:xf numFmtId="203" fontId="0" fillId="4" borderId="6" xfId="0" applyNumberFormat="1" applyFont="1" applyFill="1" applyBorder="1"/>
    <x:xf numFmtId="207" fontId="0" fillId="0" borderId="7" xfId="0" applyNumberFormat="1" applyFont="1" applyFill="1" applyBorder="1"/>
    <x:xf numFmtId="200" fontId="0" fillId="0" borderId="7" xfId="0" applyNumberFormat="1" applyFont="1" applyFill="1" applyBorder="1"/>
    <x:xf numFmtId="203" fontId="0" fillId="0" borderId="7" xfId="0" applyNumberFormat="1" applyFont="1" applyFill="1" applyBorder="1"/>
    <x:xf numFmtId="208" fontId="0" fillId="0" borderId="5" xfId="0" applyNumberFormat="1" applyFont="1" applyFill="1" applyBorder="1" applyAlignment="1">
      <x:alignment vertical="center"/>
    </x:xf>
    <x:xf numFmtId="207" fontId="0" fillId="0" borderId="5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208" fontId="0" fillId="4" borderId="6" xfId="0" applyNumberFormat="1" applyFont="1" applyFill="1" applyBorder="1" applyAlignment="1">
      <x:alignment vertical="center"/>
    </x:xf>
    <x:xf numFmtId="207" fontId="0" fillId="4" borderId="6" xfId="0" applyNumberFormat="1" applyFont="1" applyFill="1" applyBorder="1" applyAlignment="1">
      <x:alignment vertical="center"/>
    </x:xf>
    <x:xf numFmtId="200" fontId="0" fillId="4" borderId="6" xfId="0" applyNumberFormat="1" applyFont="1" applyFill="1" applyBorder="1" applyAlignment="1">
      <x:alignment vertical="center"/>
    </x:xf>
    <x:xf numFmtId="207" fontId="0" fillId="0" borderId="7" xfId="0" applyNumberFormat="1" applyFont="1" applyFill="1" applyBorder="1" applyAlignment="1">
      <x:alignment vertical="center"/>
    </x:xf>
    <x:xf numFmtId="200" fontId="0" fillId="0" borderId="7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7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7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vertical="center" wrapText="1"/>
    </x:xf>
    <x:xf numFmtId="0" fontId="7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7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347ee432824ae5" /><Relationship Type="http://schemas.openxmlformats.org/officeDocument/2006/relationships/theme" Target="/xl/theme/theme1.xml" Id="Rf26a54ff539640d7" /><Relationship Type="http://schemas.openxmlformats.org/officeDocument/2006/relationships/sharedStrings" Target="/xl/sharedStrings.xml" Id="Rc06c923d4edc443d" /><Relationship Type="http://schemas.openxmlformats.org/officeDocument/2006/relationships/worksheet" Target="/xl/worksheets/sheet1.xml" Id="R669b745103a64de1" /><Relationship Type="http://schemas.openxmlformats.org/officeDocument/2006/relationships/worksheet" Target="/xl/worksheets/sheet2.xml" Id="Rdb07f03b8e524103" /><Relationship Type="http://schemas.openxmlformats.org/officeDocument/2006/relationships/worksheet" Target="/xl/worksheets/sheet3.xml" Id="R8423f5f58d22429f" /><Relationship Type="http://schemas.openxmlformats.org/officeDocument/2006/relationships/worksheet" Target="/xl/worksheets/sheet4.xml" Id="R49cfcd2823424501" /><Relationship Type="http://schemas.openxmlformats.org/officeDocument/2006/relationships/worksheet" Target="/xl/worksheets/sheet5.xml" Id="R24738ed46391463c" /><Relationship Type="http://schemas.openxmlformats.org/officeDocument/2006/relationships/worksheet" Target="/xl/worksheets/sheet6.xml" Id="R543705f0b9754477" /><Relationship Type="http://schemas.openxmlformats.org/officeDocument/2006/relationships/worksheet" Target="/xl/worksheets/sheet7.xml" Id="Rc5827d13f77c4676" /><Relationship Type="http://schemas.openxmlformats.org/officeDocument/2006/relationships/worksheet" Target="/xl/worksheets/sheet8.xml" Id="R63f742adba4f48ad" /><Relationship Type="http://schemas.openxmlformats.org/officeDocument/2006/relationships/worksheet" Target="/xl/worksheets/sheet9.xml" Id="R408daf8c88e54e9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7dd71463f774c0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情景价值与当前价格（HKD/股）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情景价值</c:v>
          </c:tx>
          <c:spPr>
            <a:solidFill xmlns:a="http://schemas.openxmlformats.org/drawingml/2006/main">
              <a:srgbClr val="17365D"/>
            </a:solidFill>
          </c:spPr>
          <c:cat>
            <c:strRef>
              <c:f>'Valuation'!$C$9:$C$11</c:f>
              <c:strCache>
                <c:ptCount val="0"/>
              </c:strCache>
            </c:strRef>
          </c:cat>
          <c:val>
            <c:numRef>
              <c:f>'Valuation'!$H$9:$H$11</c:f>
              <c:numCache>
                <c:formatCode>"HKD "0</c:formatCode>
                <c:ptCount val="0"/>
              </c:numCache>
            </c:numRef>
          </c:val>
        </c:ser>
        <c:ser>
          <c:idx val="1"/>
          <c:order val="1"/>
          <c:tx>
            <c:v>当前价格</c:v>
          </c:tx>
          <c:spPr>
            <a:solidFill xmlns:a="http://schemas.openxmlformats.org/drawingml/2006/main">
              <a:srgbClr val="C9A227"/>
            </a:solidFill>
          </c:spPr>
          <c:cat>
            <c:strRef>
              <c:f>'Valuation'!$C$9:$C$11</c:f>
              <c:strCache>
                <c:ptCount val="0"/>
              </c:strCache>
            </c:strRef>
          </c:cat>
          <c:val>
            <c:numRef>
              <c:f>'Cover'!$L$3:$L$5</c:f>
              <c:numCache>
                <c:formatCode>"HKD "0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HKD &quot;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5</xdr:row>
      <xdr:rowOff>0</xdr:rowOff>
    </xdr:from>
    <xdr:to>
      <xdr:col>10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7dd71463f774c0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1464e36ad164e7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27" hidden="0" customWidth="1"/>
    <x:col min="4" max="4" width="16" hidden="0" customWidth="1"/>
    <x:col min="5" max="5" width="16" hidden="0" customWidth="1"/>
    <x:col min="6" max="6" width="36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2">
      <x:c r="C2" s="2" t="str">
        <x:v>保利物业（06049.HK）基本面与估值模型</x:v>
      </x:c>
      <x:c r="D2" s="2"/>
      <x:c r="E2" s="2"/>
      <x:c r="F2" s="2"/>
      <x:c r="G2" s="2"/>
      <x:c r="H2" s="2"/>
      <x:c r="I2" s="2"/>
      <x:c r="J2" s="2"/>
      <x:c r="L2" t="str">
        <x:v>当前价</x:v>
      </x:c>
    </x:row>
    <x:row r="3">
      <x:c r="C3" s="3" t="str">
        <x:v>HKFRS；财务单位人民币十亿元，估值单位港元/股；资料截止2026-09-06</x:v>
      </x:c>
      <x:c r="D3" s="3"/>
      <x:c r="E3" s="3"/>
      <x:c r="F3" s="3"/>
      <x:c r="G3" s="3"/>
      <x:c r="H3" s="3"/>
      <x:c r="I3" s="3"/>
      <x:c r="J3" s="3"/>
      <x:c r="L3" t="n">
        <x:v>28.76</x:v>
      </x:c>
    </x:row>
    <x:row r="4">
      <x:c r="L4" t="n">
        <x:v>28.76</x:v>
      </x:c>
    </x:row>
    <x:row r="5">
      <x:c r="L5" t="n">
        <x:v>28.76</x:v>
      </x:c>
    </x:row>
    <x:row r="6">
      <x:c r="C6" s="9" t="str">
        <x:v>关键指标</x:v>
      </x:c>
      <x:c r="D6" s="10" t="str">
        <x:v>数值</x:v>
      </x:c>
      <x:c r="E6" s="10" t="str">
        <x:v>单位</x:v>
      </x:c>
      <x:c r="F6" s="11" t="str">
        <x:v>说明</x:v>
      </x:c>
    </x:row>
    <x:row r="7">
      <x:c r="C7" s="15" t="str">
        <x:v>价格</x:v>
      </x:c>
      <x:c r="D7" s="21" t="n">
        <x:f>'Valuation'!D5</x:f>
        <x:v>28.76</x:v>
      </x:c>
      <x:c r="E7" s="15" t="str">
        <x:v>HKD/股</x:v>
      </x:c>
      <x:c r="F7" s="15" t="str">
        <x:v>2026-09-04收盘</x:v>
      </x:c>
    </x:row>
    <x:row r="8">
      <x:c r="C8" s="16" t="str">
        <x:v>总股数</x:v>
      </x:c>
      <x:c r="D8" s="22" t="n">
        <x:f>'Valuation'!D6</x:f>
        <x:v>0.553333</x:v>
      </x:c>
      <x:c r="E8" s="16" t="str">
        <x:v>十亿股</x:v>
      </x:c>
      <x:c r="F8" s="16" t="str">
        <x:v>期末/稀释口径</x:v>
      </x:c>
    </x:row>
    <x:row r="9">
      <x:c r="C9" s="16" t="str">
        <x:v>参考市值</x:v>
      </x:c>
      <x:c r="D9" s="23" t="n">
        <x:f>'Valuation'!D5*'Valuation'!D6</x:f>
        <x:v>15.91385708</x:v>
      </x:c>
      <x:c r="E9" s="16" t="str">
        <x:v>HKD bn</x:v>
      </x:c>
      <x:c r="F9" s="16" t="str">
        <x:v>价格×股数</x:v>
      </x:c>
    </x:row>
    <x:row r="10">
      <x:c r="C10" s="16" t="str">
        <x:v>2026H1收入</x:v>
      </x:c>
      <x:c r="D10" s="23" t="n">
        <x:f>'Historical'!H7</x:f>
        <x:v>8.829177</x:v>
      </x:c>
      <x:c r="E10" s="16" t="str">
        <x:v>RMB bn</x:v>
      </x:c>
      <x:c r="F10" s="16" t="str">
        <x:v>未经审计</x:v>
      </x:c>
    </x:row>
    <x:row r="11">
      <x:c r="C11" s="16" t="str">
        <x:v>2026H1归母净利润</x:v>
      </x:c>
      <x:c r="D11" s="23" t="n">
        <x:f>'Historical'!H10</x:f>
        <x:v>0.933496</x:v>
      </x:c>
      <x:c r="E11" s="16" t="str">
        <x:v>RMB bn</x:v>
      </x:c>
      <x:c r="F11" s="16" t="str">
        <x:v>未经审计</x:v>
      </x:c>
    </x:row>
    <x:row r="12">
      <x:c r="C12" s="16" t="str">
        <x:v>期末净现金</x:v>
      </x:c>
      <x:c r="D12" s="23" t="n">
        <x:f>'Balance &amp; Cash'!D13</x:f>
        <x:v>12.248017</x:v>
      </x:c>
      <x:c r="E12" s="16" t="str">
        <x:v>RMB bn</x:v>
      </x:c>
      <x:c r="F12" s="16" t="str">
        <x:v>现金减有息债务及租赁</x:v>
      </x:c>
    </x:row>
    <x:row r="13">
      <x:c r="C13" s="16" t="str">
        <x:v>贸易应收款</x:v>
      </x:c>
      <x:c r="D13" s="23" t="n">
        <x:f>'Balance &amp; Cash'!D9</x:f>
        <x:v>4.433191</x:v>
      </x:c>
      <x:c r="E13" s="16" t="str">
        <x:v>RMB bn</x:v>
      </x:c>
      <x:c r="F13" s="16" t="str">
        <x:v>回款质量核心指标</x:v>
      </x:c>
    </x:row>
    <x:row r="14">
      <x:c r="C14" s="16" t="str">
        <x:v>Bear价值</x:v>
      </x:c>
      <x:c r="D14" s="24" t="n">
        <x:f>'Valuation'!H9</x:f>
        <x:v>18.80638125183751</x:v>
      </x:c>
      <x:c r="E14" s="16" t="str">
        <x:v>HKD/股</x:v>
      </x:c>
      <x:c r="F14" s="16" t="str">
        <x:v>保守情景</x:v>
      </x:c>
    </x:row>
    <x:row r="15">
      <x:c r="C15" s="16" t="str">
        <x:v>Base价值</x:v>
      </x:c>
      <x:c r="D15" s="24" t="n">
        <x:f>'Valuation'!H10</x:f>
        <x:v>36.728081910338176</x:v>
      </x:c>
      <x:c r="E15" s="16" t="str">
        <x:v>HKD/股</x:v>
      </x:c>
      <x:c r="F15" s="16" t="str">
        <x:v>正常化情景</x:v>
      </x:c>
    </x:row>
    <x:row r="16">
      <x:c r="C16" s="16" t="str">
        <x:v>Bull价值</x:v>
      </x:c>
      <x:c r="D16" s="24" t="n">
        <x:f>'Valuation'!H11</x:f>
        <x:v>57.893655315994046</x:v>
      </x:c>
      <x:c r="E16" s="16" t="str">
        <x:v>HKD/股</x:v>
      </x:c>
      <x:c r="F16" s="16" t="str">
        <x:v>乐观情景</x:v>
      </x:c>
    </x:row>
    <x:row r="17">
      <x:c r="C17" s="17" t="str">
        <x:v>Base相对价格</x:v>
      </x:c>
      <x:c r="D17" s="25" t="n">
        <x:f>'Valuation'!I10</x:f>
        <x:v>0.2770543084262229</x:v>
      </x:c>
      <x:c r="E17" s="17" t="str">
        <x:v>比例</x:v>
      </x:c>
      <x:c r="F17" s="17" t="str">
        <x:v>不是收益保证</x:v>
      </x:c>
    </x:row>
    <x:row r="20">
      <x:c r="C20" s="9" t="str">
        <x:v>研究结论</x:v>
      </x:c>
      <x:c r="D20" s="10"/>
      <x:c r="E20" s="10"/>
      <x:c r="F20" s="10"/>
      <x:c r="G20" s="10"/>
      <x:c r="H20" s="10"/>
      <x:c r="I20" s="10"/>
      <x:c r="J20" s="11"/>
    </x:row>
    <x:row r="21">
      <x:c r="C21" s="28" t="str">
        <x:v>基础物业收入仍保持两位数增长，第三方与非住宅拓展降低了对母集团新增交付的依赖；但2026H1应收款较年初增加约29%，两类增值服务收入均下降，现金优势需要打折看待。</x:v>
      </x:c>
      <x:c r="D21" s="28" t="str">
        <x:v>基础物业收入仍保持两位数增长，第三方与非住宅拓展降低了对母集团新增交付的依赖；但2026H1应收款较年初增加约29%，两类增值服务收入均下降，现金优势需要打折看待。</x:v>
      </x:c>
      <x:c r="E21" s="28" t="str">
        <x:v>基础物业收入仍保持两位数增长，第三方与非住宅拓展降低了对母集团新增交付的依赖；但2026H1应收款较年初增加约29%，两类增值服务收入均下降，现金优势需要打折看待。</x:v>
      </x:c>
      <x:c r="F21" s="28" t="str">
        <x:v>基础物业收入仍保持两位数增长，第三方与非住宅拓展降低了对母集团新增交付的依赖；但2026H1应收款较年初增加约29%，两类增值服务收入均下降，现金优势需要打折看待。</x:v>
      </x:c>
      <x:c r="G21" s="28" t="str">
        <x:v>基础物业收入仍保持两位数增长，第三方与非住宅拓展降低了对母集团新增交付的依赖；但2026H1应收款较年初增加约29%，两类增值服务收入均下降，现金优势需要打折看待。</x:v>
      </x:c>
      <x:c r="H21" s="28" t="str">
        <x:v>基础物业收入仍保持两位数增长，第三方与非住宅拓展降低了对母集团新增交付的依赖；但2026H1应收款较年初增加约29%，两类增值服务收入均下降，现金优势需要打折看待。</x:v>
      </x:c>
      <x:c r="I21" s="28" t="str">
        <x:v>基础物业收入仍保持两位数增长，第三方与非住宅拓展降低了对母集团新增交付的依赖；但2026H1应收款较年初增加约29%，两类增值服务收入均下降，现金优势需要打折看待。</x:v>
      </x:c>
      <x:c r="J21" s="28" t="str">
        <x:v>基础物业收入仍保持两位数增长，第三方与非住宅拓展降低了对母集团新增交付的依赖；但2026H1应收款较年初增加约29%，两类增值服务收入均下降，现金优势需要打折看待。</x:v>
      </x:c>
    </x:row>
    <x:row r="22">
      <x:c r="C22" s="28" t="str">
        <x:v>基础物业收入仍保持两位数增长，第三方与非住宅拓展降低了对母集团新增交付的依赖；但2026H1应收款较年初增加约29%，两类增值服务收入均下降，现金优势需要打折看待。</x:v>
      </x:c>
      <x:c r="D22" s="28" t="str">
        <x:v>基础物业收入仍保持两位数增长，第三方与非住宅拓展降低了对母集团新增交付的依赖；但2026H1应收款较年初增加约29%，两类增值服务收入均下降，现金优势需要打折看待。</x:v>
      </x:c>
      <x:c r="E22" s="28" t="str">
        <x:v>基础物业收入仍保持两位数增长，第三方与非住宅拓展降低了对母集团新增交付的依赖；但2026H1应收款较年初增加约29%，两类增值服务收入均下降，现金优势需要打折看待。</x:v>
      </x:c>
      <x:c r="F22" s="28" t="str">
        <x:v>基础物业收入仍保持两位数增长，第三方与非住宅拓展降低了对母集团新增交付的依赖；但2026H1应收款较年初增加约29%，两类增值服务收入均下降，现金优势需要打折看待。</x:v>
      </x:c>
      <x:c r="G22" s="28" t="str">
        <x:v>基础物业收入仍保持两位数增长，第三方与非住宅拓展降低了对母集团新增交付的依赖；但2026H1应收款较年初增加约29%，两类增值服务收入均下降，现金优势需要打折看待。</x:v>
      </x:c>
      <x:c r="H22" s="28" t="str">
        <x:v>基础物业收入仍保持两位数增长，第三方与非住宅拓展降低了对母集团新增交付的依赖；但2026H1应收款较年初增加约29%，两类增值服务收入均下降，现金优势需要打折看待。</x:v>
      </x:c>
      <x:c r="I22" s="28" t="str">
        <x:v>基础物业收入仍保持两位数增长，第三方与非住宅拓展降低了对母集团新增交付的依赖；但2026H1应收款较年初增加约29%，两类增值服务收入均下降，现金优势需要打折看待。</x:v>
      </x:c>
      <x:c r="J22" s="28" t="str">
        <x:v>基础物业收入仍保持两位数增长，第三方与非住宅拓展降低了对母集团新增交付的依赖；但2026H1应收款较年初增加约29%，两类增值服务收入均下降，现金优势需要打折看待。</x:v>
      </x:c>
    </x:row>
    <x:row r="23">
      <x:c r="C23" s="28" t="str">
        <x:v>基础物业收入仍保持两位数增长，第三方与非住宅拓展降低了对母集团新增交付的依赖；但2026H1应收款较年初增加约29%，两类增值服务收入均下降，现金优势需要打折看待。</x:v>
      </x:c>
      <x:c r="D23" s="28" t="str">
        <x:v>基础物业收入仍保持两位数增长，第三方与非住宅拓展降低了对母集团新增交付的依赖；但2026H1应收款较年初增加约29%，两类增值服务收入均下降，现金优势需要打折看待。</x:v>
      </x:c>
      <x:c r="E23" s="28" t="str">
        <x:v>基础物业收入仍保持两位数增长，第三方与非住宅拓展降低了对母集团新增交付的依赖；但2026H1应收款较年初增加约29%，两类增值服务收入均下降，现金优势需要打折看待。</x:v>
      </x:c>
      <x:c r="F23" s="28" t="str">
        <x:v>基础物业收入仍保持两位数增长，第三方与非住宅拓展降低了对母集团新增交付的依赖；但2026H1应收款较年初增加约29%，两类增值服务收入均下降，现金优势需要打折看待。</x:v>
      </x:c>
      <x:c r="G23" s="28" t="str">
        <x:v>基础物业收入仍保持两位数增长，第三方与非住宅拓展降低了对母集团新增交付的依赖；但2026H1应收款较年初增加约29%，两类增值服务收入均下降，现金优势需要打折看待。</x:v>
      </x:c>
      <x:c r="H23" s="28" t="str">
        <x:v>基础物业收入仍保持两位数增长，第三方与非住宅拓展降低了对母集团新增交付的依赖；但2026H1应收款较年初增加约29%，两类增值服务收入均下降，现金优势需要打折看待。</x:v>
      </x:c>
      <x:c r="I23" s="28" t="str">
        <x:v>基础物业收入仍保持两位数增长，第三方与非住宅拓展降低了对母集团新增交付的依赖；但2026H1应收款较年初增加约29%，两类增值服务收入均下降，现金优势需要打折看待。</x:v>
      </x:c>
      <x:c r="J23" s="28" t="str">
        <x:v>基础物业收入仍保持两位数增长，第三方与非住宅拓展降低了对母集团新增交付的依赖；但2026H1应收款较年初增加约29%，两类增值服务收入均下降，现金优势需要打折看待。</x:v>
      </x:c>
    </x:row>
    <x:row r="24">
      <x:c r="C24" s="28" t="str">
        <x:v>基础物业收入仍保持两位数增长，第三方与非住宅拓展降低了对母集团新增交付的依赖；但2026H1应收款较年初增加约29%，两类增值服务收入均下降，现金优势需要打折看待。</x:v>
      </x:c>
      <x:c r="D24" s="28" t="str">
        <x:v>基础物业收入仍保持两位数增长，第三方与非住宅拓展降低了对母集团新增交付的依赖；但2026H1应收款较年初增加约29%，两类增值服务收入均下降，现金优势需要打折看待。</x:v>
      </x:c>
      <x:c r="E24" s="28" t="str">
        <x:v>基础物业收入仍保持两位数增长，第三方与非住宅拓展降低了对母集团新增交付的依赖；但2026H1应收款较年初增加约29%，两类增值服务收入均下降，现金优势需要打折看待。</x:v>
      </x:c>
      <x:c r="F24" s="28" t="str">
        <x:v>基础物业收入仍保持两位数增长，第三方与非住宅拓展降低了对母集团新增交付的依赖；但2026H1应收款较年初增加约29%，两类增值服务收入均下降，现金优势需要打折看待。</x:v>
      </x:c>
      <x:c r="G24" s="28" t="str">
        <x:v>基础物业收入仍保持两位数增长，第三方与非住宅拓展降低了对母集团新增交付的依赖；但2026H1应收款较年初增加约29%，两类增值服务收入均下降，现金优势需要打折看待。</x:v>
      </x:c>
      <x:c r="H24" s="28" t="str">
        <x:v>基础物业收入仍保持两位数增长，第三方与非住宅拓展降低了对母集团新增交付的依赖；但2026H1应收款较年初增加约29%，两类增值服务收入均下降，现金优势需要打折看待。</x:v>
      </x:c>
      <x:c r="I24" s="28" t="str">
        <x:v>基础物业收入仍保持两位数增长，第三方与非住宅拓展降低了对母集团新增交付的依赖；但2026H1应收款较年初增加约29%，两类增值服务收入均下降，现金优势需要打折看待。</x:v>
      </x:c>
      <x:c r="J24" s="28" t="str">
        <x:v>基础物业收入仍保持两位数增长，第三方与非住宅拓展降低了对母集团新增交付的依赖；但2026H1应收款较年初增加约29%，两类增值服务收入均下降，现金优势需要打折看待。</x:v>
      </x:c>
    </x:row>
    <x:row r="25">
      <x:c r="C25" s="28" t="str">
        <x:v>基础物业收入仍保持两位数增长，第三方与非住宅拓展降低了对母集团新增交付的依赖；但2026H1应收款较年初增加约29%，两类增值服务收入均下降，现金优势需要打折看待。</x:v>
      </x:c>
      <x:c r="D25" s="28" t="str">
        <x:v>基础物业收入仍保持两位数增长，第三方与非住宅拓展降低了对母集团新增交付的依赖；但2026H1应收款较年初增加约29%，两类增值服务收入均下降，现金优势需要打折看待。</x:v>
      </x:c>
      <x:c r="E25" s="28" t="str">
        <x:v>基础物业收入仍保持两位数增长，第三方与非住宅拓展降低了对母集团新增交付的依赖；但2026H1应收款较年初增加约29%，两类增值服务收入均下降，现金优势需要打折看待。</x:v>
      </x:c>
      <x:c r="F25" s="28" t="str">
        <x:v>基础物业收入仍保持两位数增长，第三方与非住宅拓展降低了对母集团新增交付的依赖；但2026H1应收款较年初增加约29%，两类增值服务收入均下降，现金优势需要打折看待。</x:v>
      </x:c>
      <x:c r="G25" s="28" t="str">
        <x:v>基础物业收入仍保持两位数增长，第三方与非住宅拓展降低了对母集团新增交付的依赖；但2026H1应收款较年初增加约29%，两类增值服务收入均下降，现金优势需要打折看待。</x:v>
      </x:c>
      <x:c r="H25" s="28" t="str">
        <x:v>基础物业收入仍保持两位数增长，第三方与非住宅拓展降低了对母集团新增交付的依赖；但2026H1应收款较年初增加约29%，两类增值服务收入均下降，现金优势需要打折看待。</x:v>
      </x:c>
      <x:c r="I25" s="28" t="str">
        <x:v>基础物业收入仍保持两位数增长，第三方与非住宅拓展降低了对母集团新增交付的依赖；但2026H1应收款较年初增加约29%，两类增值服务收入均下降，现金优势需要打折看待。</x:v>
      </x:c>
      <x:c r="J25" s="28" t="str">
        <x:v>基础物业收入仍保持两位数增长，第三方与非住宅拓展降低了对母集团新增交付的依赖；但2026H1应收款较年初增加约29%，两类增值服务收入均下降，现金优势需要打折看待。</x:v>
      </x:c>
    </x:row>
    <x:row r="26">
      <x:c r="C26" s="28" t="str">
        <x:v>基础物业收入仍保持两位数增长，第三方与非住宅拓展降低了对母集团新增交付的依赖；但2026H1应收款较年初增加约29%，两类增值服务收入均下降，现金优势需要打折看待。</x:v>
      </x:c>
      <x:c r="D26" s="28" t="str">
        <x:v>基础物业收入仍保持两位数增长，第三方与非住宅拓展降低了对母集团新增交付的依赖；但2026H1应收款较年初增加约29%，两类增值服务收入均下降，现金优势需要打折看待。</x:v>
      </x:c>
      <x:c r="E26" s="28" t="str">
        <x:v>基础物业收入仍保持两位数增长，第三方与非住宅拓展降低了对母集团新增交付的依赖；但2026H1应收款较年初增加约29%，两类增值服务收入均下降，现金优势需要打折看待。</x:v>
      </x:c>
      <x:c r="F26" s="28" t="str">
        <x:v>基础物业收入仍保持两位数增长，第三方与非住宅拓展降低了对母集团新增交付的依赖；但2026H1应收款较年初增加约29%，两类增值服务收入均下降，现金优势需要打折看待。</x:v>
      </x:c>
      <x:c r="G26" s="28" t="str">
        <x:v>基础物业收入仍保持两位数增长，第三方与非住宅拓展降低了对母集团新增交付的依赖；但2026H1应收款较年初增加约29%，两类增值服务收入均下降，现金优势需要打折看待。</x:v>
      </x:c>
      <x:c r="H26" s="28" t="str">
        <x:v>基础物业收入仍保持两位数增长，第三方与非住宅拓展降低了对母集团新增交付的依赖；但2026H1应收款较年初增加约29%，两类增值服务收入均下降，现金优势需要打折看待。</x:v>
      </x:c>
      <x:c r="I26" s="28" t="str">
        <x:v>基础物业收入仍保持两位数增长，第三方与非住宅拓展降低了对母集团新增交付的依赖；但2026H1应收款较年初增加约29%，两类增值服务收入均下降，现金优势需要打折看待。</x:v>
      </x:c>
      <x:c r="J26" s="28" t="str">
        <x:v>基础物业收入仍保持两位数增长，第三方与非住宅拓展降低了对母集团新增交付的依赖；但2026H1应收款较年初增加约29%，两类增值服务收入均下降，现金优势需要打折看待。</x:v>
      </x:c>
    </x:row>
  </x:sheetData>
  <x:mergeCells>
    <x:mergeCell ref="C2:J2"/>
    <x:mergeCell ref="C21:J26"/>
  </x:mergeCells>
  <x:pageMargins left="0.7" right="0.7" top="0.75" bottom="0.75" header="0.3" footer="0.3"/>
  <x:drawing xmlns:r="http://schemas.openxmlformats.org/officeDocument/2006/relationships" r:id="R91464e36ad164e79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27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6" hidden="0" customWidth="1"/>
  </x:cols>
  <x:sheetData>
    <x:row r="2">
      <x:c r="C2" s="2" t="str">
        <x:v>历史财务与现金转化</x:v>
      </x:c>
      <x:c r="D2" s="2"/>
      <x:c r="E2" s="2"/>
      <x:c r="F2" s="2"/>
      <x:c r="G2" s="2"/>
      <x:c r="H2" s="2"/>
      <x:c r="I2" s="2"/>
      <x:c r="J2" s="2"/>
    </x:row>
    <x:row r="3">
      <x:c r="C3" s="3" t="str">
        <x:v>2023-2025为经审计年度；2026H1未经审计；空白表示披露文件未提供可比现金流</x:v>
      </x:c>
      <x:c r="D3" s="3"/>
      <x:c r="E3" s="3"/>
      <x:c r="F3" s="3"/>
      <x:c r="G3" s="3"/>
      <x:c r="H3" s="3"/>
      <x:c r="I3" s="3"/>
      <x:c r="J3" s="3"/>
    </x:row>
    <x:row r="6">
      <x:c r="C6" s="9" t="str">
        <x:v>指标</x:v>
      </x:c>
      <x:c r="D6" s="10" t="str">
        <x:v>单位</x:v>
      </x:c>
      <x:c r="E6" s="10" t="str">
        <x:v>2023A</x:v>
      </x:c>
      <x:c r="F6" s="10" t="str">
        <x:v>2024A</x:v>
      </x:c>
      <x:c r="G6" s="10" t="str">
        <x:v>2025A</x:v>
      </x:c>
      <x:c r="H6" s="10" t="str">
        <x:v>2026H1</x:v>
      </x:c>
      <x:c r="I6" s="10" t="str">
        <x:v>2025同比</x:v>
      </x:c>
      <x:c r="J6" s="11" t="str">
        <x:v>H1同比/观察</x:v>
      </x:c>
    </x:row>
    <x:row r="7">
      <x:c r="C7" s="15" t="str">
        <x:v>收入</x:v>
      </x:c>
      <x:c r="D7" s="15" t="str">
        <x:v>RMB bn</x:v>
      </x:c>
      <x:c r="E7" s="29" t="n">
        <x:v>15.061858</x:v>
      </x:c>
      <x:c r="F7" s="29" t="n">
        <x:v>16.342312</x:v>
      </x:c>
      <x:c r="G7" s="29" t="n">
        <x:v>17.126068</x:v>
      </x:c>
      <x:c r="H7" s="29" t="n">
        <x:v>8.829177</x:v>
      </x:c>
      <x:c r="I7" s="33" t="n">
        <x:f>G7/F7-1</x:f>
        <x:v>0.0479586976432711</x:v>
      </x:c>
      <x:c r="J7" s="15" t="str">
        <x:v>H1收入增速见运营页</x:v>
      </x:c>
    </x:row>
    <x:row r="8">
      <x:c r="C8" s="16" t="str">
        <x:v>毛利</x:v>
      </x:c>
      <x:c r="D8" s="16" t="str">
        <x:v>RMB bn</x:v>
      </x:c>
      <x:c r="E8" s="30" t="n">
        <x:v>2.953091</x:v>
      </x:c>
      <x:c r="F8" s="30" t="n">
        <x:v>2.984306</x:v>
      </x:c>
      <x:c r="G8" s="30" t="n">
        <x:v>2.985088</x:v>
      </x:c>
      <x:c r="H8" s="30" t="n">
        <x:v>1.694019</x:v>
      </x:c>
      <x:c r="I8" s="32" t="n">
        <x:f>G8/F8-1</x:f>
        <x:v>0.0002620374720287977</x:v>
      </x:c>
      <x:c r="J8" s="16" t="str">
        <x:v>利润结构变化</x:v>
      </x:c>
    </x:row>
    <x:row r="9">
      <x:c r="C9" s="16" t="str">
        <x:v>毛利率</x:v>
      </x:c>
      <x:c r="D9" s="16" t="str">
        <x:v>%</x:v>
      </x:c>
      <x:c r="E9" s="32" t="n">
        <x:f>E8/E7</x:f>
        <x:v>0.19606419075256187</x:v>
      </x:c>
      <x:c r="F9" s="32" t="n">
        <x:f>F8/F7</x:f>
        <x:v>0.18261222769458815</x:v>
      </x:c>
      <x:c r="G9" s="32" t="n">
        <x:f>G8/G7</x:f>
        <x:v>0.1743008377638113</x:v>
      </x:c>
      <x:c r="H9" s="32" t="n">
        <x:f>H8/H7</x:f>
        <x:v>0.19186601423892624</x:v>
      </x:c>
      <x:c r="I9" s="32" t="n">
        <x:f>G9-F9</x:f>
        <x:v>-0.008311389930776847</x:v>
      </x:c>
      <x:c r="J9" s="16" t="str">
        <x:v>毛利率趋势</x:v>
      </x:c>
    </x:row>
    <x:row r="10">
      <x:c r="C10" s="16" t="str">
        <x:v>归母净利润</x:v>
      </x:c>
      <x:c r="D10" s="16" t="str">
        <x:v>RMB bn</x:v>
      </x:c>
      <x:c r="E10" s="30" t="n">
        <x:v>1.38014</x:v>
      </x:c>
      <x:c r="F10" s="30" t="n">
        <x:v>1.47385</x:v>
      </x:c>
      <x:c r="G10" s="30" t="n">
        <x:v>1.54945</x:v>
      </x:c>
      <x:c r="H10" s="30" t="n">
        <x:v>0.933496</x:v>
      </x:c>
      <x:c r="I10" s="32" t="n">
        <x:f>G10/F10-1</x:f>
        <x:v>0.05129422939919248</x:v>
      </x:c>
      <x:c r="J10" s="16" t="str">
        <x:v>归母利润趋势</x:v>
      </x:c>
    </x:row>
    <x:row r="11">
      <x:c r="C11" s="16" t="str">
        <x:v>归母净利率</x:v>
      </x:c>
      <x:c r="D11" s="16" t="str">
        <x:v>%</x:v>
      </x:c>
      <x:c r="E11" s="32" t="n">
        <x:f>E10/E7</x:f>
        <x:v>0.091631457420459</x:v>
      </x:c>
      <x:c r="F11" s="32" t="n">
        <x:f>F10/F7</x:f>
        <x:v>0.0901861376774596</x:v>
      </x:c>
      <x:c r="G11" s="32" t="n">
        <x:f>G10/G7</x:f>
        <x:v>0.0904731897596109</x:v>
      </x:c>
      <x:c r="H11" s="32" t="n">
        <x:f>H10/H7</x:f>
        <x:v>0.10572854072355782</x:v>
      </x:c>
      <x:c r="I11" s="32" t="n">
        <x:f>G11-F11</x:f>
        <x:v>0.00028705208215129563</x:v>
      </x:c>
      <x:c r="J11" s="16" t="str">
        <x:v>盈利质量</x:v>
      </x:c>
    </x:row>
    <x:row r="12">
      <x:c r="C12" s="16" t="str">
        <x:v>经营现金流</x:v>
      </x:c>
      <x:c r="D12" s="16" t="str">
        <x:v>RMB bn</x:v>
      </x:c>
      <x:c r="E12" s="30"/>
      <x:c r="F12" s="30" t="n">
        <x:v>2.302756</x:v>
      </x:c>
      <x:c r="G12" s="30" t="n">
        <x:v>1.827154</x:v>
      </x:c>
      <x:c r="H12" s="30"/>
      <x:c r="I12" s="32" t="n">
        <x:f>G12/F12-1</x:f>
        <x:v>-0.20653599426079017</x:v>
      </x:c>
      <x:c r="J12" s="16" t="str">
        <x:v>H1现金流未随业绩公告披露</x:v>
      </x:c>
    </x:row>
    <x:row r="13">
      <x:c r="C13" s="16" t="str">
        <x:v>资本开支</x:v>
      </x:c>
      <x:c r="D13" s="16" t="str">
        <x:v>RMB bn</x:v>
      </x:c>
      <x:c r="E13" s="30"/>
      <x:c r="F13" s="30" t="n">
        <x:v>0.906508</x:v>
      </x:c>
      <x:c r="G13" s="30" t="n">
        <x:v>0.048694</x:v>
      </x:c>
      <x:c r="H13" s="30"/>
      <x:c r="I13" s="32" t="n">
        <x:f>G13/F13-1</x:f>
        <x:v>-0.9462839820497999</x:v>
      </x:c>
      <x:c r="J13" s="16" t="str">
        <x:v>资产轻</x:v>
      </x:c>
    </x:row>
    <x:row r="14">
      <x:c r="C14" s="17" t="str">
        <x:v>简化自由现金流</x:v>
      </x:c>
      <x:c r="D14" s="17" t="str">
        <x:v>RMB bn</x:v>
      </x:c>
      <x:c r="E14" s="31" t="str">
        <x:f>IF(OR(E12="",E13=""),"",E12-E13)</x:f>
      </x:c>
      <x:c r="F14" s="31" t="n">
        <x:f>IF(OR(F12="",F13=""),"",F12-F13)</x:f>
        <x:v>1.396248</x:v>
      </x:c>
      <x:c r="G14" s="31" t="n">
        <x:f>IF(OR(G12="",G13=""),"",G12-G13)</x:f>
        <x:v>1.77846</x:v>
      </x:c>
      <x:c r="H14" s="31" t="str">
        <x:f>IF(OR(H12="",H13=""),"",H12-H13)</x:f>
      </x:c>
      <x:c r="I14" s="34" t="n">
        <x:f>G14/F14-1</x:f>
        <x:v>0.2737422005259811</x:v>
      </x:c>
      <x:c r="J14" s="17" t="str">
        <x:v>CFO减资本开支</x:v>
      </x:c>
    </x:row>
  </x:sheetData>
  <x:mergeCells>
    <x:mergeCell ref="C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45" hidden="0" customWidth="1"/>
    <x:col min="8" max="8" width="16" hidden="0" customWidth="1"/>
  </x:cols>
  <x:sheetData>
    <x:row r="2">
      <x:c r="C2" s="2" t="str">
        <x:v>运营规模与收入质量</x:v>
      </x:c>
      <x:c r="D2" s="2"/>
      <x:c r="E2" s="2"/>
      <x:c r="F2" s="2"/>
      <x:c r="G2" s="2"/>
      <x:c r="H2" s="2"/>
    </x:row>
    <x:row r="3">
      <x:c r="C3" s="3" t="str">
        <x:v>面积只是规模指标；收入结构、单位经济性和回款决定价值</x:v>
      </x:c>
      <x:c r="D3" s="3"/>
      <x:c r="E3" s="3"/>
      <x:c r="F3" s="3"/>
      <x:c r="G3" s="3"/>
      <x:c r="H3" s="3"/>
    </x:row>
    <x:row r="6">
      <x:c r="C6" s="9" t="str">
        <x:v>指标</x:v>
      </x:c>
      <x:c r="D6" s="10" t="str">
        <x:v>期间</x:v>
      </x:c>
      <x:c r="E6" s="10" t="str">
        <x:v>数值</x:v>
      </x:c>
      <x:c r="F6" s="10" t="str">
        <x:v>单位</x:v>
      </x:c>
      <x:c r="G6" s="10" t="str">
        <x:v>研究观察</x:v>
      </x:c>
      <x:c r="H6" s="11" t="str">
        <x:v>性质</x:v>
      </x:c>
    </x:row>
    <x:row r="7">
      <x:c r="C7" s="15" t="str">
        <x:v>在管面积</x:v>
      </x:c>
      <x:c r="D7" s="15" t="str">
        <x:v>2024A</x:v>
      </x:c>
      <x:c r="E7" s="41" t="n">
        <x:v>803.4</x:v>
      </x:c>
      <x:c r="F7" s="15" t="str">
        <x:v>百万平方米</x:v>
      </x:c>
      <x:c r="G7" s="15" t="str">
        <x:v>规模增长</x:v>
      </x:c>
      <x:c r="H7" s="15" t="str">
        <x:v>公司披露</x:v>
      </x:c>
    </x:row>
    <x:row r="8">
      <x:c r="C8" s="16" t="str">
        <x:v>在管面积</x:v>
      </x:c>
      <x:c r="D8" s="16" t="str">
        <x:v>2025A</x:v>
      </x:c>
      <x:c r="E8" s="42" t="n">
        <x:v>855</x:v>
      </x:c>
      <x:c r="F8" s="16" t="str">
        <x:v>百万平方米</x:v>
      </x:c>
      <x:c r="G8" s="16" t="str">
        <x:v>同比增长6.4%</x:v>
      </x:c>
      <x:c r="H8" s="16" t="str">
        <x:v>公司披露</x:v>
      </x:c>
    </x:row>
    <x:row r="9">
      <x:c r="C9" s="16" t="str">
        <x:v>在管面积</x:v>
      </x:c>
      <x:c r="D9" s="16" t="str">
        <x:v>2026H1</x:v>
      </x:c>
      <x:c r="E9" s="42" t="n">
        <x:v>893.7</x:v>
      </x:c>
      <x:c r="F9" s="16" t="str">
        <x:v>百万平方米</x:v>
      </x:c>
      <x:c r="G9" s="16" t="str">
        <x:v>较年初增长4.5%</x:v>
      </x:c>
      <x:c r="H9" s="16" t="str">
        <x:v>公司披露</x:v>
      </x:c>
    </x:row>
    <x:row r="10">
      <x:c r="C10" s="16" t="str">
        <x:v>第三方在管面积占比</x:v>
      </x:c>
      <x:c r="D10" s="16" t="str">
        <x:v>2026H1</x:v>
      </x:c>
      <x:c r="E10" s="32" t="n">
        <x:v>0.669</x:v>
      </x:c>
      <x:c r="F10" s="16" t="str">
        <x:v>比例</x:v>
      </x:c>
      <x:c r="G10" s="16" t="str">
        <x:v>面积占比高于收入占比</x:v>
      </x:c>
      <x:c r="H10" s="16" t="str">
        <x:v>公司披露</x:v>
      </x:c>
    </x:row>
    <x:row r="11">
      <x:c r="C11" s="16" t="str">
        <x:v>第三方物管收入占比</x:v>
      </x:c>
      <x:c r="D11" s="16" t="str">
        <x:v>2026H1</x:v>
      </x:c>
      <x:c r="E11" s="32" t="n">
        <x:v>0.465</x:v>
      </x:c>
      <x:c r="F11" s="16" t="str">
        <x:v>比例</x:v>
      </x:c>
      <x:c r="G11" s="16" t="str">
        <x:v>同比提升2.6个百分点</x:v>
      </x:c>
      <x:c r="H11" s="16" t="str">
        <x:v>公司披露</x:v>
      </x:c>
    </x:row>
    <x:row r="12">
      <x:c r="C12" s="16" t="str">
        <x:v>非住宅在管面积占比</x:v>
      </x:c>
      <x:c r="D12" s="16" t="str">
        <x:v>2026H1</x:v>
      </x:c>
      <x:c r="E12" s="32" t="n">
        <x:v>0.619</x:v>
      </x:c>
      <x:c r="F12" s="16" t="str">
        <x:v>比例</x:v>
      </x:c>
      <x:c r="G12" s="16" t="str">
        <x:v>公共及商办项目为重点</x:v>
      </x:c>
      <x:c r="H12" s="16" t="str">
        <x:v>公司披露</x:v>
      </x:c>
    </x:row>
    <x:row r="13">
      <x:c r="C13" s="16" t="str">
        <x:v>基础物管收入</x:v>
      </x:c>
      <x:c r="D13" s="16" t="str">
        <x:v>2026H1</x:v>
      </x:c>
      <x:c r="E13" s="42" t="n">
        <x:v>7.080193</x:v>
      </x:c>
      <x:c r="F13" s="16" t="str">
        <x:v>RMB bn</x:v>
      </x:c>
      <x:c r="G13" s="16" t="str">
        <x:v>同比增长11.9%</x:v>
      </x:c>
      <x:c r="H13" s="16" t="str">
        <x:v>公司披露</x:v>
      </x:c>
    </x:row>
    <x:row r="14">
      <x:c r="C14" s="16" t="str">
        <x:v>非业主增值收入</x:v>
      </x:c>
      <x:c r="D14" s="16" t="str">
        <x:v>2026H1</x:v>
      </x:c>
      <x:c r="E14" s="42" t="n">
        <x:v>0.718781</x:v>
      </x:c>
      <x:c r="F14" s="16" t="str">
        <x:v>RMB bn</x:v>
      </x:c>
      <x:c r="G14" s="16" t="str">
        <x:v>同比下降16.7%</x:v>
      </x:c>
      <x:c r="H14" s="16" t="str">
        <x:v>公司披露</x:v>
      </x:c>
    </x:row>
    <x:row r="15">
      <x:c r="C15" s="16" t="str">
        <x:v>社区增值收入</x:v>
      </x:c>
      <x:c r="D15" s="16" t="str">
        <x:v>2026H1</x:v>
      </x:c>
      <x:c r="E15" s="42" t="n">
        <x:v>1.030203</x:v>
      </x:c>
      <x:c r="F15" s="16" t="str">
        <x:v>RMB bn</x:v>
      </x:c>
      <x:c r="G15" s="16" t="str">
        <x:v>同比下降14.4%</x:v>
      </x:c>
      <x:c r="H15" s="16" t="str">
        <x:v>公司披露</x:v>
      </x:c>
    </x:row>
    <x:row r="16">
      <x:c r="C16" s="16" t="str">
        <x:v>基础物管毛利率</x:v>
      </x:c>
      <x:c r="D16" s="16" t="str">
        <x:v>2026H1</x:v>
      </x:c>
      <x:c r="E16" s="32" t="n">
        <x:v>0.1582</x:v>
      </x:c>
      <x:c r="F16" s="16" t="str">
        <x:v>比例</x:v>
      </x:c>
      <x:c r="G16" s="16" t="str">
        <x:v>同比下降0.77个百分点</x:v>
      </x:c>
      <x:c r="H16" s="16" t="str">
        <x:v>公司披露</x:v>
      </x:c>
    </x:row>
    <x:row r="17">
      <x:c r="C17" s="17" t="str">
        <x:v>新拓第三方年合同额</x:v>
      </x:c>
      <x:c r="D17" s="17" t="str">
        <x:v>2026H1</x:v>
      </x:c>
      <x:c r="E17" s="43" t="n">
        <x:v>1.406</x:v>
      </x:c>
      <x:c r="F17" s="17" t="str">
        <x:v>RMB bn</x:v>
      </x:c>
      <x:c r="G17" s="17" t="str">
        <x:v>强调合同质量和现金流</x:v>
      </x:c>
      <x:c r="H17" s="17" t="str">
        <x:v>公司披露</x:v>
      </x:c>
    </x:row>
  </x:sheetData>
  <x:mergeCells>
    <x:mergeCell ref="C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42" hidden="0" customWidth="1"/>
  </x:cols>
  <x:sheetData>
    <x:row r="2">
      <x:c r="C2" s="2" t="str">
        <x:v>资产负债表与应收款</x:v>
      </x:c>
      <x:c r="D2" s="2"/>
      <x:c r="E2" s="2"/>
      <x:c r="F2" s="2"/>
      <x:c r="G2" s="2"/>
    </x:row>
    <x:row r="3">
      <x:c r="C3" s="3" t="str">
        <x:v>截至2026-06-30；净现金不等同于可立即分配现金</x:v>
      </x:c>
      <x:c r="D3" s="3"/>
      <x:c r="E3" s="3"/>
      <x:c r="F3" s="3"/>
      <x:c r="G3" s="3"/>
    </x:row>
    <x:row r="6">
      <x:c r="C6" s="9" t="str">
        <x:v>指标</x:v>
      </x:c>
      <x:c r="D6" s="10" t="str">
        <x:v>数值</x:v>
      </x:c>
      <x:c r="E6" s="10" t="str">
        <x:v>单位</x:v>
      </x:c>
      <x:c r="F6" s="10" t="str">
        <x:v>占资产/比率</x:v>
      </x:c>
      <x:c r="G6" s="11" t="str">
        <x:v>观察</x:v>
      </x:c>
    </x:row>
    <x:row r="7">
      <x:c r="C7" s="15" t="str">
        <x:v>总资产</x:v>
      </x:c>
      <x:c r="D7" s="29" t="n">
        <x:v>18.809796</x:v>
      </x:c>
      <x:c r="E7" s="15" t="str">
        <x:v>RMB bn</x:v>
      </x:c>
      <x:c r="F7" s="33" t="n">
        <x:f>D7/$D$7</x:f>
        <x:v>1</x:v>
      </x:c>
      <x:c r="G7" s="15" t="str">
        <x:v>合并口径</x:v>
      </x:c>
    </x:row>
    <x:row r="8">
      <x:c r="C8" s="16" t="str">
        <x:v>归母净资产</x:v>
      </x:c>
      <x:c r="D8" s="30" t="n">
        <x:v>10.71714</x:v>
      </x:c>
      <x:c r="E8" s="16" t="str">
        <x:v>RMB bn</x:v>
      </x:c>
      <x:c r="F8" s="32" t="n">
        <x:f>D8/$D$7</x:f>
        <x:v>0.5697637550136111</x:v>
      </x:c>
      <x:c r="G8" s="16" t="str">
        <x:v>P/B分母</x:v>
      </x:c>
    </x:row>
    <x:row r="9">
      <x:c r="C9" s="48" t="str">
        <x:v>贸易应收款</x:v>
      </x:c>
      <x:c r="D9" s="49" t="n">
        <x:v>4.433191</x:v>
      </x:c>
      <x:c r="E9" s="48" t="str">
        <x:v>RMB bn</x:v>
      </x:c>
      <x:c r="F9" s="50" t="n">
        <x:f>D9/$D$7</x:f>
        <x:v>0.23568522486899912</x:v>
      </x:c>
      <x:c r="G9" s="48" t="str">
        <x:v>回款与减值风险</x:v>
      </x:c>
    </x:row>
    <x:row r="10">
      <x:c r="C10" s="16" t="str">
        <x:v>现金及存款</x:v>
      </x:c>
      <x:c r="D10" s="30" t="n">
        <x:v>12.3374</x:v>
      </x:c>
      <x:c r="E10" s="16" t="str">
        <x:v>RMB bn</x:v>
      </x:c>
      <x:c r="F10" s="32" t="n">
        <x:f>D10/$D$7</x:f>
        <x:v>0.6559029135669521</x:v>
      </x:c>
      <x:c r="G10" s="16" t="str">
        <x:v>含定期存款/银行余额</x:v>
      </x:c>
    </x:row>
    <x:row r="11">
      <x:c r="C11" s="16" t="str">
        <x:v>有息借款</x:v>
      </x:c>
      <x:c r="D11" s="30" t="n">
        <x:v>0</x:v>
      </x:c>
      <x:c r="E11" s="16" t="str">
        <x:v>RMB bn</x:v>
      </x:c>
      <x:c r="F11" s="32" t="n">
        <x:f>D11/$D$7</x:f>
        <x:v>0</x:v>
      </x:c>
      <x:c r="G11" s="16" t="str">
        <x:v>银行及关联方借款</x:v>
      </x:c>
    </x:row>
    <x:row r="12">
      <x:c r="C12" s="16" t="str">
        <x:v>租赁负债</x:v>
      </x:c>
      <x:c r="D12" s="30" t="n">
        <x:v>0.089383</x:v>
      </x:c>
      <x:c r="E12" s="16" t="str">
        <x:v>RMB bn</x:v>
      </x:c>
      <x:c r="F12" s="32" t="n">
        <x:f>D12/$D$7</x:f>
        <x:v>0.004751938830171258</x:v>
      </x:c>
      <x:c r="G12" s="16" t="str">
        <x:v>租赁义务</x:v>
      </x:c>
    </x:row>
    <x:row r="13">
      <x:c r="C13" s="45" t="str">
        <x:v>净现金</x:v>
      </x:c>
      <x:c r="D13" s="46" t="n">
        <x:f>D10-D11-D12</x:f>
        <x:v>12.248017</x:v>
      </x:c>
      <x:c r="E13" s="45" t="str">
        <x:v>RMB bn</x:v>
      </x:c>
      <x:c r="F13" s="47" t="n">
        <x:f>D13/$D$7</x:f>
        <x:v>0.6511509747367809</x:v>
      </x:c>
      <x:c r="G13" s="45" t="str">
        <x:v>现金减借款及租赁</x:v>
      </x:c>
    </x:row>
    <x:row r="14">
      <x:c r="C14" s="16" t="str">
        <x:v>流动资产</x:v>
      </x:c>
      <x:c r="D14" s="30" t="n">
        <x:v>16.830339</x:v>
      </x:c>
      <x:c r="E14" s="16" t="str">
        <x:v>RMB bn</x:v>
      </x:c>
      <x:c r="F14" s="32" t="n">
        <x:f>D14/$D$7</x:f>
        <x:v>0.8947645684195618</x:v>
      </x:c>
      <x:c r="G14" s="16" t="str">
        <x:v>流动性资产</x:v>
      </x:c>
    </x:row>
    <x:row r="15">
      <x:c r="C15" s="16" t="str">
        <x:v>流动负债</x:v>
      </x:c>
      <x:c r="D15" s="30" t="n">
        <x:v>7.850795</x:v>
      </x:c>
      <x:c r="E15" s="16" t="str">
        <x:v>RMB bn</x:v>
      </x:c>
      <x:c r="F15" s="32" t="n">
        <x:f>D15/$D$7</x:f>
        <x:v>0.4173779981452218</x:v>
      </x:c>
      <x:c r="G15" s="16" t="str">
        <x:v>短期义务</x:v>
      </x:c>
    </x:row>
    <x:row r="16">
      <x:c r="C16" s="16" t="str">
        <x:v>流动比率</x:v>
      </x:c>
      <x:c r="D16" s="44" t="n">
        <x:f>D14/D15</x:f>
        <x:v>2.143775120863556</x:v>
      </x:c>
      <x:c r="E16" s="16" t="str">
        <x:v>x</x:v>
      </x:c>
      <x:c r="F16" s="32" t="n">
        <x:f>D16</x:f>
        <x:v>2.143775120863556</x:v>
      </x:c>
      <x:c r="G16" s="16" t="str">
        <x:v>短期偿债能力</x:v>
      </x:c>
    </x:row>
    <x:row r="17">
      <x:c r="C17" s="17" t="str">
        <x:v>年化应收款/收入</x:v>
      </x:c>
      <x:c r="D17" s="34" t="n">
        <x:f>D9/('Historical'!H7*2)</x:f>
        <x:v>0.25105346738433265</x:v>
      </x:c>
      <x:c r="E17" s="17" t="str">
        <x:v>%</x:v>
      </x:c>
      <x:c r="F17" s="34" t="n">
        <x:f>D17</x:f>
        <x:v>0.25105346738433265</x:v>
      </x:c>
      <x:c r="G17" s="17" t="str">
        <x:v>H1收入简单年化，仅作比较</x:v>
      </x:c>
    </x:row>
  </x:sheetData>
  <x:mergeCells>
    <x:mergeCell ref="C2:G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30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2">
      <x:c r="C2" s="2" t="str">
        <x:v>预测假设</x:v>
      </x:c>
      <x:c r="D2" s="2"/>
      <x:c r="E2" s="2"/>
      <x:c r="F2" s="2"/>
    </x:row>
    <x:row r="3">
      <x:c r="C3" s="3" t="str">
        <x:v>蓝色数字为分析假设；每个年度均可单独修改</x:v>
      </x:c>
      <x:c r="D3" s="3"/>
      <x:c r="E3" s="3"/>
      <x:c r="F3" s="3"/>
    </x:row>
    <x:row r="6">
      <x:c r="C6" s="9" t="str">
        <x:v>情景/驱动</x:v>
      </x:c>
      <x:c r="D6" s="10" t="str">
        <x:v>2026E</x:v>
      </x:c>
      <x:c r="E6" s="10" t="str">
        <x:v>2027E</x:v>
      </x:c>
      <x:c r="F6" s="11" t="str">
        <x:v>2028E</x:v>
      </x:c>
    </x:row>
    <x:row r="8">
      <x:c r="C8" s="54" t="str">
        <x:v>Bear</x:v>
      </x:c>
      <x:c r="D8" s="54"/>
      <x:c r="E8" s="54"/>
      <x:c r="F8" s="54"/>
    </x:row>
    <x:row r="9">
      <x:c r="C9" s="15" t="str">
        <x:v>收入增长</x:v>
      </x:c>
      <x:c r="D9" s="59" t="n">
        <x:v>0.03</x:v>
      </x:c>
      <x:c r="E9" s="59" t="n">
        <x:v>0.02</x:v>
      </x:c>
      <x:c r="F9" s="59" t="n">
        <x:v>0.02</x:v>
      </x:c>
    </x:row>
    <x:row r="10">
      <x:c r="C10" s="17" t="str">
        <x:v>归母净利率</x:v>
      </x:c>
      <x:c r="D10" s="60" t="n">
        <x:v>0.095</x:v>
      </x:c>
      <x:c r="E10" s="60" t="n">
        <x:v>0.09</x:v>
      </x:c>
      <x:c r="F10" s="60" t="n">
        <x:v>0.09</x:v>
      </x:c>
    </x:row>
    <x:row r="13">
      <x:c r="C13" s="54" t="str">
        <x:v>Base</x:v>
      </x:c>
      <x:c r="D13" s="54"/>
      <x:c r="E13" s="54"/>
      <x:c r="F13" s="54"/>
    </x:row>
    <x:row r="14">
      <x:c r="C14" s="15" t="str">
        <x:v>收入增长</x:v>
      </x:c>
      <x:c r="D14" s="59" t="n">
        <x:v>0.06</x:v>
      </x:c>
      <x:c r="E14" s="59" t="n">
        <x:v>0.07</x:v>
      </x:c>
      <x:c r="F14" s="59" t="n">
        <x:v>0.07</x:v>
      </x:c>
    </x:row>
    <x:row r="15">
      <x:c r="C15" s="17" t="str">
        <x:v>归母净利率</x:v>
      </x:c>
      <x:c r="D15" s="60" t="n">
        <x:v>0.105</x:v>
      </x:c>
      <x:c r="E15" s="60" t="n">
        <x:v>0.108</x:v>
      </x:c>
      <x:c r="F15" s="60" t="n">
        <x:v>0.11</x:v>
      </x:c>
    </x:row>
    <x:row r="18">
      <x:c r="C18" s="54" t="str">
        <x:v>Bull</x:v>
      </x:c>
      <x:c r="D18" s="54"/>
      <x:c r="E18" s="54"/>
      <x:c r="F18" s="54"/>
    </x:row>
    <x:row r="19">
      <x:c r="C19" s="15" t="str">
        <x:v>收入增长</x:v>
      </x:c>
      <x:c r="D19" s="59" t="n">
        <x:v>0.08</x:v>
      </x:c>
      <x:c r="E19" s="59" t="n">
        <x:v>0.1</x:v>
      </x:c>
      <x:c r="F19" s="59" t="n">
        <x:v>0.09</x:v>
      </x:c>
    </x:row>
    <x:row r="20">
      <x:c r="C20" s="17" t="str">
        <x:v>归母净利率</x:v>
      </x:c>
      <x:c r="D20" s="60" t="n">
        <x:v>0.108</x:v>
      </x:c>
      <x:c r="E20" s="60" t="n">
        <x:v>0.113</x:v>
      </x:c>
      <x:c r="F20" s="60" t="n">
        <x:v>0.115</x:v>
      </x:c>
    </x:row>
    <x:row r="23">
      <x:c r="C23" s="9" t="str">
        <x:v>估值情景</x:v>
      </x:c>
      <x:c r="D23" s="10" t="str">
        <x:v>Bear</x:v>
      </x:c>
      <x:c r="E23" s="10" t="str">
        <x:v>Base</x:v>
      </x:c>
      <x:c r="F23" s="10" t="str">
        <x:v>Bull</x:v>
      </x:c>
      <x:c r="G23" s="11" t="str">
        <x:v>单位</x:v>
      </x:c>
    </x:row>
    <x:row r="24">
      <x:c r="C24" s="15" t="str">
        <x:v>正常化P/E</x:v>
      </x:c>
      <x:c r="D24" s="67" t="n">
        <x:v>5.5</x:v>
      </x:c>
      <x:c r="E24" s="67" t="n">
        <x:v>7.5</x:v>
      </x:c>
      <x:c r="F24" s="67" t="n">
        <x:v>10</x:v>
      </x:c>
      <x:c r="G24" s="15" t="str">
        <x:v>x</x:v>
      </x:c>
    </x:row>
    <x:row r="25">
      <x:c r="C25" s="16" t="str">
        <x:v>可分配现金/股</x:v>
      </x:c>
      <x:c r="D25" s="68" t="n">
        <x:v>0</x:v>
      </x:c>
      <x:c r="E25" s="68" t="n">
        <x:v>3</x:v>
      </x:c>
      <x:c r="F25" s="68" t="n">
        <x:v>8</x:v>
      </x:c>
      <x:c r="G25" s="16" t="str">
        <x:v>RMB/股</x:v>
      </x:c>
    </x:row>
    <x:row r="26">
      <x:c r="C26" s="17" t="str">
        <x:v>人民币兑港元</x:v>
      </x:c>
      <x:c r="D26" s="69" t="n">
        <x:v>1.1684</x:v>
      </x:c>
      <x:c r="E26" s="69" t="n">
        <x:v>1.1684</x:v>
      </x:c>
      <x:c r="F26" s="69" t="n">
        <x:v>1.1684</x:v>
      </x:c>
      <x:c r="G26" s="17" t="str">
        <x:v>HKD/RMB</x:v>
      </x:c>
    </x:row>
  </x:sheetData>
  <x:mergeCells>
    <x:mergeCell ref="C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2">
      <x:c r="C2" s="2" t="str">
        <x:v>情景预测</x:v>
      </x:c>
      <x:c r="D2" s="2"/>
      <x:c r="E2" s="2"/>
      <x:c r="F2" s="2"/>
      <x:c r="G2" s="2"/>
    </x:row>
    <x:row r="3">
      <x:c r="C3" s="3" t="str">
        <x:v>收入从2025A滚动；归母净利润由收入×净利率计算</x:v>
      </x:c>
      <x:c r="D3" s="3"/>
      <x:c r="E3" s="3"/>
      <x:c r="F3" s="3"/>
      <x:c r="G3" s="3"/>
    </x:row>
    <x:row r="6">
      <x:c r="C6" s="9" t="str">
        <x:v>情景/指标</x:v>
      </x:c>
      <x:c r="D6" s="10" t="str">
        <x:v>2025A</x:v>
      </x:c>
      <x:c r="E6" s="10" t="str">
        <x:v>2026E</x:v>
      </x:c>
      <x:c r="F6" s="10" t="str">
        <x:v>2027E</x:v>
      </x:c>
      <x:c r="G6" s="11" t="str">
        <x:v>2028E</x:v>
      </x:c>
    </x:row>
    <x:row r="8">
      <x:c r="C8" s="54" t="str">
        <x:v>Bear</x:v>
      </x:c>
      <x:c r="D8" s="54"/>
      <x:c r="E8" s="54"/>
      <x:c r="F8" s="54"/>
      <x:c r="G8" s="54"/>
    </x:row>
    <x:row r="9">
      <x:c r="C9" s="15" t="str">
        <x:v>收入</x:v>
      </x:c>
      <x:c r="D9" s="29" t="n">
        <x:f>'Historical'!G7</x:f>
        <x:v>17.126068</x:v>
      </x:c>
      <x:c r="E9" s="29" t="n">
        <x:f>D9*(1+'Assumptions'!D9)</x:f>
        <x:v>17.63985004</x:v>
      </x:c>
      <x:c r="F9" s="29" t="n">
        <x:f>E9*(1+'Assumptions'!E9)</x:f>
        <x:v>17.992647040799998</x:v>
      </x:c>
      <x:c r="G9" s="29" t="n">
        <x:f>F9*(1+'Assumptions'!F9)</x:f>
        <x:v>18.352499981616</x:v>
      </x:c>
    </x:row>
    <x:row r="10">
      <x:c r="C10" s="16" t="str">
        <x:v>归母净利润</x:v>
      </x:c>
      <x:c r="D10" s="30" t="n">
        <x:f>'Historical'!G10</x:f>
        <x:v>1.54945</x:v>
      </x:c>
      <x:c r="E10" s="30" t="n">
        <x:f>E9*'Assumptions'!D10</x:f>
        <x:v>1.6757857537999998</x:v>
      </x:c>
      <x:c r="F10" s="30" t="n">
        <x:f>F9*'Assumptions'!E10</x:f>
        <x:v>1.6193382336719997</x:v>
      </x:c>
      <x:c r="G10" s="30" t="n">
        <x:f>G9*'Assumptions'!F10</x:f>
        <x:v>1.6517249983454398</x:v>
      </x:c>
    </x:row>
    <x:row r="11">
      <x:c r="C11" s="17" t="str">
        <x:v>EPS</x:v>
      </x:c>
      <x:c r="D11" s="75" t="n">
        <x:f>D10/'Valuation'!$D$6</x:f>
        <x:v>2.8002125302485124</x:v>
      </x:c>
      <x:c r="E11" s="75" t="n">
        <x:f>E10/'Valuation'!$D$6</x:f>
        <x:v>3.028530295138732</x:v>
      </x:c>
      <x:c r="F11" s="75" t="n">
        <x:f>F10/'Valuation'!$D$6</x:f>
        <x:v>2.9265166430919534</x:v>
      </x:c>
      <x:c r="G11" s="75" t="n">
        <x:f>G10/'Valuation'!$D$6</x:f>
        <x:v>2.9850469759537925</x:v>
      </x:c>
    </x:row>
    <x:row r="13">
      <x:c r="C13" s="54" t="str">
        <x:v>Base</x:v>
      </x:c>
      <x:c r="D13" s="54"/>
      <x:c r="E13" s="54"/>
      <x:c r="F13" s="54"/>
      <x:c r="G13" s="54"/>
    </x:row>
    <x:row r="14">
      <x:c r="C14" s="15" t="str">
        <x:v>收入</x:v>
      </x:c>
      <x:c r="D14" s="29" t="n">
        <x:f>'Historical'!G7</x:f>
        <x:v>17.126068</x:v>
      </x:c>
      <x:c r="E14" s="29" t="n">
        <x:f>D14*(1+'Assumptions'!D14)</x:f>
        <x:v>18.15363208</x:v>
      </x:c>
      <x:c r="F14" s="29" t="n">
        <x:f>E14*(1+'Assumptions'!E14)</x:f>
        <x:v>19.424386325600004</x:v>
      </x:c>
      <x:c r="G14" s="29" t="n">
        <x:f>F14*(1+'Assumptions'!F14)</x:f>
        <x:v>20.784093368392007</x:v>
      </x:c>
    </x:row>
    <x:row r="15">
      <x:c r="C15" s="16" t="str">
        <x:v>归母净利润</x:v>
      </x:c>
      <x:c r="D15" s="30" t="n">
        <x:f>'Historical'!G10</x:f>
        <x:v>1.54945</x:v>
      </x:c>
      <x:c r="E15" s="30" t="n">
        <x:f>E14*'Assumptions'!D15</x:f>
        <x:v>1.9061313684</x:v>
      </x:c>
      <x:c r="F15" s="30" t="n">
        <x:f>F14*'Assumptions'!E15</x:f>
        <x:v>2.0978337231648005</x:v>
      </x:c>
      <x:c r="G15" s="30" t="n">
        <x:f>G14*'Assumptions'!F15</x:f>
        <x:v>2.2862502705231207</x:v>
      </x:c>
    </x:row>
    <x:row r="16">
      <x:c r="C16" s="17" t="str">
        <x:v>EPS</x:v>
      </x:c>
      <x:c r="D16" s="75" t="n">
        <x:f>D15/'Valuation'!$D$6</x:f>
        <x:v>2.8002125302485124</x:v>
      </x:c>
      <x:c r="E16" s="75" t="n">
        <x:f>E15/'Valuation'!$D$6</x:f>
        <x:v>3.4448178012155433</x:v>
      </x:c>
      <x:c r="F16" s="75" t="n">
        <x:f>F15/'Valuation'!$D$6</x:f>
        <x:v>3.791268048652079</x:v>
      </x:c>
      <x:c r="G16" s="75" t="n">
        <x:f>G15/'Valuation'!$D$6</x:f>
        <x:v>4.131780086355089</x:v>
      </x:c>
    </x:row>
    <x:row r="18">
      <x:c r="C18" s="54" t="str">
        <x:v>Bull</x:v>
      </x:c>
      <x:c r="D18" s="54"/>
      <x:c r="E18" s="54"/>
      <x:c r="F18" s="54"/>
      <x:c r="G18" s="54"/>
    </x:row>
    <x:row r="19">
      <x:c r="C19" s="15" t="str">
        <x:v>收入</x:v>
      </x:c>
      <x:c r="D19" s="29" t="n">
        <x:f>'Historical'!G7</x:f>
        <x:v>17.126068</x:v>
      </x:c>
      <x:c r="E19" s="29" t="n">
        <x:f>D19*(1+'Assumptions'!D19)</x:f>
        <x:v>18.49615344</x:v>
      </x:c>
      <x:c r="F19" s="29" t="n">
        <x:f>E19*(1+'Assumptions'!E19)</x:f>
        <x:v>20.345768784</x:v>
      </x:c>
      <x:c r="G19" s="29" t="n">
        <x:f>F19*(1+'Assumptions'!F19)</x:f>
        <x:v>22.176887974560003</x:v>
      </x:c>
    </x:row>
    <x:row r="20">
      <x:c r="C20" s="16" t="str">
        <x:v>归母净利润</x:v>
      </x:c>
      <x:c r="D20" s="30" t="n">
        <x:f>'Historical'!G10</x:f>
        <x:v>1.54945</x:v>
      </x:c>
      <x:c r="E20" s="30" t="n">
        <x:f>E19*'Assumptions'!D20</x:f>
        <x:v>1.99758457152</x:v>
      </x:c>
      <x:c r="F20" s="30" t="n">
        <x:f>F19*'Assumptions'!E20</x:f>
        <x:v>2.299071872592</x:v>
      </x:c>
      <x:c r="G20" s="30" t="n">
        <x:f>G19*'Assumptions'!F20</x:f>
        <x:v>2.5503421170744005</x:v>
      </x:c>
    </x:row>
    <x:row r="21">
      <x:c r="C21" s="17" t="str">
        <x:v>EPS</x:v>
      </x:c>
      <x:c r="D21" s="75" t="n">
        <x:f>D20/'Valuation'!$D$6</x:f>
        <x:v>2.8002125302485124</x:v>
      </x:c>
      <x:c r="E21" s="75" t="n">
        <x:f>E20/'Valuation'!$D$6</x:f>
        <x:v>3.6100947738884184</x:v>
      </x:c>
      <x:c r="F21" s="75" t="n">
        <x:f>F20/'Valuation'!$D$6</x:f>
        <x:v>4.154951670317874</x:v>
      </x:c>
      <x:c r="G21" s="75" t="n">
        <x:f>G20/'Valuation'!$D$6</x:f>
        <x:v>4.609054795348191</x:v>
      </x:c>
    </x:row>
  </x:sheetData>
  <x:mergeCells>
    <x:mergeCell ref="C2:G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24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2">
      <x:c r="C2" s="2" t="str">
        <x:v>正常化P/E + 折价可分配现金</x:v>
      </x:c>
      <x:c r="D2" s="2"/>
      <x:c r="E2" s="2"/>
      <x:c r="F2" s="2"/>
      <x:c r="G2" s="2"/>
      <x:c r="H2" s="2"/>
      <x:c r="I2" s="2"/>
    </x:row>
    <x:row r="3">
      <x:c r="C3" s="3" t="str">
        <x:v>使用2027E正常化EPS；汇率按2026-09-04固定，情景价值不是目标价承诺</x:v>
      </x:c>
      <x:c r="D3" s="3"/>
      <x:c r="E3" s="3"/>
      <x:c r="F3" s="3"/>
      <x:c r="G3" s="3"/>
      <x:c r="H3" s="3"/>
      <x:c r="I3" s="3"/>
    </x:row>
    <x:row r="4">
      <x:c r="C4" s="15" t="str">
        <x:v>市场输入</x:v>
      </x:c>
      <x:c r="D4" s="15" t="str">
        <x:v>数值</x:v>
      </x:c>
    </x:row>
    <x:row r="5">
      <x:c r="C5" s="16" t="str">
        <x:v>价格</x:v>
      </x:c>
      <x:c r="D5" s="76" t="n">
        <x:v>28.76</x:v>
      </x:c>
    </x:row>
    <x:row r="6">
      <x:c r="C6" s="16" t="str">
        <x:v>总股数</x:v>
      </x:c>
      <x:c r="D6" s="77" t="n">
        <x:v>0.553333</x:v>
      </x:c>
    </x:row>
    <x:row r="7">
      <x:c r="C7" s="17" t="str">
        <x:v>人民币兑港元</x:v>
      </x:c>
      <x:c r="D7" s="78" t="n">
        <x:v>1.1684</x:v>
      </x:c>
    </x:row>
    <x:row r="8">
      <x:c r="C8" s="9" t="str">
        <x:v>情景</x:v>
      </x:c>
      <x:c r="D8" s="10" t="str">
        <x:v>2027E EPS</x:v>
      </x:c>
      <x:c r="E8" s="10" t="str">
        <x:v>P/E</x:v>
      </x:c>
      <x:c r="F8" s="10" t="str">
        <x:v>P/E价值</x:v>
      </x:c>
      <x:c r="G8" s="10" t="str">
        <x:v>可分配现金/股</x:v>
      </x:c>
      <x:c r="H8" s="10" t="str">
        <x:v>加权/总价值</x:v>
      </x:c>
      <x:c r="I8" s="11" t="str">
        <x:v>相对现价</x:v>
      </x:c>
    </x:row>
    <x:row r="9">
      <x:c r="C9" s="15" t="str">
        <x:v>Bear</x:v>
      </x:c>
      <x:c r="D9" s="98" t="n">
        <x:f>'Forecast'!F11</x:f>
        <x:v>2.9265166430919534</x:v>
      </x:c>
      <x:c r="E9" s="99" t="n">
        <x:f>'Assumptions'!D24</x:f>
        <x:v>5.5</x:v>
      </x:c>
      <x:c r="F9" s="100" t="n">
        <x:f>D9*E9*$D$7</x:f>
        <x:v>18.80638125183751</x:v>
      </x:c>
      <x:c r="G9" s="98" t="n">
        <x:f>'Assumptions'!D25</x:f>
        <x:v>0</x:v>
      </x:c>
      <x:c r="H9" s="100" t="n">
        <x:f>F9+G9*$D$7</x:f>
        <x:v>18.80638125183751</x:v>
      </x:c>
      <x:c r="I9" s="33" t="n">
        <x:f>H9/$D$5-1</x:f>
        <x:v>-0.3460924460418112</x:v>
      </x:c>
    </x:row>
    <x:row r="10">
      <x:c r="C10" s="45" t="str">
        <x:v>Base</x:v>
      </x:c>
      <x:c r="D10" s="101" t="n">
        <x:f>'Forecast'!F16</x:f>
        <x:v>3.791268048652079</x:v>
      </x:c>
      <x:c r="E10" s="102" t="n">
        <x:f>'Assumptions'!E24</x:f>
        <x:v>7.5</x:v>
      </x:c>
      <x:c r="F10" s="103" t="n">
        <x:f>D10*E10*$D$7</x:f>
        <x:v>33.222881910338174</x:v>
      </x:c>
      <x:c r="G10" s="101" t="n">
        <x:f>'Assumptions'!E25</x:f>
        <x:v>3</x:v>
      </x:c>
      <x:c r="H10" s="103" t="n">
        <x:f>F10+G10*$D$7</x:f>
        <x:v>36.728081910338176</x:v>
      </x:c>
      <x:c r="I10" s="47" t="n">
        <x:f>H10/$D$5-1</x:f>
        <x:v>0.2770543084262229</x:v>
      </x:c>
    </x:row>
    <x:row r="11">
      <x:c r="C11" s="17" t="str">
        <x:v>Bull</x:v>
      </x:c>
      <x:c r="D11" s="75" t="n">
        <x:f>'Forecast'!F21</x:f>
        <x:v>4.154951670317874</x:v>
      </x:c>
      <x:c r="E11" s="104" t="n">
        <x:f>'Assumptions'!F24</x:f>
        <x:v>10</x:v>
      </x:c>
      <x:c r="F11" s="105" t="n">
        <x:f>D11*E11*$D$7</x:f>
        <x:v>48.546455315994045</x:v>
      </x:c>
      <x:c r="G11" s="75" t="n">
        <x:f>'Assumptions'!F25</x:f>
        <x:v>8</x:v>
      </x:c>
      <x:c r="H11" s="105" t="n">
        <x:f>F11+G11*$D$7</x:f>
        <x:v>57.893655315994046</x:v>
      </x:c>
      <x:c r="I11" s="34" t="n">
        <x:f>H11/$D$5-1</x:f>
        <x:v>1.0129921876214896</x:v>
      </x:c>
    </x:row>
    <x:row r="14">
      <x:c r="C14" s="9" t="str">
        <x:v>估值限制</x:v>
      </x:c>
      <x:c r="D14" s="10"/>
      <x:c r="E14" s="10"/>
      <x:c r="F14" s="10"/>
      <x:c r="G14" s="10"/>
      <x:c r="H14" s="10"/>
      <x:c r="I14" s="11"/>
    </x:row>
    <x:row r="15">
      <x:c r="C15" s="28" t="str">
        <x:v>可分配现金不是账面净现金：模型只计入每股0/3/8元人民币，并将其与正常化P/E价值相加，以反映运营资金、客户资金、关联财务公司存款和国企资本配置折价。</x:v>
      </x:c>
      <x:c r="D15" s="28" t="str">
        <x:v>可分配现金不是账面净现金：模型只计入每股0/3/8元人民币，并将其与正常化P/E价值相加，以反映运营资金、客户资金、关联财务公司存款和国企资本配置折价。</x:v>
      </x:c>
      <x:c r="E15" s="28" t="str">
        <x:v>可分配现金不是账面净现金：模型只计入每股0/3/8元人民币，并将其与正常化P/E价值相加，以反映运营资金、客户资金、关联财务公司存款和国企资本配置折价。</x:v>
      </x:c>
      <x:c r="F15" s="28" t="str">
        <x:v>可分配现金不是账面净现金：模型只计入每股0/3/8元人民币，并将其与正常化P/E价值相加，以反映运营资金、客户资金、关联财务公司存款和国企资本配置折价。</x:v>
      </x:c>
      <x:c r="G15" s="28" t="str">
        <x:v>可分配现金不是账面净现金：模型只计入每股0/3/8元人民币，并将其与正常化P/E价值相加，以反映运营资金、客户资金、关联财务公司存款和国企资本配置折价。</x:v>
      </x:c>
      <x:c r="H15" s="28" t="str">
        <x:v>可分配现金不是账面净现金：模型只计入每股0/3/8元人民币，并将其与正常化P/E价值相加，以反映运营资金、客户资金、关联财务公司存款和国企资本配置折价。</x:v>
      </x:c>
      <x:c r="I15" s="28" t="str">
        <x:v>可分配现金不是账面净现金：模型只计入每股0/3/8元人民币，并将其与正常化P/E价值相加，以反映运营资金、客户资金、关联财务公司存款和国企资本配置折价。</x:v>
      </x:c>
    </x:row>
    <x:row r="16">
      <x:c r="C16" s="28" t="str">
        <x:v>可分配现金不是账面净现金：模型只计入每股0/3/8元人民币，并将其与正常化P/E价值相加，以反映运营资金、客户资金、关联财务公司存款和国企资本配置折价。</x:v>
      </x:c>
      <x:c r="D16" s="28" t="str">
        <x:v>可分配现金不是账面净现金：模型只计入每股0/3/8元人民币，并将其与正常化P/E价值相加，以反映运营资金、客户资金、关联财务公司存款和国企资本配置折价。</x:v>
      </x:c>
      <x:c r="E16" s="28" t="str">
        <x:v>可分配现金不是账面净现金：模型只计入每股0/3/8元人民币，并将其与正常化P/E价值相加，以反映运营资金、客户资金、关联财务公司存款和国企资本配置折价。</x:v>
      </x:c>
      <x:c r="F16" s="28" t="str">
        <x:v>可分配现金不是账面净现金：模型只计入每股0/3/8元人民币，并将其与正常化P/E价值相加，以反映运营资金、客户资金、关联财务公司存款和国企资本配置折价。</x:v>
      </x:c>
      <x:c r="G16" s="28" t="str">
        <x:v>可分配现金不是账面净现金：模型只计入每股0/3/8元人民币，并将其与正常化P/E价值相加，以反映运营资金、客户资金、关联财务公司存款和国企资本配置折价。</x:v>
      </x:c>
      <x:c r="H16" s="28" t="str">
        <x:v>可分配现金不是账面净现金：模型只计入每股0/3/8元人民币，并将其与正常化P/E价值相加，以反映运营资金、客户资金、关联财务公司存款和国企资本配置折价。</x:v>
      </x:c>
      <x:c r="I16" s="28" t="str">
        <x:v>可分配现金不是账面净现金：模型只计入每股0/3/8元人民币，并将其与正常化P/E价值相加，以反映运营资金、客户资金、关联财务公司存款和国企资本配置折价。</x:v>
      </x:c>
    </x:row>
    <x:row r="17">
      <x:c r="C17" s="28" t="str">
        <x:v>可分配现金不是账面净现金：模型只计入每股0/3/8元人民币，并将其与正常化P/E价值相加，以反映运营资金、客户资金、关联财务公司存款和国企资本配置折价。</x:v>
      </x:c>
      <x:c r="D17" s="28" t="str">
        <x:v>可分配现金不是账面净现金：模型只计入每股0/3/8元人民币，并将其与正常化P/E价值相加，以反映运营资金、客户资金、关联财务公司存款和国企资本配置折价。</x:v>
      </x:c>
      <x:c r="E17" s="28" t="str">
        <x:v>可分配现金不是账面净现金：模型只计入每股0/3/8元人民币，并将其与正常化P/E价值相加，以反映运营资金、客户资金、关联财务公司存款和国企资本配置折价。</x:v>
      </x:c>
      <x:c r="F17" s="28" t="str">
        <x:v>可分配现金不是账面净现金：模型只计入每股0/3/8元人民币，并将其与正常化P/E价值相加，以反映运营资金、客户资金、关联财务公司存款和国企资本配置折价。</x:v>
      </x:c>
      <x:c r="G17" s="28" t="str">
        <x:v>可分配现金不是账面净现金：模型只计入每股0/3/8元人民币，并将其与正常化P/E价值相加，以反映运营资金、客户资金、关联财务公司存款和国企资本配置折价。</x:v>
      </x:c>
      <x:c r="H17" s="28" t="str">
        <x:v>可分配现金不是账面净现金：模型只计入每股0/3/8元人民币，并将其与正常化P/E价值相加，以反映运营资金、客户资金、关联财务公司存款和国企资本配置折价。</x:v>
      </x:c>
      <x:c r="I17" s="28" t="str">
        <x:v>可分配现金不是账面净现金：模型只计入每股0/3/8元人民币，并将其与正常化P/E价值相加，以反映运营资金、客户资金、关联财务公司存款和国企资本配置折价。</x:v>
      </x:c>
    </x:row>
    <x:row r="18">
      <x:c r="C18" s="28" t="str">
        <x:v>可分配现金不是账面净现金：模型只计入每股0/3/8元人民币，并将其与正常化P/E价值相加，以反映运营资金、客户资金、关联财务公司存款和国企资本配置折价。</x:v>
      </x:c>
      <x:c r="D18" s="28" t="str">
        <x:v>可分配现金不是账面净现金：模型只计入每股0/3/8元人民币，并将其与正常化P/E价值相加，以反映运营资金、客户资金、关联财务公司存款和国企资本配置折价。</x:v>
      </x:c>
      <x:c r="E18" s="28" t="str">
        <x:v>可分配现金不是账面净现金：模型只计入每股0/3/8元人民币，并将其与正常化P/E价值相加，以反映运营资金、客户资金、关联财务公司存款和国企资本配置折价。</x:v>
      </x:c>
      <x:c r="F18" s="28" t="str">
        <x:v>可分配现金不是账面净现金：模型只计入每股0/3/8元人民币，并将其与正常化P/E价值相加，以反映运营资金、客户资金、关联财务公司存款和国企资本配置折价。</x:v>
      </x:c>
      <x:c r="G18" s="28" t="str">
        <x:v>可分配现金不是账面净现金：模型只计入每股0/3/8元人民币，并将其与正常化P/E价值相加，以反映运营资金、客户资金、关联财务公司存款和国企资本配置折价。</x:v>
      </x:c>
      <x:c r="H18" s="28" t="str">
        <x:v>可分配现金不是账面净现金：模型只计入每股0/3/8元人民币，并将其与正常化P/E价值相加，以反映运营资金、客户资金、关联财务公司存款和国企资本配置折价。</x:v>
      </x:c>
      <x:c r="I18" s="28" t="str">
        <x:v>可分配现金不是账面净现金：模型只计入每股0/3/8元人民币，并将其与正常化P/E价值相加，以反映运营资金、客户资金、关联财务公司存款和国企资本配置折价。</x:v>
      </x:c>
    </x:row>
    <x:row r="19">
      <x:c r="C19" s="28" t="str">
        <x:v>可分配现金不是账面净现金：模型只计入每股0/3/8元人民币，并将其与正常化P/E价值相加，以反映运营资金、客户资金、关联财务公司存款和国企资本配置折价。</x:v>
      </x:c>
      <x:c r="D19" s="28" t="str">
        <x:v>可分配现金不是账面净现金：模型只计入每股0/3/8元人民币，并将其与正常化P/E价值相加，以反映运营资金、客户资金、关联财务公司存款和国企资本配置折价。</x:v>
      </x:c>
      <x:c r="E19" s="28" t="str">
        <x:v>可分配现金不是账面净现金：模型只计入每股0/3/8元人民币，并将其与正常化P/E价值相加，以反映运营资金、客户资金、关联财务公司存款和国企资本配置折价。</x:v>
      </x:c>
      <x:c r="F19" s="28" t="str">
        <x:v>可分配现金不是账面净现金：模型只计入每股0/3/8元人民币，并将其与正常化P/E价值相加，以反映运营资金、客户资金、关联财务公司存款和国企资本配置折价。</x:v>
      </x:c>
      <x:c r="G19" s="28" t="str">
        <x:v>可分配现金不是账面净现金：模型只计入每股0/3/8元人民币，并将其与正常化P/E价值相加，以反映运营资金、客户资金、关联财务公司存款和国企资本配置折价。</x:v>
      </x:c>
      <x:c r="H19" s="28" t="str">
        <x:v>可分配现金不是账面净现金：模型只计入每股0/3/8元人民币，并将其与正常化P/E价值相加，以反映运营资金、客户资金、关联财务公司存款和国企资本配置折价。</x:v>
      </x:c>
      <x:c r="I19" s="28" t="str">
        <x:v>可分配现金不是账面净现金：模型只计入每股0/3/8元人民币，并将其与正常化P/E价值相加，以反映运营资金、客户资金、关联财务公司存款和国企资本配置折价。</x:v>
      </x:c>
    </x:row>
    <x:row r="20">
      <x:c r="C20" s="28" t="str">
        <x:v>可分配现金不是账面净现金：模型只计入每股0/3/8元人民币，并将其与正常化P/E价值相加，以反映运营资金、客户资金、关联财务公司存款和国企资本配置折价。</x:v>
      </x:c>
      <x:c r="D20" s="28" t="str">
        <x:v>可分配现金不是账面净现金：模型只计入每股0/3/8元人民币，并将其与正常化P/E价值相加，以反映运营资金、客户资金、关联财务公司存款和国企资本配置折价。</x:v>
      </x:c>
      <x:c r="E20" s="28" t="str">
        <x:v>可分配现金不是账面净现金：模型只计入每股0/3/8元人民币，并将其与正常化P/E价值相加，以反映运营资金、客户资金、关联财务公司存款和国企资本配置折价。</x:v>
      </x:c>
      <x:c r="F20" s="28" t="str">
        <x:v>可分配现金不是账面净现金：模型只计入每股0/3/8元人民币，并将其与正常化P/E价值相加，以反映运营资金、客户资金、关联财务公司存款和国企资本配置折价。</x:v>
      </x:c>
      <x:c r="G20" s="28" t="str">
        <x:v>可分配现金不是账面净现金：模型只计入每股0/3/8元人民币，并将其与正常化P/E价值相加，以反映运营资金、客户资金、关联财务公司存款和国企资本配置折价。</x:v>
      </x:c>
      <x:c r="H20" s="28" t="str">
        <x:v>可分配现金不是账面净现金：模型只计入每股0/3/8元人民币，并将其与正常化P/E价值相加，以反映运营资金、客户资金、关联财务公司存款和国企资本配置折价。</x:v>
      </x:c>
      <x:c r="I20" s="28" t="str">
        <x:v>可分配现金不是账面净现金：模型只计入每股0/3/8元人民币，并将其与正常化P/E价值相加，以反映运营资金、客户资金、关联财务公司存款和国企资本配置折价。</x:v>
      </x:c>
    </x:row>
  </x:sheetData>
  <x:mergeCells>
    <x:mergeCell ref="C2:I2"/>
    <x:mergeCell ref="C15:I20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4" hidden="0" customWidth="1"/>
  </x:cols>
  <x:sheetData>
    <x:row r="2">
      <x:c r="C2" s="2" t="str">
        <x:v>模型检查</x:v>
      </x:c>
      <x:c r="D2" s="2"/>
      <x:c r="E2" s="2"/>
      <x:c r="F2" s="2"/>
      <x:c r="G2" s="2"/>
      <x:c r="H2" s="2"/>
      <x:c r="I2" s="2"/>
    </x:row>
    <x:row r="4">
      <x:c r="C4" s="9" t="str">
        <x:v>检查项</x:v>
      </x:c>
      <x:c r="D4" s="10" t="str">
        <x:v>实际</x:v>
      </x:c>
      <x:c r="E4" s="10" t="str">
        <x:v>预期/阈值</x:v>
      </x:c>
      <x:c r="F4" s="10" t="str">
        <x:v>差异</x:v>
      </x:c>
      <x:c r="G4" s="10" t="str">
        <x:v>容差</x:v>
      </x:c>
      <x:c r="H4" s="10" t="str">
        <x:v>状态</x:v>
      </x:c>
      <x:c r="I4" s="11" t="str">
        <x:v>说明</x:v>
      </x:c>
    </x:row>
    <x:row r="5">
      <x:c r="C5" s="15" t="str">
        <x:v>市值桥</x:v>
      </x:c>
      <x:c r="D5" s="15" t="n">
        <x:f>'Valuation'!D5*'Valuation'!D6</x:f>
        <x:v>15.91385708</x:v>
      </x:c>
      <x:c r="E5" s="15" t="n">
        <x:f>'Valuation'!D5*'Valuation'!D6</x:f>
        <x:v>15.91385708</x:v>
      </x:c>
      <x:c r="F5" s="15" t="n">
        <x:f>D5-E5</x:f>
        <x:v>0</x:v>
      </x:c>
      <x:c r="G5" s="15" t="n">
        <x:f>0.0001</x:f>
        <x:v>0.0001</x:v>
      </x:c>
      <x:c r="H5" s="15" t="str">
        <x:f>IF(ABS(F5)&lt;=G5,"OK","FAIL")</x:f>
        <x:v>OK</x:v>
      </x:c>
      <x:c r="I5" s="15" t="str">
        <x:v>价格×股数</x:v>
      </x:c>
    </x:row>
    <x:row r="6">
      <x:c r="C6" s="16" t="str">
        <x:v>净现金桥</x:v>
      </x:c>
      <x:c r="D6" s="16" t="n">
        <x:f>'Balance &amp; Cash'!D13</x:f>
        <x:v>12.248017</x:v>
      </x:c>
      <x:c r="E6" s="16" t="n">
        <x:f>'Balance &amp; Cash'!D10-'Balance &amp; Cash'!D11-'Balance &amp; Cash'!D12</x:f>
        <x:v>12.248017</x:v>
      </x:c>
      <x:c r="F6" s="16" t="n">
        <x:f>D6-E6</x:f>
        <x:v>0</x:v>
      </x:c>
      <x:c r="G6" s="16" t="n">
        <x:f>0.0001</x:f>
        <x:v>0.0001</x:v>
      </x:c>
      <x:c r="H6" s="16" t="str">
        <x:f>IF(ABS(F6)&lt;=G6,"OK","FAIL")</x:f>
        <x:v>OK</x:v>
      </x:c>
      <x:c r="I6" s="16" t="str">
        <x:v>现金-债务-租赁</x:v>
      </x:c>
    </x:row>
    <x:row r="7">
      <x:c r="C7" s="16" t="str">
        <x:v>2025自由现金流桥</x:v>
      </x:c>
      <x:c r="D7" s="16" t="n">
        <x:f>'Historical'!G14</x:f>
        <x:v>1.77846</x:v>
      </x:c>
      <x:c r="E7" s="16" t="n">
        <x:f>'Historical'!G12-'Historical'!G13</x:f>
        <x:v>1.77846</x:v>
      </x:c>
      <x:c r="F7" s="16" t="n">
        <x:f>D7-E7</x:f>
        <x:v>0</x:v>
      </x:c>
      <x:c r="G7" s="16" t="n">
        <x:f>0.0001</x:f>
        <x:v>0.0001</x:v>
      </x:c>
      <x:c r="H7" s="16" t="str">
        <x:f>IF(ABS(F7)&lt;=G7,"OK","FAIL")</x:f>
        <x:v>OK</x:v>
      </x:c>
      <x:c r="I7" s="16" t="str">
        <x:v>CFO-资本开支</x:v>
      </x:c>
    </x:row>
    <x:row r="8">
      <x:c r="C8" s="16" t="str">
        <x:v>Base收入滚动</x:v>
      </x:c>
      <x:c r="D8" s="16" t="n">
        <x:f>'Forecast'!F14</x:f>
        <x:v>19.424386325600004</x:v>
      </x:c>
      <x:c r="E8" s="16" t="n">
        <x:f>'Forecast'!E14*(1+'Assumptions'!E14)</x:f>
        <x:v>19.424386325600004</x:v>
      </x:c>
      <x:c r="F8" s="16" t="n">
        <x:f>D8-E8</x:f>
        <x:v>0</x:v>
      </x:c>
      <x:c r="G8" s="16" t="n">
        <x:f>0.0001</x:f>
        <x:v>0.0001</x:v>
      </x:c>
      <x:c r="H8" s="16" t="str">
        <x:f>IF(ABS(F8)&lt;=G8,"OK","FAIL")</x:f>
        <x:v>OK</x:v>
      </x:c>
      <x:c r="I8" s="16" t="str">
        <x:v>2026E到2027E</x:v>
      </x:c>
    </x:row>
    <x:row r="9">
      <x:c r="C9" s="16" t="str">
        <x:v>Base利润率</x:v>
      </x:c>
      <x:c r="D9" s="16" t="n">
        <x:f>'Forecast'!F15/'Forecast'!F14</x:f>
        <x:v>0.10800000000000001</x:v>
      </x:c>
      <x:c r="E9" s="16" t="n">
        <x:f>'Assumptions'!E15</x:f>
        <x:v>0.108</x:v>
      </x:c>
      <x:c r="F9" s="16" t="n">
        <x:f>D9-E9</x:f>
        <x:v>1.3877787807814457e-17</x:v>
      </x:c>
      <x:c r="G9" s="16" t="n">
        <x:f>0.0001</x:f>
        <x:v>0.0001</x:v>
      </x:c>
      <x:c r="H9" s="16" t="str">
        <x:f>IF(ABS(F9)&lt;=G9,"OK","FAIL")</x:f>
        <x:v>OK</x:v>
      </x:c>
      <x:c r="I9" s="16" t="str">
        <x:v>利润/收入</x:v>
      </x:c>
    </x:row>
    <x:row r="10">
      <x:c r="C10" s="16" t="str">
        <x:v>Base估值公式</x:v>
      </x:c>
      <x:c r="D10" s="16" t="n">
        <x:f>'Valuation'!H10</x:f>
        <x:v>36.728081910338176</x:v>
      </x:c>
      <x:c r="E10" s="16" t="n">
        <x:f>'Valuation'!F10+'Valuation'!G10*'Valuation'!$D$7</x:f>
        <x:v>36.728081910338176</x:v>
      </x:c>
      <x:c r="F10" s="16" t="n">
        <x:f>D10-E10</x:f>
        <x:v>0</x:v>
      </x:c>
      <x:c r="G10" s="16" t="n">
        <x:f>0.0001</x:f>
        <x:v>0.0001</x:v>
      </x:c>
      <x:c r="H10" s="16" t="str">
        <x:f>IF(ABS(F10)&lt;=G10,"OK","FAIL")</x:f>
        <x:v>OK</x:v>
      </x:c>
      <x:c r="I10" s="16" t="str">
        <x:v>情景公式</x:v>
      </x:c>
    </x:row>
    <x:row r="11">
      <x:c r="C11" s="16" t="str">
        <x:v>情景EPS递增</x:v>
      </x:c>
      <x:c r="D11" s="16" t="n">
        <x:f>'Forecast'!F21-'Forecast'!F11</x:f>
        <x:v>1.2284350272259204</x:v>
      </x:c>
      <x:c r="E11" s="16" t="n">
        <x:f>0</x:f>
        <x:v>0</x:v>
      </x:c>
      <x:c r="F11" s="16" t="n">
        <x:f>D11-E11</x:f>
        <x:v>1.2284350272259204</x:v>
      </x:c>
      <x:c r="G11" s="16" t="n">
        <x:f>0</x:f>
        <x:v>0</x:v>
      </x:c>
      <x:c r="H11" s="16" t="str">
        <x:f>IF(D11&gt;E11,"OK","FAIL")</x:f>
        <x:v>OK</x:v>
      </x:c>
      <x:c r="I11" s="16" t="str">
        <x:v>Bull高于Bear</x:v>
      </x:c>
    </x:row>
    <x:row r="12">
      <x:c r="C12" s="17" t="str">
        <x:v>情景价值递增</x:v>
      </x:c>
      <x:c r="D12" s="17" t="n">
        <x:f>'Valuation'!H11-'Valuation'!H9</x:f>
        <x:v>39.08727406415653</x:v>
      </x:c>
      <x:c r="E12" s="17" t="n">
        <x:f>0</x:f>
        <x:v>0</x:v>
      </x:c>
      <x:c r="F12" s="17" t="n">
        <x:f>D12-E12</x:f>
        <x:v>39.08727406415653</x:v>
      </x:c>
      <x:c r="G12" s="17" t="n">
        <x:f>0</x:f>
        <x:v>0</x:v>
      </x:c>
      <x:c r="H12" s="17" t="str">
        <x:f>IF(D12&gt;E12,"OK","FAIL")</x:f>
        <x:v>OK</x:v>
      </x:c>
      <x:c r="I12" s="17" t="str">
        <x:v>Bull高于Bear</x:v>
      </x:c>
    </x:row>
  </x:sheetData>
  <x:mergeCells>
    <x:mergeCell ref="C2:I2"/>
  </x:mergeCells>
  <x:conditionalFormatting sqref="H5:H12">
    <x:cfRule type="containsText" dxfId="0" priority="1" operator="containsText" text="OK"/>
    <x:cfRule type="containsText" dxfId="1" priority="2" operator="containsText" text="FAIL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9" hidden="0" customWidth="1"/>
    <x:col min="4" max="4" width="35" hidden="0" customWidth="1"/>
    <x:col min="5" max="5" width="22" hidden="0" customWidth="1"/>
    <x:col min="6" max="6" width="22" hidden="0" customWidth="1"/>
    <x:col min="7" max="7" width="75" hidden="0" customWidth="1"/>
    <x:col min="8" max="8" width="34" hidden="0" customWidth="1"/>
  </x:cols>
  <x:sheetData>
    <x:row r="2">
      <x:c r="C2" s="2" t="str">
        <x:v>来源与审计索引</x:v>
      </x:c>
      <x:c r="D2" s="2"/>
      <x:c r="E2" s="2"/>
      <x:c r="F2" s="2"/>
      <x:c r="G2" s="2"/>
      <x:c r="H2" s="2"/>
    </x:row>
    <x:row r="6">
      <x:c r="C6" s="9" t="str">
        <x:v>ID</x:v>
      </x:c>
      <x:c r="D6" s="10" t="str">
        <x:v>主题</x:v>
      </x:c>
      <x:c r="E6" s="10" t="str">
        <x:v>来源</x:v>
      </x:c>
      <x:c r="F6" s="10" t="str">
        <x:v>期间/日期</x:v>
      </x:c>
      <x:c r="G6" s="10" t="str">
        <x:v>URL</x:v>
      </x:c>
      <x:c r="H6" s="11" t="str">
        <x:v>说明</x:v>
      </x:c>
    </x:row>
    <x:row r="7" ht="38" customHeight="1">
      <x:c r="C7" s="114" t="str">
        <x:v>S1</x:v>
      </x:c>
      <x:c r="D7" s="114" t="str">
        <x:v>2026H1业绩、面积、分部与应收款</x:v>
      </x:c>
      <x:c r="E7" s="114" t="str">
        <x:v>保利物业中期业绩公告</x:v>
      </x:c>
      <x:c r="F7" s="114" t="str">
        <x:v>2026H1</x:v>
      </x:c>
      <x:c r="G7" s="115" t="str">
        <x:v>https://www1.hkexnews.hk/listedco/listconews/sehk/2026/0825/2026082500219.pdf</x:v>
      </x:c>
      <x:c r="H7" s="114" t="str">
        <x:v>官方；未经审计</x:v>
      </x:c>
    </x:row>
    <x:row r="8" ht="38" customHeight="1">
      <x:c r="C8" s="116" t="str">
        <x:v>S2</x:v>
      </x:c>
      <x:c r="D8" s="116" t="str">
        <x:v>2023-2025财务、面积与现金流</x:v>
      </x:c>
      <x:c r="E8" s="116" t="str">
        <x:v>保利物业2025年报</x:v>
      </x:c>
      <x:c r="F8" s="116" t="str">
        <x:v>FY2025</x:v>
      </x:c>
      <x:c r="G8" s="117" t="str">
        <x:v>https://www1.hkexnews.hk/listedco/listconews/sehk/2026/0430/2026043001632.pdf</x:v>
      </x:c>
      <x:c r="H8" s="116" t="str">
        <x:v>官方；经审计</x:v>
      </x:c>
    </x:row>
    <x:row r="9" ht="38" customHeight="1">
      <x:c r="C9" s="116" t="str">
        <x:v>M1</x:v>
      </x:c>
      <x:c r="D9" s="116" t="str">
        <x:v>港股收盘价</x:v>
      </x:c>
      <x:c r="E9" s="116" t="str">
        <x:v>StockAnalysis</x:v>
      </x:c>
      <x:c r="F9" s="116" t="str">
        <x:v>2026-09-04</x:v>
      </x:c>
      <x:c r="G9" s="117" t="str">
        <x:v>https://stockanalysis.com/quote/hkg/6049/history/</x:v>
      </x:c>
      <x:c r="H9" s="116" t="str">
        <x:v>二级行情；HKD28.76</x:v>
      </x:c>
    </x:row>
    <x:row r="10" ht="38" customHeight="1">
      <x:c r="C10" s="116" t="str">
        <x:v>FX</x:v>
      </x:c>
      <x:c r="D10" s="116" t="str">
        <x:v>人民币兑港元</x:v>
      </x:c>
      <x:c r="E10" s="116" t="str">
        <x:v>ExchangeRatesUK</x:v>
      </x:c>
      <x:c r="F10" s="116" t="str">
        <x:v>2026-09-04</x:v>
      </x:c>
      <x:c r="G10" s="117" t="str">
        <x:v>https://www.exchangerates.org.uk/CNY-HKD-spot-exchange-rates-history-2026.html</x:v>
      </x:c>
      <x:c r="H10" s="116" t="str">
        <x:v>1 RMB = 1.1684 HKD</x:v>
      </x:c>
    </x:row>
    <x:row r="11" ht="38" customHeight="1">
      <x:c r="C11" s="116" t="str">
        <x:v>A1</x:v>
      </x:c>
      <x:c r="D11" s="116" t="str">
        <x:v>预测增长、利润率</x:v>
      </x:c>
      <x:c r="E11" s="116" t="str">
        <x:v>分析假设</x:v>
      </x:c>
      <x:c r="F11" s="116" t="str">
        <x:v>2026E-2028E</x:v>
      </x:c>
      <x:c r="G11" s="116" t="str"/>
      <x:c r="H11" s="116" t="str">
        <x:v>非公司指引</x:v>
      </x:c>
    </x:row>
    <x:row r="12" ht="38" customHeight="1">
      <x:c r="C12" s="116" t="str">
        <x:v>A2</x:v>
      </x:c>
      <x:c r="D12" s="116" t="str">
        <x:v>估值倍数及现金/派息</x:v>
      </x:c>
      <x:c r="E12" s="116" t="str">
        <x:v>分析假设</x:v>
      </x:c>
      <x:c r="F12" s="116" t="str">
        <x:v>2027E</x:v>
      </x:c>
      <x:c r="G12" s="116" t="str"/>
      <x:c r="H12" s="116" t="str">
        <x:v>情景估值</x:v>
      </x:c>
    </x:row>
    <x:row r="13" ht="38" customHeight="1">
      <x:c r="C13" s="118" t="str">
        <x:v>C1</x:v>
      </x:c>
      <x:c r="D13" s="118" t="str">
        <x:v>净现金、自由现金流</x:v>
      </x:c>
      <x:c r="E13" s="118" t="str">
        <x:v>研究计算</x:v>
      </x:c>
      <x:c r="F13" s="118" t="str">
        <x:v>2026H1/FY2025</x:v>
      </x:c>
      <x:c r="G13" s="118" t="str"/>
      <x:c r="H13" s="118" t="str">
        <x:v>按模型公式</x:v>
      </x:c>
    </x:row>
  </x:sheetData>
  <x:mergeCells>
    <x:mergeCell ref="C2:H2"/>
  </x:mergeCells>
  <x:pageMargins left="0.7" right="0.7" top="0.75" bottom="0.75" header="0.3" footer="0.3"/>
</x:worksheet>
</file>
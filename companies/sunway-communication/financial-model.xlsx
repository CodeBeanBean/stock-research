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08c8838b2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01fefad9e474d71"/>
    <x:sheet xmlns:r="http://schemas.openxmlformats.org/officeDocument/2006/relationships" name="Historical" sheetId="2" r:id="R59cffd99d5354ce6"/>
    <x:sheet xmlns:r="http://schemas.openxmlformats.org/officeDocument/2006/relationships" name="Operations" sheetId="3" r:id="Rad1fcf80fd774059"/>
    <x:sheet xmlns:r="http://schemas.openxmlformats.org/officeDocument/2006/relationships" name="Balance &amp; Cash" sheetId="4" r:id="Rb2532cb1e7e24039"/>
    <x:sheet xmlns:r="http://schemas.openxmlformats.org/officeDocument/2006/relationships" name="Capital Program" sheetId="5" r:id="R2615d261e45e49c7"/>
    <x:sheet xmlns:r="http://schemas.openxmlformats.org/officeDocument/2006/relationships" name="Assumptions" sheetId="6" r:id="R3862f1329469431d"/>
    <x:sheet xmlns:r="http://schemas.openxmlformats.org/officeDocument/2006/relationships" name="Forecast" sheetId="7" r:id="Rcbaf3caa0d29464c"/>
    <x:sheet xmlns:r="http://schemas.openxmlformats.org/officeDocument/2006/relationships" name="Valuation" sheetId="8" r:id="Ra74abd40ace24216"/>
    <x:sheet xmlns:r="http://schemas.openxmlformats.org/officeDocument/2006/relationships" name="Checks" sheetId="9" r:id="R660ba0fe29e848b4"/>
    <x:sheet xmlns:r="http://schemas.openxmlformats.org/officeDocument/2006/relationships" name="Sources Audit" sheetId="10" r:id="R85fd962c59d9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yyyy-mm-dd"/>
    <x:numFmt numFmtId="201" formatCode="&quot;RMB &quot;0.00"/>
    <x:numFmt numFmtId="202" formatCode="0.00&quot; bn&quot;"/>
    <x:numFmt numFmtId="203" formatCode="0.0x"/>
    <x:numFmt numFmtId="204" formatCode="0.0%;[Red](0.0%);-"/>
    <x:numFmt numFmtId="205" formatCode="0.0&quot; mn&quot;;[Red](0.0&quot; mn&quot;);-"/>
    <x:numFmt numFmtId="206" formatCode="0.0&quot; bn&quot;"/>
    <x:numFmt numFmtId="207" formatCode="0.0&quot; mn&quot;"/>
    <x:numFmt numFmtId="208" formatCode="0.0%"/>
    <x:numFmt numFmtId="209" formatCode="0.0000"/>
    <x:numFmt numFmtId="210" formatCode="#,##0"/>
    <x:numFmt numFmtId="211" formatCode="0.00x"/>
    <x:numFmt numFmtId="212" formatCode="0&quot; mn&quot;"/>
    <x:numFmt numFmtId="213" formatCode="0.000"/>
    <x:numFmt numFmtId="214" formatCode="0%"/>
    <x:numFmt numFmtId="215" formatCode="0.000&quot; mn&quot;"/>
    <x:numFmt numFmtId="216" formatCode="&quot;RMB &quot;0.000"/>
    <x:numFmt numFmtId="217" formatCode="0x"/>
  </x:numFmts>
  <x:fonts count="12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1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5" fontId="5" fillId="0" borderId="3" xfId="0" applyNumberFormat="1" applyFont="1" applyFill="1" applyBorder="1"/>
    <x:xf numFmtId="206" fontId="5" fillId="0" borderId="3" xfId="0" applyNumberFormat="1" applyFont="1" applyFill="1" applyBorder="1"/>
    <x:xf numFmtId="201" fontId="5" fillId="0" borderId="3" xfId="0" applyNumberFormat="1" applyFont="1" applyFill="1" applyBorder="1"/>
    <x:xf numFmtId="204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8" fontId="0" fillId="3" borderId="0" xfId="0" applyNumberFormat="1" applyFont="1" applyFill="1" applyBorder="1"/>
    <x:xf numFmtId="0" fontId="3" fillId="3" borderId="0" xfId="0" applyNumberFormat="1" applyFont="1" applyFill="1" applyBorder="1"/>
    <x:xf numFmtId="208" fontId="3" fillId="3" borderId="0" xfId="0" applyNumberFormat="1" applyFont="1" applyFill="1" applyBorder="1"/>
    <x:xf numFmtId="205" fontId="0" fillId="3" borderId="0" xfId="0" applyNumberFormat="1" applyFont="1" applyFill="1" applyBorder="1"/>
    <x:xf numFmtId="205" fontId="3" fillId="3" borderId="0" xfId="0" applyNumberFormat="1" applyFont="1" applyFill="1" applyBorder="1"/>
    <x:xf numFmtId="0" fontId="3" fillId="5" borderId="0" xfId="0" applyNumberFormat="1" applyFont="1" applyFill="1" applyBorder="1"/>
    <x:xf numFmtId="205" fontId="3" fillId="5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7" fontId="5" fillId="0" borderId="0" xfId="0" applyNumberFormat="1" applyFont="1" applyFill="1" applyBorder="1"/>
    <x:xf numFmtId="0" fontId="4" fillId="3" borderId="0" xfId="0" applyNumberFormat="1" applyFont="1" applyFill="1" applyBorder="1"/>
    <x:xf numFmtId="208" fontId="4" fillId="3" borderId="0" xfId="0" applyNumberFormat="1" applyFont="1" applyFill="1" applyBorder="1"/>
    <x:xf numFmtId="0" fontId="4" fillId="5" borderId="0" xfId="0" applyNumberFormat="1" applyFont="1" applyFill="1" applyBorder="1"/>
    <x:xf numFmtId="205" fontId="4" fillId="5" borderId="0" xfId="0" applyNumberFormat="1" applyFont="1" applyFill="1" applyBorder="1"/>
    <x:xf numFmtId="205" fontId="4" fillId="3" borderId="0" xfId="0" applyNumberFormat="1" applyFont="1" applyFill="1" applyBorder="1"/>
    <x:xf numFmtId="209" fontId="5" fillId="0" borderId="0" xfId="0" applyNumberFormat="1" applyFont="1" applyFill="1" applyBorder="1"/>
    <x:xf numFmtId="208" fontId="5" fillId="0" borderId="0" xfId="0" applyNumberFormat="1" applyFont="1" applyFill="1" applyBorder="1"/>
    <x:xf numFmtId="0" fontId="9" fillId="5" borderId="0" xfId="0" applyNumberFormat="1" applyFont="1" applyFill="1" applyBorder="1"/>
    <x:xf numFmtId="207" fontId="5" fillId="0" borderId="2" xfId="0" applyNumberFormat="1" applyFont="1" applyFill="1" applyBorder="1"/>
    <x:xf numFmtId="0" fontId="4" fillId="3" borderId="3" xfId="0" applyNumberFormat="1" applyFont="1" applyFill="1" applyBorder="1"/>
    <x:xf numFmtId="208" fontId="4" fillId="3" borderId="3" xfId="0" applyNumberFormat="1" applyFont="1" applyFill="1" applyBorder="1"/>
    <x:xf numFmtId="207" fontId="5" fillId="0" borderId="3" xfId="0" applyNumberFormat="1" applyFont="1" applyFill="1" applyBorder="1"/>
    <x:xf numFmtId="0" fontId="4" fillId="5" borderId="3" xfId="0" applyNumberFormat="1" applyFont="1" applyFill="1" applyBorder="1"/>
    <x:xf numFmtId="205" fontId="4" fillId="5" borderId="3" xfId="0" applyNumberFormat="1" applyFont="1" applyFill="1" applyBorder="1"/>
    <x:xf numFmtId="205" fontId="4" fillId="3" borderId="3" xfId="0" applyNumberFormat="1" applyFont="1" applyFill="1" applyBorder="1"/>
    <x:xf numFmtId="209" fontId="5" fillId="0" borderId="3" xfId="0" applyNumberFormat="1" applyFont="1" applyFill="1" applyBorder="1"/>
    <x:xf numFmtId="208" fontId="5" fillId="0" borderId="3" xfId="0" applyNumberFormat="1" applyFont="1" applyFill="1" applyBorder="1"/>
    <x:xf numFmtId="0" fontId="9" fillId="5" borderId="4" xfId="0" applyNumberFormat="1" applyFont="1" applyFill="1" applyBorder="1"/>
    <x:xf numFmtId="208" fontId="5" fillId="0" borderId="4" xfId="0" applyNumberFormat="1" applyFont="1" applyFill="1" applyBorder="1"/>
    <x:xf numFmtId="208" fontId="5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0" fontId="5" fillId="0" borderId="0" xfId="0" applyNumberFormat="1" applyFont="1" applyFill="1" applyBorder="1"/>
    <x:xf numFmtId="210" fontId="5" fillId="0" borderId="3" xfId="0" applyNumberFormat="1" applyFont="1" applyFill="1" applyBorder="1"/>
    <x:xf numFmtId="210" fontId="5" fillId="0" borderId="4" xfId="0" applyNumberFormat="1" applyFont="1" applyFill="1" applyBorder="1"/>
    <x:xf numFmtId="211" fontId="0" fillId="0" borderId="0" xfId="0" applyNumberFormat="1" applyFont="1" applyFill="1" applyBorder="1"/>
    <x:xf numFmtId="207" fontId="0" fillId="3" borderId="0" xfId="0" applyNumberFormat="1" applyFont="1" applyFill="1" applyBorder="1"/>
    <x:xf numFmtId="204" fontId="0" fillId="3" borderId="0" xfId="0" applyNumberFormat="1" applyFont="1" applyFill="1" applyBorder="1"/>
    <x:xf numFmtId="207" fontId="3" fillId="3" borderId="0" xfId="0" applyNumberFormat="1" applyFont="1" applyFill="1" applyBorder="1"/>
    <x:xf numFmtId="204" fontId="3" fillId="3" borderId="0" xfId="0" applyNumberFormat="1" applyFont="1" applyFill="1" applyBorder="1"/>
    <x:xf numFmtId="211" fontId="0" fillId="3" borderId="0" xfId="0" applyNumberFormat="1" applyFont="1" applyFill="1" applyBorder="1"/>
    <x:xf numFmtId="211" fontId="3" fillId="3" borderId="0" xfId="0" applyNumberFormat="1" applyFont="1" applyFill="1" applyBorder="1"/>
    <x:xf numFmtId="207" fontId="4" fillId="3" borderId="0" xfId="0" applyNumberFormat="1" applyFont="1" applyFill="1" applyBorder="1"/>
    <x:xf numFmtId="204" fontId="4" fillId="3" borderId="0" xfId="0" applyNumberFormat="1" applyFont="1" applyFill="1" applyBorder="1"/>
    <x:xf numFmtId="211" fontId="4" fillId="3" borderId="0" xfId="0" applyNumberFormat="1" applyFont="1" applyFill="1" applyBorder="1"/>
    <x:xf numFmtId="204" fontId="5" fillId="0" borderId="2" xfId="0" applyNumberFormat="1" applyFont="1" applyFill="1" applyBorder="1"/>
    <x:xf numFmtId="207" fontId="4" fillId="3" borderId="3" xfId="0" applyNumberFormat="1" applyFont="1" applyFill="1" applyBorder="1"/>
    <x:xf numFmtId="204" fontId="4" fillId="3" borderId="3" xfId="0" applyNumberFormat="1" applyFont="1" applyFill="1" applyBorder="1"/>
    <x:xf numFmtId="211" fontId="4" fillId="3" borderId="3" xfId="0" applyNumberFormat="1" applyFont="1" applyFill="1" applyBorder="1"/>
    <x:xf numFmtId="207" fontId="5" fillId="0" borderId="4" xfId="0" applyNumberFormat="1" applyFont="1" applyFill="1" applyBorder="1"/>
    <x:xf numFmtId="205" fontId="5" fillId="0" borderId="2" xfId="0" applyNumberFormat="1" applyFont="1" applyFill="1" applyBorder="1"/>
    <x:xf numFmtId="205" fontId="5" fillId="0" borderId="4" xfId="0" applyNumberFormat="1" applyFont="1" applyFill="1" applyBorder="1"/>
    <x:xf numFmtId="212" fontId="0" fillId="0" borderId="0" xfId="0" applyNumberFormat="1" applyFont="1" applyFill="1" applyBorder="1"/>
    <x:xf numFmtId="212" fontId="0" fillId="3" borderId="0" xfId="0" applyNumberFormat="1" applyFont="1" applyFill="1" applyBorder="1"/>
    <x:xf numFmtId="212" fontId="3" fillId="3" borderId="0" xfId="0" applyNumberFormat="1" applyFont="1" applyFill="1" applyBorder="1"/>
    <x:xf numFmtId="212" fontId="5" fillId="0" borderId="0" xfId="0" applyNumberFormat="1" applyFont="1" applyFill="1" applyBorder="1"/>
    <x:xf numFmtId="212" fontId="4" fillId="3" borderId="0" xfId="0" applyNumberFormat="1" applyFont="1" applyFill="1" applyBorder="1"/>
    <x:xf numFmtId="212" fontId="5" fillId="0" borderId="2" xfId="0" applyNumberFormat="1" applyFont="1" applyFill="1" applyBorder="1"/>
    <x:xf numFmtId="212" fontId="5" fillId="0" borderId="3" xfId="0" applyNumberFormat="1" applyFont="1" applyFill="1" applyBorder="1"/>
    <x:xf numFmtId="0" fontId="4" fillId="3" borderId="4" xfId="0" applyNumberFormat="1" applyFont="1" applyFill="1" applyBorder="1"/>
    <x:xf numFmtId="212" fontId="4" fillId="3" borderId="4" xfId="0" applyNumberFormat="1" applyFont="1" applyFill="1" applyBorder="1"/>
    <x:xf numFmtId="208" fontId="4" fillId="3" borderId="4" xfId="0" applyNumberFormat="1" applyFont="1" applyFill="1" applyBorder="1"/>
    <x:xf numFmtId="213" fontId="0" fillId="0" borderId="0" xfId="0" applyNumberFormat="1" applyFont="1" applyFill="1" applyBorder="1"/>
    <x:xf numFmtId="213" fontId="5" fillId="0" borderId="0" xfId="0" applyNumberFormat="1" applyFont="1" applyFill="1" applyBorder="1"/>
    <x:xf numFmtId="213" fontId="5" fillId="0" borderId="2" xfId="0" applyNumberFormat="1" applyFont="1" applyFill="1" applyBorder="1"/>
    <x:xf numFmtId="213" fontId="5" fillId="0" borderId="3" xfId="0" applyNumberFormat="1" applyFont="1" applyFill="1" applyBorder="1"/>
    <x:xf numFmtId="214" fontId="0" fillId="0" borderId="0" xfId="0" applyNumberFormat="1" applyFont="1" applyFill="1" applyBorder="1"/>
    <x:xf numFmtId="214" fontId="5" fillId="0" borderId="0" xfId="0" applyNumberFormat="1" applyFont="1" applyFill="1" applyBorder="1"/>
    <x:xf numFmtId="214" fontId="5" fillId="0" borderId="3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215" fontId="0" fillId="0" borderId="0" xfId="0" applyNumberFormat="1" applyFont="1" applyFill="1" applyBorder="1"/>
    <x:xf numFmtId="201" fontId="10" fillId="0" borderId="0" xfId="0" applyNumberFormat="1" applyFont="1" applyFill="1" applyBorder="1"/>
    <x:xf numFmtId="215" fontId="10" fillId="0" borderId="0" xfId="0" applyNumberFormat="1" applyFont="1" applyFill="1" applyBorder="1"/>
    <x:xf numFmtId="215" fontId="5" fillId="0" borderId="0" xfId="0" applyNumberFormat="1" applyFont="1" applyFill="1" applyBorder="1"/>
    <x:xf numFmtId="215" fontId="5" fillId="0" borderId="3" xfId="0" applyNumberFormat="1" applyFont="1" applyFill="1" applyBorder="1"/>
    <x:xf numFmtId="208" fontId="10" fillId="0" borderId="0" xfId="0" applyNumberFormat="1" applyFont="1" applyFill="1" applyBorder="1"/>
    <x:xf numFmtId="203" fontId="10" fillId="0" borderId="0" xfId="0" applyNumberFormat="1" applyFont="1" applyFill="1" applyBorder="1"/>
    <x:xf numFmtId="0" fontId="0" fillId="6" borderId="0" xfId="0" applyNumberFormat="1" applyFont="1" applyFill="1" applyBorder="1"/>
    <x:xf numFmtId="208" fontId="10" fillId="6" borderId="0" xfId="0" applyNumberFormat="1" applyFont="1" applyFill="1" applyBorder="1"/>
    <x:xf numFmtId="215" fontId="10" fillId="6" borderId="0" xfId="0" applyNumberFormat="1" applyFont="1" applyFill="1" applyBorder="1"/>
    <x:xf numFmtId="203" fontId="10" fillId="6" borderId="0" xfId="0" applyNumberFormat="1" applyFont="1" applyFill="1" applyBorder="1"/>
    <x:xf numFmtId="0" fontId="5" fillId="6" borderId="0" xfId="0" applyNumberFormat="1" applyFont="1" applyFill="1" applyBorder="1"/>
    <x:xf numFmtId="208" fontId="5" fillId="6" borderId="0" xfId="0" applyNumberFormat="1" applyFont="1" applyFill="1" applyBorder="1"/>
    <x:xf numFmtId="215" fontId="5" fillId="6" borderId="0" xfId="0" applyNumberFormat="1" applyFont="1" applyFill="1" applyBorder="1"/>
    <x:xf numFmtId="203" fontId="5" fillId="6" borderId="0" xfId="0" applyNumberFormat="1" applyFont="1" applyFill="1" applyBorder="1"/>
    <x:xf numFmtId="215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5" fillId="6" borderId="3" xfId="0" applyNumberFormat="1" applyFont="1" applyFill="1" applyBorder="1"/>
    <x:xf numFmtId="208" fontId="5" fillId="6" borderId="3" xfId="0" applyNumberFormat="1" applyFont="1" applyFill="1" applyBorder="1"/>
    <x:xf numFmtId="215" fontId="5" fillId="6" borderId="3" xfId="0" applyNumberFormat="1" applyFont="1" applyFill="1" applyBorder="1"/>
    <x:xf numFmtId="203" fontId="5" fillId="6" borderId="3" xfId="0" applyNumberFormat="1" applyFont="1" applyFill="1" applyBorder="1"/>
    <x:xf numFmtId="215" fontId="5" fillId="0" borderId="4" xfId="0" applyNumberFormat="1" applyFont="1" applyFill="1" applyBorder="1"/>
    <x:xf numFmtId="203" fontId="5" fillId="0" borderId="4" xfId="0" applyNumberFormat="1" applyFont="1" applyFill="1" applyBorder="1"/>
    <x:xf numFmtId="216" fontId="0" fillId="0" borderId="0" xfId="0" applyNumberFormat="1" applyFont="1" applyFill="1" applyBorder="1"/>
    <x:xf numFmtId="216" fontId="5" fillId="0" borderId="0" xfId="0" applyNumberFormat="1" applyFont="1" applyFill="1" applyBorder="1"/>
    <x:xf numFmtId="216" fontId="5" fillId="0" borderId="4" xfId="0" applyNumberFormat="1" applyFont="1" applyFill="1" applyBorder="1"/>
    <x:xf numFmtId="0" fontId="5" fillId="6" borderId="2" xfId="0" applyNumberFormat="1" applyFont="1" applyFill="1" applyBorder="1"/>
    <x:xf numFmtId="207" fontId="5" fillId="6" borderId="2" xfId="0" applyNumberFormat="1" applyFont="1" applyFill="1" applyBorder="1"/>
    <x:xf numFmtId="208" fontId="5" fillId="6" borderId="2" xfId="0" applyNumberFormat="1" applyFont="1" applyFill="1" applyBorder="1"/>
    <x:xf numFmtId="207" fontId="5" fillId="6" borderId="3" xfId="0" applyNumberFormat="1" applyFont="1" applyFill="1" applyBorder="1"/>
    <x:xf numFmtId="0" fontId="5" fillId="6" borderId="4" xfId="0" applyNumberFormat="1" applyFont="1" applyFill="1" applyBorder="1"/>
    <x:xf numFmtId="216" fontId="5" fillId="6" borderId="4" xfId="0" applyNumberFormat="1" applyFont="1" applyFill="1" applyBorder="1"/>
    <x:xf numFmtId="207" fontId="0" fillId="6" borderId="0" xfId="0" applyNumberFormat="1" applyFont="1" applyFill="1" applyBorder="1"/>
    <x:xf numFmtId="208" fontId="0" fillId="6" borderId="0" xfId="0" applyNumberFormat="1" applyFont="1" applyFill="1" applyBorder="1"/>
    <x:xf numFmtId="216" fontId="0" fillId="6" borderId="0" xfId="0" applyNumberFormat="1" applyFont="1" applyFill="1" applyBorder="1"/>
    <x:xf numFmtId="203" fontId="0" fillId="6" borderId="0" xfId="0" applyNumberFormat="1" applyFont="1" applyFill="1" applyBorder="1"/>
    <x:xf numFmtId="201" fontId="0" fillId="6" borderId="0" xfId="0" applyNumberFormat="1" applyFont="1" applyFill="1" applyBorder="1"/>
    <x:xf numFmtId="204" fontId="0" fillId="6" borderId="0" xfId="0" applyNumberFormat="1" applyFont="1" applyFill="1" applyBorder="1"/>
    <x:xf numFmtId="201" fontId="3" fillId="0" borderId="0" xfId="0" applyNumberFormat="1" applyFont="1" applyFill="1" applyBorder="1"/>
    <x:xf numFmtId="201" fontId="3" fillId="6" borderId="0" xfId="0" applyNumberFormat="1" applyFont="1" applyFill="1" applyBorder="1"/>
    <x:xf numFmtId="201" fontId="4" fillId="0" borderId="0" xfId="0" applyNumberFormat="1" applyFont="1" applyFill="1" applyBorder="1"/>
    <x:xf numFmtId="207" fontId="5" fillId="6" borderId="0" xfId="0" applyNumberFormat="1" applyFont="1" applyFill="1" applyBorder="1"/>
    <x:xf numFmtId="216" fontId="5" fillId="6" borderId="0" xfId="0" applyNumberFormat="1" applyFont="1" applyFill="1" applyBorder="1"/>
    <x:xf numFmtId="201" fontId="4" fillId="6" borderId="0" xfId="0" applyNumberFormat="1" applyFont="1" applyFill="1" applyBorder="1"/>
    <x:xf numFmtId="204" fontId="5" fillId="6" borderId="0" xfId="0" applyNumberFormat="1" applyFont="1" applyFill="1" applyBorder="1"/>
    <x:xf numFmtId="216" fontId="5" fillId="0" borderId="2" xfId="0" applyNumberFormat="1" applyFont="1" applyFill="1" applyBorder="1"/>
    <x:xf numFmtId="201" fontId="4" fillId="0" borderId="2" xfId="0" applyNumberFormat="1" applyFont="1" applyFill="1" applyBorder="1"/>
    <x:xf numFmtId="216" fontId="5" fillId="6" borderId="3" xfId="0" applyNumberFormat="1" applyFont="1" applyFill="1" applyBorder="1"/>
    <x:xf numFmtId="201" fontId="4" fillId="6" borderId="3" xfId="0" applyNumberFormat="1" applyFont="1" applyFill="1" applyBorder="1"/>
    <x:xf numFmtId="204" fontId="5" fillId="6" borderId="3" xfId="0" applyNumberFormat="1" applyFont="1" applyFill="1" applyBorder="1"/>
    <x:xf numFmtId="201" fontId="4" fillId="0" borderId="4" xfId="0" applyNumberFormat="1" applyFont="1" applyFill="1" applyBorder="1"/>
    <x:xf numFmtId="217" fontId="6" fillId="2" borderId="6" xfId="0" applyNumberFormat="1" applyFont="1" applyFill="1" applyBorder="1"/>
    <x:xf numFmtId="201" fontId="5" fillId="0" borderId="4" xfId="0" applyNumberFormat="1" applyFont="1" applyFill="1" applyBorder="1"/>
    <x:xf numFmtId="209" fontId="5" fillId="0" borderId="2" xfId="0" applyNumberFormat="1" applyFont="1" applyFill="1" applyBorder="1"/>
    <x:xf numFmtId="209" fontId="5" fillId="0" borderId="4" xfId="0" applyNumberFormat="1" applyFont="1" applyFill="1" applyBorder="1"/>
    <x:xf numFmtId="0" fontId="11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13" fontId="5" fillId="0" borderId="0" xfId="0" applyNumberFormat="1" applyFont="1" applyFill="1" applyBorder="1" applyAlignment="1">
      <x:alignment wrapText="1"/>
    </x:xf>
    <x:xf numFmtId="208" fontId="5" fillId="0" borderId="0" xfId="0" applyNumberFormat="1" applyFont="1" applyFill="1" applyBorder="1" applyAlignment="1">
      <x:alignment wrapText="1"/>
    </x:xf>
    <x:xf numFmtId="213" fontId="5" fillId="0" borderId="2" xfId="0" applyNumberFormat="1" applyFont="1" applyFill="1" applyBorder="1" applyAlignment="1">
      <x:alignment wrapText="1"/>
    </x:xf>
    <x:xf numFmtId="213" fontId="5" fillId="0" borderId="3" xfId="0" applyNumberFormat="1" applyFont="1" applyFill="1" applyBorder="1" applyAlignment="1">
      <x:alignment wrapText="1"/>
    </x:xf>
    <x:xf numFmtId="208" fontId="5" fillId="0" borderId="3" xfId="0" applyNumberFormat="1" applyFont="1" applyFill="1" applyBorder="1" applyAlignment="1">
      <x:alignment wrapText="1"/>
    </x:xf>
    <x:xf numFmtId="213" fontId="5" fillId="0" borderId="4" xfId="0" applyNumberFormat="1" applyFont="1" applyFill="1" applyBorder="1" applyAlignment="1">
      <x:alignment wrapText="1"/>
    </x:xf>
    <x:xf numFmtId="203" fontId="4" fillId="3" borderId="3" xfId="0" applyNumberFormat="1" applyFont="1" applyFill="1" applyBorder="1"/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e9ed6a0e04c26" /><Relationship Type="http://schemas.openxmlformats.org/officeDocument/2006/relationships/theme" Target="/xl/theme/theme1.xml" Id="R41dcbea88ca94848" /><Relationship Type="http://schemas.openxmlformats.org/officeDocument/2006/relationships/sharedStrings" Target="/xl/sharedStrings.xml" Id="R94d7de9da2af40d0" /><Relationship Type="http://schemas.openxmlformats.org/officeDocument/2006/relationships/worksheet" Target="/xl/worksheets/sheet1.xml" Id="R601fefad9e474d71" /><Relationship Type="http://schemas.openxmlformats.org/officeDocument/2006/relationships/worksheet" Target="/xl/worksheets/sheet2.xml" Id="R59cffd99d5354ce6" /><Relationship Type="http://schemas.openxmlformats.org/officeDocument/2006/relationships/worksheet" Target="/xl/worksheets/sheet3.xml" Id="Rad1fcf80fd774059" /><Relationship Type="http://schemas.openxmlformats.org/officeDocument/2006/relationships/worksheet" Target="/xl/worksheets/sheet4.xml" Id="Rb2532cb1e7e24039" /><Relationship Type="http://schemas.openxmlformats.org/officeDocument/2006/relationships/worksheet" Target="/xl/worksheets/sheet5.xml" Id="R2615d261e45e49c7" /><Relationship Type="http://schemas.openxmlformats.org/officeDocument/2006/relationships/worksheet" Target="/xl/worksheets/sheet6.xml" Id="R3862f1329469431d" /><Relationship Type="http://schemas.openxmlformats.org/officeDocument/2006/relationships/worksheet" Target="/xl/worksheets/sheet7.xml" Id="Rcbaf3caa0d29464c" /><Relationship Type="http://schemas.openxmlformats.org/officeDocument/2006/relationships/worksheet" Target="/xl/worksheets/sheet8.xml" Id="Ra74abd40ace24216" /><Relationship Type="http://schemas.openxmlformats.org/officeDocument/2006/relationships/worksheet" Target="/xl/worksheets/sheet9.xml" Id="R660ba0fe29e848b4" /><Relationship Type="http://schemas.openxmlformats.org/officeDocument/2006/relationships/worksheet" Target="/xl/worksheets/sheet10.xml" Id="R85fd962c59d946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0b24f0726849fe" /><Relationship Type="http://schemas.openxmlformats.org/officeDocument/2006/relationships/chart" Target="/xl/drawings/charts/chart2.xml" Id="R05a4b28bb9a147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情景价值与当前股价（元/股）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'Valuation'!$G$5:$G$7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9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增速与扣非净利率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收入同比</c:v>
          </c:tx>
          <c:spPr>
            <a:ln xmlns:a="http://schemas.openxmlformats.org/drawingml/2006/main" w="19050">
              <a:solidFill>
                <a:srgbClr val="1F4E78"/>
              </a:solidFill>
            </a:ln>
          </c:spPr>
          <c:marker>
            <c:symbol val="none"/>
          </c:marker>
          <c:cat>
            <c:strRef>
              <c:f>'Historical'!$C$3:$F$3</c:f>
              <c:strCache>
                <c:ptCount val="0"/>
              </c:strCache>
            </c:strRef>
          </c:cat>
          <c:val>
            <c:numRef>
              <c:f>'Historical'!$C$5:$F$5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扣非净利率</c:v>
          </c:tx>
          <c:spPr>
            <a:ln xmlns:a="http://schemas.openxmlformats.org/drawingml/2006/main" w="19050">
              <a:solidFill>
                <a:srgbClr val="C9A227"/>
              </a:solidFill>
            </a:ln>
          </c:spPr>
          <c:marker>
            <c:symbol val="none"/>
          </c:marker>
          <c:cat>
            <c:strRef>
              <c:f>'Historical'!$C$3:$F$3</c:f>
              <c:strCache>
                <c:ptCount val="0"/>
              </c:strCache>
            </c:strRef>
          </c:cat>
          <c:val>
            <c:numRef>
              <c:f>'Historical'!$C$11:$F$11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0b24f0726849fe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a4b28bb9a147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edb5afb3ac41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信维通信（300136.SZ）基本面与估值模型</x:v>
      </x:c>
      <x:c r="B1" s="3" t="str">
        <x:v>信维通信（300136.SZ）基本面与估值模型</x:v>
      </x:c>
      <x:c r="C1" s="3" t="str">
        <x:v>信维通信（300136.SZ）基本面与估值模型</x:v>
      </x:c>
      <x:c r="D1" s="3" t="str">
        <x:v>信维通信（300136.SZ）基本面与估值模型</x:v>
      </x:c>
      <x:c r="E1" s="3" t="str">
        <x:v>信维通信（300136.SZ）基本面与估值模型</x:v>
      </x:c>
      <x:c r="F1" s="3" t="str">
        <x:v>信维通信（300136.SZ）基本面与估值模型</x:v>
      </x:c>
      <x:c r="G1" s="3" t="str">
        <x:v>信维通信（300136.SZ）基本面与估值模型</x:v>
      </x:c>
      <x:c r="H1" s="3" t="str">
        <x:v>信维通信（300136.SZ）基本面与估值模型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深圳市信维通信股份有限公司</x:v>
      </x:c>
      <x:c r="J3" t="n">
        <x:f>'Assumptions'!B4</x:f>
        <x:v>56.18</x:v>
      </x:c>
    </x:row>
    <x:row r="4">
      <x:c r="A4" s="12" t="str">
        <x:v>价格基准</x:v>
      </x:c>
      <x:c r="B4" s="13" t="n">
        <x:v>46269</x:v>
      </x:c>
      <x:c r="J4" t="n">
        <x:f>'Assumptions'!B4</x:f>
        <x:v>56.18</x:v>
      </x:c>
    </x:row>
    <x:row r="5">
      <x:c r="A5" s="12" t="str">
        <x:v>资料截止</x:v>
      </x:c>
      <x:c r="B5" s="14" t="str">
        <x:v>2026-09-07</x:v>
      </x:c>
      <x:c r="J5" t="n">
        <x:f>'Assumptions'!B4</x:f>
        <x:v>56.18</x:v>
      </x:c>
    </x:row>
    <x:row r="6">
      <x:c r="A6" s="12" t="str">
        <x:v>报告货币</x:v>
      </x:c>
      <x:c r="B6" s="14" t="str">
        <x:v>人民币百万元；每股价值为人民币元</x:v>
      </x:c>
    </x:row>
    <x:row r="7">
      <x:c r="A7" s="12" t="str">
        <x:v>模型版本</x:v>
      </x:c>
      <x:c r="B7" s="14" t="str">
        <x:v>首次建档 / 2026中期业绩 v1.0</x:v>
      </x:c>
    </x:row>
    <x:row r="8">
      <x:c r="A8" s="12" t="str">
        <x:v>估值框架</x:v>
      </x:c>
      <x:c r="B8" s="14" t="str">
        <x:v>2028E扣非P/E + 市场隐含预期校验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研究结论</x:v>
      </x:c>
      <x:c r="B10" s="14" t="str">
        <x:v>中性偏谨慎 / 高预期高波动</x:v>
      </x:c>
    </x:row>
    <x:row r="11">
      <x:c r="A11" s="15" t="str">
        <x:v>用途</x:v>
      </x:c>
      <x:c r="B11" s="16" t="str">
        <x:v>研究与情景分析；不构成个性化投资建议</x:v>
      </x:c>
    </x:row>
    <x:row r="13">
      <x:c r="A13" s="19" t="str">
        <x:v>关键输出</x:v>
      </x:c>
      <x:c r="B13" s="20" t="str">
        <x:v>数值</x:v>
      </x:c>
      <x:c r="C13" s="21" t="str">
        <x:v>说明</x:v>
      </x:c>
    </x:row>
    <x:row r="14">
      <x:c r="A14" s="11" t="str">
        <x:v>当前股价</x:v>
      </x:c>
      <x:c r="B14" s="39" t="n">
        <x:f>'Assumptions'!B4</x:f>
        <x:v>56.18</x:v>
      </x:c>
      <x:c r="C14" s="11" t="str">
        <x:v>2026-09-04收盘</x:v>
      </x:c>
    </x:row>
    <x:row r="15">
      <x:c r="A15" s="14" t="str">
        <x:v>市值</x:v>
      </x:c>
      <x:c r="B15" s="40" t="n">
        <x:f>'Assumptions'!B6</x:f>
        <x:v>54.358026419999995</x:v>
      </x:c>
      <x:c r="C15" s="14" t="str">
        <x:v>现有股本口径</x:v>
      </x:c>
    </x:row>
    <x:row r="16">
      <x:c r="A16" s="14" t="str">
        <x:v>滚动扣非P/E</x:v>
      </x:c>
      <x:c r="B16" s="41" t="n">
        <x:f>'Assumptions'!B8</x:f>
        <x:v>81.28327325091065</x:v>
      </x:c>
      <x:c r="C16" s="14" t="str">
        <x:v>2025A-H1'25+H1'26</x:v>
      </x:c>
    </x:row>
    <x:row r="17">
      <x:c r="A17" s="14" t="str">
        <x:v>2026H1收入同比</x:v>
      </x:c>
      <x:c r="B17" s="42" t="n">
        <x:f>'Historical'!F5</x:f>
        <x:v>0.0888</x:v>
      </x:c>
      <x:c r="C17" s="14" t="str">
        <x:v>海外增长、国内下降</x:v>
      </x:c>
    </x:row>
    <x:row r="18">
      <x:c r="A18" s="14" t="str">
        <x:v>2026H1扣非利润同比</x:v>
      </x:c>
      <x:c r="B18" s="42" t="n">
        <x:f>'Historical'!F10</x:f>
        <x:v>0.2205</x:v>
      </x:c>
      <x:c r="C18" s="14" t="str">
        <x:v>归母利润受汇率拖累</x:v>
      </x:c>
    </x:row>
    <x:row r="19">
      <x:c r="A19" s="14" t="str">
        <x:v>2026H1简化FCF</x:v>
      </x:c>
      <x:c r="B19" s="43" t="n">
        <x:f>'Historical'!F14</x:f>
        <x:v>-134.98099999999994</x:v>
      </x:c>
      <x:c r="C19" s="14" t="str">
        <x:v>CFO-资本开支</x:v>
      </x:c>
    </x:row>
    <x:row r="20">
      <x:c r="A20" s="14" t="str">
        <x:v>60亿元定增</x:v>
      </x:c>
      <x:c r="B20" s="44" t="n">
        <x:v>60</x:v>
      </x:c>
      <x:c r="C20" s="14" t="str">
        <x:v>人民币亿元；已注册未发行</x:v>
      </x:c>
    </x:row>
    <x:row r="21">
      <x:c r="A21" s="14" t="str">
        <x:v>MLCC收购价</x:v>
      </x:c>
      <x:c r="B21" s="44" t="n">
        <x:v>11</x:v>
      </x:c>
      <x:c r="C21" s="14" t="str">
        <x:v>人民币亿元；现金</x:v>
      </x:c>
    </x:row>
    <x:row r="22">
      <x:c r="A22" s="14" t="str">
        <x:v>Bear价值</x:v>
      </x:c>
      <x:c r="B22" s="45" t="n">
        <x:f>'Valuation'!G5</x:f>
        <x:v>15.1815613136806</x:v>
      </x:c>
      <x:c r="C22" s="14" t="str">
        <x:v>扩产低利用率、最大摊薄</x:v>
      </x:c>
    </x:row>
    <x:row r="23">
      <x:c r="A23" s="14" t="str">
        <x:v>Base价值</x:v>
      </x:c>
      <x:c r="B23" s="45" t="n">
        <x:f>'Valuation'!G6</x:f>
        <x:v>43.63801237791214</x:v>
      </x:c>
      <x:c r="C23" s="14" t="str">
        <x:v>新业务温和兑现</x:v>
      </x:c>
    </x:row>
    <x:row r="24">
      <x:c r="A24" s="14" t="str">
        <x:v>Bull价值</x:v>
      </x:c>
      <x:c r="B24" s="45" t="n">
        <x:f>'Valuation'!G7</x:f>
        <x:v>81.63331359857142</x:v>
      </x:c>
      <x:c r="C24" s="14" t="str">
        <x:v>新业务规模化成功</x:v>
      </x:c>
    </x:row>
    <x:row r="25">
      <x:c r="A25" s="16" t="str">
        <x:v>Base相对现价</x:v>
      </x:c>
      <x:c r="B25" s="46" t="n">
        <x:f>'Valuation'!H6</x:f>
        <x:v>-0.22324648668721714</x:v>
      </x:c>
      <x:c r="C25" s="16" t="str">
        <x:v>情景差异，不是收益保证</x:v>
      </x:c>
    </x:row>
    <x:row r="28">
      <x:c r="A28" s="19" t="str">
        <x:v>研究结论</x:v>
      </x:c>
      <x:c r="B28" s="20" t="str">
        <x:v>研究结论</x:v>
      </x:c>
      <x:c r="C28" s="20" t="str">
        <x:v>研究结论</x:v>
      </x:c>
      <x:c r="D28" s="20" t="str">
        <x:v>研究结论</x:v>
      </x:c>
      <x:c r="E28" s="20" t="str">
        <x:v>研究结论</x:v>
      </x:c>
      <x:c r="F28" s="20" t="str">
        <x:v>研究结论</x:v>
      </x:c>
      <x:c r="G28" s="20" t="str">
        <x:v>研究结论</x:v>
      </x:c>
      <x:c r="H28" s="21" t="str">
        <x:v>研究结论</x:v>
      </x:c>
    </x:row>
    <x:row r="29">
      <x:c r="A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B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C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D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E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F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G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H29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</x:row>
    <x:row r="30">
      <x:c r="A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B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C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D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E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F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G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H30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</x:row>
    <x:row r="31">
      <x:c r="A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B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C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D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E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F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G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H31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</x:row>
    <x:row r="32">
      <x:c r="A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B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C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D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E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F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G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H32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</x:row>
    <x:row r="33">
      <x:c r="A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B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C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D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E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F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G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H33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</x:row>
    <x:row r="34">
      <x:c r="A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B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C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D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E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F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G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  <x:c r="H34" s="49" t="str">
        <x:v>信维通信具备材料—零部件—模组平台、全球客户与较高研发强度，商业卫星、AI硬件、汽车和MLCC提供真实增长期权。但56.18元约对应81倍滚动扣非P/E；Base价值约43.64元，低于现价22.3%。60亿元定增、11亿元MLCC并购、负自由现金流与新产能爬坡，使投资逻辑必须由每股盈利和现金回报验证。当前结论为中性偏谨慎。</x:v>
      </x:c>
    </x:row>
  </x:sheetData>
  <x:mergeCells>
    <x:mergeCell ref="A1:H1"/>
    <x:mergeCell ref="A28:H28"/>
    <x:mergeCell ref="A29:H34"/>
  </x:mergeCells>
  <x:pageMargins left="0.7" right="0.7" top="0.75" bottom="0.75" header="0.3" footer="0.3"/>
  <x:drawing xmlns:r="http://schemas.openxmlformats.org/officeDocument/2006/relationships" r:id="Rc7edb5afb3ac413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历史财务与现金流质量</x:v>
      </x:c>
      <x:c r="B1" s="3" t="str">
        <x:v>历史财务与现金流质量</x:v>
      </x:c>
      <x:c r="C1" s="3" t="str">
        <x:v>历史财务与现金流质量</x:v>
      </x:c>
      <x:c r="D1" s="3" t="str">
        <x:v>历史财务与现金流质量</x:v>
      </x:c>
      <x:c r="E1" s="3" t="str">
        <x:v>历史财务与现金流质量</x:v>
      </x:c>
      <x:c r="F1" s="3" t="str">
        <x:v>历史财务与现金流质量</x:v>
      </x:c>
    </x:row>
    <x:row r="3">
      <x:c r="A3" s="52" t="str">
        <x:v>指标（RMB mn，除注明外）</x:v>
      </x:c>
      <x:c r="B3" s="53" t="str">
        <x:v>2023A</x:v>
      </x:c>
      <x:c r="C3" s="53" t="str">
        <x:v>2024A</x:v>
      </x:c>
      <x:c r="D3" s="53" t="str">
        <x:v>2025A</x:v>
      </x:c>
      <x:c r="E3" s="53" t="str">
        <x:v>1H25</x:v>
      </x:c>
      <x:c r="F3" s="54" t="str">
        <x:v>1H26</x:v>
      </x:c>
    </x:row>
    <x:row r="4">
      <x:c r="A4" s="11" t="str">
        <x:v>营业收入</x:v>
      </x:c>
      <x:c r="B4" s="76" t="n">
        <x:v>7547.646</x:v>
      </x:c>
      <x:c r="C4" s="76" t="n">
        <x:v>8743.611</x:v>
      </x:c>
      <x:c r="D4" s="76" t="n">
        <x:v>8909.78</x:v>
      </x:c>
      <x:c r="E4" s="76" t="n">
        <x:v>3703.147</x:v>
      </x:c>
      <x:c r="F4" s="76" t="n">
        <x:v>4031.951</x:v>
      </x:c>
    </x:row>
    <x:row r="5">
      <x:c r="A5" s="77" t="str">
        <x:v>收入同比</x:v>
      </x:c>
      <x:c r="B5" s="78"/>
      <x:c r="C5" s="78" t="n">
        <x:v>0.1585</x:v>
      </x:c>
      <x:c r="D5" s="78" t="n">
        <x:v>0.019</x:v>
      </x:c>
      <x:c r="E5" s="78"/>
      <x:c r="F5" s="78" t="n">
        <x:v>0.0888</x:v>
      </x:c>
    </x:row>
    <x:row r="6">
      <x:c r="A6" s="77" t="str">
        <x:v>毛利率</x:v>
      </x:c>
      <x:c r="B6" s="78"/>
      <x:c r="C6" s="78" t="n">
        <x:v>0.2082</x:v>
      </x:c>
      <x:c r="D6" s="78" t="n">
        <x:v>0.2279</x:v>
      </x:c>
      <x:c r="E6" s="78" t="n">
        <x:v>0.1861</x:v>
      </x:c>
      <x:c r="F6" s="78" t="n">
        <x:v>0.1999</x:v>
      </x:c>
    </x:row>
    <x:row r="7">
      <x:c r="A7" s="14" t="str">
        <x:v>归母净利润</x:v>
      </x:c>
      <x:c r="B7" s="79" t="n">
        <x:v>521.403</x:v>
      </x:c>
      <x:c r="C7" s="79" t="n">
        <x:v>661.606</x:v>
      </x:c>
      <x:c r="D7" s="79" t="n">
        <x:v>708.686</x:v>
      </x:c>
      <x:c r="E7" s="79" t="n">
        <x:v>161.817</x:v>
      </x:c>
      <x:c r="F7" s="79" t="n">
        <x:v>150.525</x:v>
      </x:c>
    </x:row>
    <x:row r="8">
      <x:c r="A8" s="77" t="str">
        <x:v>归母净利率</x:v>
      </x:c>
      <x:c r="B8" s="78" t="n">
        <x:f>B7/B4</x:f>
        <x:v>0.0690815388003094</x:v>
      </x:c>
      <x:c r="C8" s="78" t="n">
        <x:f>C7/C4</x:f>
        <x:v>0.07566736443329877</x:v>
      </x:c>
      <x:c r="D8" s="78" t="n">
        <x:f>D7/D4</x:f>
        <x:v>0.07954023556137188</x:v>
      </x:c>
      <x:c r="E8" s="78" t="n">
        <x:f>E7/E4</x:f>
        <x:v>0.043697158119836994</x:v>
      </x:c>
      <x:c r="F8" s="78" t="n">
        <x:f>F7/F4</x:f>
        <x:v>0.037333042985889464</x:v>
      </x:c>
    </x:row>
    <x:row r="9">
      <x:c r="A9" s="14" t="str">
        <x:v>扣非净利润</x:v>
      </x:c>
      <x:c r="B9" s="79" t="n">
        <x:v>439.95</x:v>
      </x:c>
      <x:c r="C9" s="79" t="n">
        <x:v>538.107</x:v>
      </x:c>
      <x:c r="D9" s="79" t="n">
        <x:v>643.36</x:v>
      </x:c>
      <x:c r="E9" s="79" t="n">
        <x:v>115.125</x:v>
      </x:c>
      <x:c r="F9" s="79" t="n">
        <x:v>140.513</x:v>
      </x:c>
    </x:row>
    <x:row r="10">
      <x:c r="A10" s="77" t="str">
        <x:v>扣非利润同比</x:v>
      </x:c>
      <x:c r="B10" s="78"/>
      <x:c r="C10" s="78" t="n">
        <x:v>0.2231</x:v>
      </x:c>
      <x:c r="D10" s="78" t="n">
        <x:v>0.1956</x:v>
      </x:c>
      <x:c r="E10" s="78"/>
      <x:c r="F10" s="78" t="n">
        <x:v>0.2205</x:v>
      </x:c>
    </x:row>
    <x:row r="11">
      <x:c r="A11" s="77" t="str">
        <x:v>扣非净利率</x:v>
      </x:c>
      <x:c r="B11" s="78" t="n">
        <x:f>B9/B4</x:f>
        <x:v>0.058289697211554435</x:v>
      </x:c>
      <x:c r="C11" s="78" t="n">
        <x:f>C9/C4</x:f>
        <x:v>0.06154287970953876</x:v>
      </x:c>
      <x:c r="D11" s="78" t="n">
        <x:f>D9/D4</x:f>
        <x:v>0.07220829246064436</x:v>
      </x:c>
      <x:c r="E11" s="78" t="n">
        <x:f>E9/E4</x:f>
        <x:v>0.03108842290084623</x:v>
      </x:c>
      <x:c r="F11" s="78" t="n">
        <x:f>F9/F4</x:f>
        <x:v>0.03484987788790092</x:v>
      </x:c>
    </x:row>
    <x:row r="12">
      <x:c r="A12" s="14" t="str">
        <x:v>经营现金流</x:v>
      </x:c>
      <x:c r="B12" s="43" t="n">
        <x:v>1818.388</x:v>
      </x:c>
      <x:c r="C12" s="43" t="n">
        <x:v>1075.901</x:v>
      </x:c>
      <x:c r="D12" s="43" t="n">
        <x:v>1689.294</x:v>
      </x:c>
      <x:c r="E12" s="43" t="n">
        <x:v>1077.736</x:v>
      </x:c>
      <x:c r="F12" s="43" t="n">
        <x:v>439.901</x:v>
      </x:c>
    </x:row>
    <x:row r="13">
      <x:c r="A13" s="14" t="str">
        <x:v>资本开支</x:v>
      </x:c>
      <x:c r="B13" s="43"/>
      <x:c r="C13" s="43" t="n">
        <x:v>1084.775</x:v>
      </x:c>
      <x:c r="D13" s="43" t="n">
        <x:v>1233.593</x:v>
      </x:c>
      <x:c r="E13" s="43" t="n">
        <x:v>484.793</x:v>
      </x:c>
      <x:c r="F13" s="43" t="n">
        <x:v>574.882</x:v>
      </x:c>
    </x:row>
    <x:row r="14">
      <x:c r="A14" s="80" t="str">
        <x:v>简化自由现金流</x:v>
      </x:c>
      <x:c r="B14" s="81"/>
      <x:c r="C14" s="81" t="n">
        <x:f>C12-C13</x:f>
        <x:v>-8.874000000000024</x:v>
      </x:c>
      <x:c r="D14" s="81" t="n">
        <x:f>D12-D13</x:f>
        <x:v>455.701</x:v>
      </x:c>
      <x:c r="E14" s="81" t="n">
        <x:f>E12-E13</x:f>
        <x:v>592.9430000000001</x:v>
      </x:c>
      <x:c r="F14" s="81" t="n">
        <x:f>F12-F13</x:f>
        <x:v>-134.98099999999994</x:v>
      </x:c>
    </x:row>
    <x:row r="15">
      <x:c r="A15" s="77" t="str">
        <x:v>CFO/归母净利润</x:v>
      </x:c>
      <x:c r="B15" s="197" t="n">
        <x:f>B12/B7</x:f>
        <x:v>3.487490482409959</x:v>
      </x:c>
      <x:c r="C15" s="197" t="n">
        <x:f>C12/C7</x:f>
        <x:v>1.6261959534828887</x:v>
      </x:c>
      <x:c r="D15" s="197" t="n">
        <x:f>D12/D7</x:f>
        <x:v>2.3836988454689383</x:v>
      </x:c>
      <x:c r="E15" s="197" t="n">
        <x:f>E12/E7</x:f>
        <x:v>6.6602149341540136</x:v>
      </x:c>
      <x:c r="F15" s="197" t="n">
        <x:f>F12/F7</x:f>
        <x:v>2.92244477661518</x:v>
      </x:c>
    </x:row>
    <x:row r="16">
      <x:c r="A16" s="14" t="str">
        <x:v>研发投入</x:v>
      </x:c>
      <x:c r="B16" s="79" t="n">
        <x:v>676.405</x:v>
      </x:c>
      <x:c r="C16" s="79" t="n">
        <x:v>708.033</x:v>
      </x:c>
      <x:c r="D16" s="79" t="n">
        <x:v>633.438</x:v>
      </x:c>
      <x:c r="E16" s="79"/>
      <x:c r="F16" s="79" t="n">
        <x:v>314.499</x:v>
      </x:c>
    </x:row>
    <x:row r="17">
      <x:c r="A17" s="77" t="str">
        <x:v>研发/收入</x:v>
      </x:c>
      <x:c r="B17" s="78" t="n">
        <x:v>0.0896</x:v>
      </x:c>
      <x:c r="C17" s="78" t="n">
        <x:v>0.081</x:v>
      </x:c>
      <x:c r="D17" s="78" t="n">
        <x:v>0.0711</x:v>
      </x:c>
      <x:c r="E17" s="78"/>
      <x:c r="F17" s="78" t="n">
        <x:v>0.078</x:v>
      </x:c>
    </x:row>
    <x:row r="18">
      <x:c r="A18" s="14" t="str">
        <x:v>基本EPS</x:v>
      </x:c>
      <x:c r="B18" s="83" t="n">
        <x:v>0.5389</x:v>
      </x:c>
      <x:c r="C18" s="83" t="n">
        <x:v>0.6865</x:v>
      </x:c>
      <x:c r="D18" s="83" t="n">
        <x:v>0.7441</x:v>
      </x:c>
      <x:c r="E18" s="83"/>
      <x:c r="F18" s="83" t="n">
        <x:v>0.158</x:v>
      </x:c>
    </x:row>
    <x:row r="19">
      <x:c r="A19" s="14" t="str">
        <x:v>ROE</x:v>
      </x:c>
      <x:c r="B19" s="84" t="n">
        <x:v>0.0766</x:v>
      </x:c>
      <x:c r="C19" s="84" t="n">
        <x:v>0.0915</x:v>
      </x:c>
      <x:c r="D19" s="84" t="n">
        <x:v>0.0932</x:v>
      </x:c>
      <x:c r="E19" s="84"/>
      <x:c r="F19" s="84" t="n">
        <x:v>0.0188</x:v>
      </x:c>
    </x:row>
    <x:row r="20">
      <x:c r="A20" s="85" t="str">
        <x:v>资料口径</x:v>
      </x:c>
      <x:c r="B20" s="85" t="str">
        <x:v>经审计</x:v>
      </x:c>
      <x:c r="C20" s="85" t="str">
        <x:v>经审计</x:v>
      </x:c>
      <x:c r="D20" s="85" t="str">
        <x:v>经审计</x:v>
      </x:c>
      <x:c r="E20" s="85" t="str">
        <x:v>未经审计</x:v>
      </x:c>
      <x:c r="F20" s="85" t="str">
        <x:v>未经审计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5" hidden="0" customWidth="1"/>
    <x:col min="7" max="7" width="42" hidden="0" customWidth="1"/>
    <x:col min="8" max="8" width="35" hidden="0" customWidth="1"/>
  </x:cols>
  <x:sheetData>
    <x:row r="1" ht="30" customHeight="1">
      <x:c r="A1" s="3" t="str">
        <x:v>客户、区域与业务验证</x:v>
      </x:c>
      <x:c r="B1" s="3" t="str">
        <x:v>客户、区域与业务验证</x:v>
      </x:c>
      <x:c r="C1" s="3" t="str">
        <x:v>客户、区域与业务验证</x:v>
      </x:c>
      <x:c r="D1" s="3" t="str">
        <x:v>客户、区域与业务验证</x:v>
      </x:c>
      <x:c r="E1" s="3" t="str">
        <x:v>客户、区域与业务验证</x:v>
      </x:c>
      <x:c r="F1" s="3" t="str">
        <x:v>客户、区域与业务验证</x:v>
      </x:c>
      <x:c r="G1" s="3" t="str">
        <x:v>客户、区域与业务验证</x:v>
      </x:c>
      <x:c r="H1" s="3" t="str">
        <x:v>客户、区域与业务验证</x:v>
      </x:c>
    </x:row>
    <x:row r="3">
      <x:c r="A3" s="19" t="str">
        <x:v>地区（RMB mn）</x:v>
      </x:c>
      <x:c r="B3" s="20" t="str">
        <x:v>2024A</x:v>
      </x:c>
      <x:c r="C3" s="20" t="str">
        <x:v>2025A</x:v>
      </x:c>
      <x:c r="D3" s="20" t="str">
        <x:v>1H25</x:v>
      </x:c>
      <x:c r="E3" s="21" t="str">
        <x:v>1H26</x:v>
      </x:c>
      <x:c r="F3" s="19" t="str">
        <x:v>第二增长曲线</x:v>
      </x:c>
      <x:c r="G3" s="20" t="str">
        <x:v>2026H1公司表述</x:v>
      </x:c>
      <x:c r="H3" s="21" t="str">
        <x:v>研究处理</x:v>
      </x:c>
    </x:row>
    <x:row r="4">
      <x:c r="A4" s="11" t="str">
        <x:v>境内收入</x:v>
      </x:c>
      <x:c r="B4" s="76" t="n">
        <x:v>2341.779</x:v>
      </x:c>
      <x:c r="C4" s="76" t="n">
        <x:v>3094.775</x:v>
      </x:c>
      <x:c r="D4" s="76" t="n">
        <x:v>1305.728</x:v>
      </x:c>
      <x:c r="E4" s="76" t="n">
        <x:v>1287.238</x:v>
      </x:c>
      <x:c r="F4" s="90" t="str">
        <x:v>商业卫星</x:v>
      </x:c>
      <x:c r="G4" s="90" t="str">
        <x:v>向两家北美低轨卫星客户稳定批量交付</x:v>
      </x:c>
      <x:c r="H4" s="90" t="str">
        <x:v>未披露收入/利润，不直接外推</x:v>
      </x:c>
    </x:row>
    <x:row r="5">
      <x:c r="A5" s="14" t="str">
        <x:v>境内同比</x:v>
      </x:c>
      <x:c r="B5" s="84"/>
      <x:c r="C5" s="84" t="n">
        <x:v>0.3215</x:v>
      </x:c>
      <x:c r="D5" s="84"/>
      <x:c r="E5" s="84" t="n">
        <x:v>-0.0142</x:v>
      </x:c>
      <x:c r="F5" s="91" t="str">
        <x:v>智能汽车</x:v>
      </x:c>
      <x:c r="G5" s="91" t="str">
        <x:v>4D毫米波雷达阵列天线量产</x:v>
      </x:c>
      <x:c r="H5" s="91" t="str">
        <x:v>跟踪定点、单车价值与毛利</x:v>
      </x:c>
    </x:row>
    <x:row r="6">
      <x:c r="A6" s="14" t="str">
        <x:v>境内毛利率</x:v>
      </x:c>
      <x:c r="B6" s="84" t="n">
        <x:v>0.1701</x:v>
      </x:c>
      <x:c r="C6" s="84" t="n">
        <x:v>0.2076</x:v>
      </x:c>
      <x:c r="D6" s="84" t="n">
        <x:v>0.1703</x:v>
      </x:c>
      <x:c r="E6" s="84" t="n">
        <x:v>0.1746</x:v>
      </x:c>
      <x:c r="F6" s="91" t="str">
        <x:v>高端MLCC</x:v>
      </x:c>
      <x:c r="G6" s="91" t="str">
        <x:v>已向国内头部客户批量供应</x:v>
      </x:c>
      <x:c r="H6" s="91" t="str">
        <x:v>并购标的仍亏损</x:v>
      </x:c>
    </x:row>
    <x:row r="7">
      <x:c r="A7" s="14" t="str">
        <x:v>境外收入</x:v>
      </x:c>
      <x:c r="B7" s="79" t="n">
        <x:v>6401.832</x:v>
      </x:c>
      <x:c r="C7" s="79" t="n">
        <x:v>5815.005</x:v>
      </x:c>
      <x:c r="D7" s="79" t="n">
        <x:v>2397.419</x:v>
      </x:c>
      <x:c r="E7" s="79" t="n">
        <x:v>2744.713</x:v>
      </x:c>
      <x:c r="F7" s="91" t="str">
        <x:v>AI终端/数据中心</x:v>
      </x:c>
      <x:c r="G7" s="91" t="str">
        <x:v>芯片散热等募投方向</x:v>
      </x:c>
      <x:c r="H7" s="91" t="str">
        <x:v>订单与利用率待验证</x:v>
      </x:c>
    </x:row>
    <x:row r="8">
      <x:c r="A8" s="14" t="str">
        <x:v>境外同比</x:v>
      </x:c>
      <x:c r="B8" s="84"/>
      <x:c r="C8" s="84" t="n">
        <x:v>-0.0917</x:v>
      </x:c>
      <x:c r="D8" s="84"/>
      <x:c r="E8" s="84" t="n">
        <x:v>0.1449</x:v>
      </x:c>
      <x:c r="F8" s="91" t="str">
        <x:v>机器人</x:v>
      </x:c>
      <x:c r="G8" s="91" t="str">
        <x:v>处于样品开发</x:v>
      </x:c>
      <x:c r="H8" s="91" t="str">
        <x:v>不纳入Base主要利润</x:v>
      </x:c>
    </x:row>
    <x:row r="9">
      <x:c r="A9" s="14" t="str">
        <x:v>境外毛利率</x:v>
      </x:c>
      <x:c r="B9" s="84" t="n">
        <x:v>0.2221</x:v>
      </x:c>
      <x:c r="C9" s="84" t="n">
        <x:v>0.2387</x:v>
      </x:c>
      <x:c r="D9" s="84" t="n">
        <x:v>0.1947</x:v>
      </x:c>
      <x:c r="E9" s="84" t="n">
        <x:v>0.2117</x:v>
      </x:c>
      <x:c r="F9" s="92" t="str">
        <x:v>财报分部</x:v>
      </x:c>
      <x:c r="G9" s="92" t="str">
        <x:v>全部收入归为射频零、部件</x:v>
      </x:c>
      <x:c r="H9" s="92" t="str">
        <x:v>业务透明度不足</x:v>
      </x:c>
    </x:row>
    <x:row r="10">
      <x:c r="A10" s="16" t="str">
        <x:v>境外收入占比</x:v>
      </x:c>
      <x:c r="B10" s="86" t="n">
        <x:v>0.7322</x:v>
      </x:c>
      <x:c r="C10" s="86" t="n">
        <x:v>0.6527</x:v>
      </x:c>
      <x:c r="D10" s="86" t="n">
        <x:v>0.6474</x:v>
      </x:c>
      <x:c r="E10" s="86" t="n">
        <x:v>0.6807</x:v>
      </x:c>
    </x:row>
    <x:row r="12">
      <x:c r="F12" s="19" t="str">
        <x:v>研发</x:v>
      </x:c>
      <x:c r="G12" s="20" t="str">
        <x:v>数值</x:v>
      </x:c>
      <x:c r="H12" s="21" t="str">
        <x:v>说明</x:v>
      </x:c>
    </x:row>
    <x:row r="13">
      <x:c r="A13" s="19" t="str">
        <x:v>客户集中度</x:v>
      </x:c>
      <x:c r="B13" s="20" t="str">
        <x:v>2024A</x:v>
      </x:c>
      <x:c r="C13" s="20" t="str">
        <x:v>2025A</x:v>
      </x:c>
      <x:c r="D13" s="21" t="str">
        <x:v>判断</x:v>
      </x:c>
      <x:c r="F13" s="11" t="str">
        <x:v>2025研发投入</x:v>
      </x:c>
      <x:c r="G13" s="76" t="n">
        <x:v>633.438</x:v>
      </x:c>
      <x:c r="H13" s="11" t="str">
        <x:v>RMB mn</x:v>
      </x:c>
    </x:row>
    <x:row r="14">
      <x:c r="A14" s="11" t="str">
        <x:v>前五大客户收入占比</x:v>
      </x:c>
      <x:c r="B14" s="87"/>
      <x:c r="C14" s="87" t="n">
        <x:v>0.5003</x:v>
      </x:c>
      <x:c r="D14" s="11" t="str">
        <x:v>高</x:v>
      </x:c>
      <x:c r="F14" s="14" t="str">
        <x:v>研发/收入</x:v>
      </x:c>
      <x:c r="G14" s="84" t="n">
        <x:v>0.0711</x:v>
      </x:c>
      <x:c r="H14" s="14" t="str">
        <x:v>费用化为主</x:v>
      </x:c>
    </x:row>
    <x:row r="15">
      <x:c r="A15" s="14" t="str">
        <x:v>第一大客户收入占比</x:v>
      </x:c>
      <x:c r="B15" s="84"/>
      <x:c r="C15" s="84" t="n">
        <x:v>0.2014</x:v>
      </x:c>
      <x:c r="D15" s="14" t="str">
        <x:v>较高</x:v>
      </x:c>
      <x:c r="F15" s="14" t="str">
        <x:v>资本化率</x:v>
      </x:c>
      <x:c r="G15" s="84" t="n">
        <x:v>0.043</x:v>
      </x:c>
      <x:c r="H15" s="14" t="str">
        <x:v>不高</x:v>
      </x:c>
    </x:row>
    <x:row r="16">
      <x:c r="A16" s="14" t="str">
        <x:v>前五大供应商采购占比</x:v>
      </x:c>
      <x:c r="B16" s="84"/>
      <x:c r="C16" s="84" t="n">
        <x:v>0.1379</x:v>
      </x:c>
      <x:c r="D16" s="14" t="str">
        <x:v>分散</x:v>
      </x:c>
      <x:c r="F16" s="14" t="str">
        <x:v>研发人员</x:v>
      </x:c>
      <x:c r="G16" s="95" t="n">
        <x:v>2742</x:v>
      </x:c>
      <x:c r="H16" s="14" t="str">
        <x:v>占员工18.57%</x:v>
      </x:c>
    </x:row>
    <x:row r="17">
      <x:c r="A17" s="16" t="str">
        <x:v>直销收入占比</x:v>
      </x:c>
      <x:c r="B17" s="86"/>
      <x:c r="C17" s="86" t="n">
        <x:v>0.9953</x:v>
      </x:c>
      <x:c r="D17" s="16" t="str">
        <x:v>高度直销</x:v>
      </x:c>
      <x:c r="F17" s="16" t="str">
        <x:v>累计申请专利</x:v>
      </x:c>
      <x:c r="G17" s="96" t="n">
        <x:v>5498</x:v>
      </x:c>
      <x:c r="H17" s="16" t="str">
        <x:v>截至2025年末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5" hidden="0" customWidth="1"/>
  </x:cols>
  <x:sheetData>
    <x:row r="1" ht="30" customHeight="1">
      <x:c r="A1" s="3" t="str">
        <x:v>资产负债与现金流压力</x:v>
      </x:c>
      <x:c r="B1" s="3" t="str">
        <x:v>资产负债与现金流压力</x:v>
      </x:c>
      <x:c r="C1" s="3" t="str">
        <x:v>资产负债与现金流压力</x:v>
      </x:c>
      <x:c r="D1" s="3" t="str">
        <x:v>资产负债与现金流压力</x:v>
      </x:c>
      <x:c r="E1" s="3" t="str">
        <x:v>资产负债与现金流压力</x:v>
      </x:c>
      <x:c r="F1" s="3" t="str">
        <x:v>资产负债与现金流压力</x:v>
      </x:c>
    </x:row>
    <x:row r="3">
      <x:c r="A3" s="19" t="str">
        <x:v>指标（RMB mn）</x:v>
      </x:c>
      <x:c r="B3" s="20" t="str">
        <x:v>2025-12</x:v>
      </x:c>
      <x:c r="C3" s="20" t="str">
        <x:v>2026-06</x:v>
      </x:c>
      <x:c r="D3" s="21" t="str">
        <x:v>变动</x:v>
      </x:c>
    </x:row>
    <x:row r="4">
      <x:c r="A4" s="11" t="str">
        <x:v>货币资金</x:v>
      </x:c>
      <x:c r="B4" s="76" t="n">
        <x:v>1393.205</x:v>
      </x:c>
      <x:c r="C4" s="76" t="n">
        <x:v>2169.589</x:v>
      </x:c>
      <x:c r="D4" s="107" t="n">
        <x:f>IFERROR(C4/B4-1,"")</x:f>
        <x:v>0.5572647241432525</x:v>
      </x:c>
    </x:row>
    <x:row r="5">
      <x:c r="A5" s="14" t="str">
        <x:v>应收账款</x:v>
      </x:c>
      <x:c r="B5" s="79" t="n">
        <x:v>2447.105</x:v>
      </x:c>
      <x:c r="C5" s="79" t="n">
        <x:v>2558.452</x:v>
      </x:c>
      <x:c r="D5" s="42" t="n">
        <x:f>IFERROR(C5/B5-1,"")</x:f>
        <x:v>0.045501521185237426</x:v>
      </x:c>
    </x:row>
    <x:row r="6">
      <x:c r="A6" s="77" t="str">
        <x:v>存货</x:v>
      </x:c>
      <x:c r="B6" s="108" t="n">
        <x:v>1411.067</x:v>
      </x:c>
      <x:c r="C6" s="108" t="n">
        <x:v>1679.433</x:v>
      </x:c>
      <x:c r="D6" s="109" t="n">
        <x:f>IFERROR(C6/B6-1,"")</x:f>
        <x:v>0.19018657512364756</x:v>
      </x:c>
    </x:row>
    <x:row r="7">
      <x:c r="A7" s="14" t="str">
        <x:v>固定资产</x:v>
      </x:c>
      <x:c r="B7" s="79" t="n">
        <x:v>2844.818</x:v>
      </x:c>
      <x:c r="C7" s="79" t="n">
        <x:v>2763.671</x:v>
      </x:c>
      <x:c r="D7" s="42" t="n">
        <x:f>IFERROR(C7/B7-1,"")</x:f>
        <x:v>-0.028524496118908282</x:v>
      </x:c>
    </x:row>
    <x:row r="8">
      <x:c r="A8" s="14" t="str">
        <x:v>在建工程</x:v>
      </x:c>
      <x:c r="B8" s="79" t="n">
        <x:v>1170.245</x:v>
      </x:c>
      <x:c r="C8" s="79" t="n">
        <x:v>1308.731</x:v>
      </x:c>
      <x:c r="D8" s="42" t="n">
        <x:f>IFERROR(C8/B8-1,"")</x:f>
        <x:v>0.11833932210776377</x:v>
      </x:c>
    </x:row>
    <x:row r="9">
      <x:c r="A9" s="77" t="str">
        <x:v>商誉</x:v>
      </x:c>
      <x:c r="B9" s="108" t="n">
        <x:v>987.107</x:v>
      </x:c>
      <x:c r="C9" s="108" t="n">
        <x:v>987.107</x:v>
      </x:c>
      <x:c r="D9" s="109" t="n">
        <x:f>IFERROR(C9/B9-1,"")</x:f>
        <x:v>0</x:v>
      </x:c>
    </x:row>
    <x:row r="10">
      <x:c r="A10" s="14" t="str">
        <x:v>流动资产</x:v>
      </x:c>
      <x:c r="B10" s="79" t="n">
        <x:v>5962.83</x:v>
      </x:c>
      <x:c r="C10" s="79" t="n">
        <x:v>7214.37</x:v>
      </x:c>
      <x:c r="D10" s="42" t="n">
        <x:f>IFERROR(C10/B10-1,"")</x:f>
        <x:v>0.20989027022403794</x:v>
      </x:c>
    </x:row>
    <x:row r="11">
      <x:c r="A11" s="14" t="str">
        <x:v>流动负债</x:v>
      </x:c>
      <x:c r="B11" s="79" t="n">
        <x:v>3850.975</x:v>
      </x:c>
      <x:c r="C11" s="79" t="n">
        <x:v>5552.838</x:v>
      </x:c>
      <x:c r="D11" s="42" t="n">
        <x:f>IFERROR(C11/B11-1,"")</x:f>
        <x:v>0.44193042021825635</x:v>
      </x:c>
    </x:row>
    <x:row r="12">
      <x:c r="A12" s="77" t="str">
        <x:v>流动比率</x:v>
      </x:c>
      <x:c r="B12" s="110" t="n">
        <x:f>B10/B11</x:f>
        <x:v>1.548394887009134</x:v>
      </x:c>
      <x:c r="C12" s="110" t="n">
        <x:f>C10/C11</x:f>
        <x:v>1.299222127495886</x:v>
      </x:c>
      <x:c r="D12" s="110" t="n">
        <x:f>C12-B12</x:f>
        <x:v>-0.24917275951324802</x:v>
      </x:c>
    </x:row>
    <x:row r="13">
      <x:c r="A13" s="14" t="str">
        <x:v>短期借款</x:v>
      </x:c>
      <x:c r="B13" s="79" t="n">
        <x:v>1141.883</x:v>
      </x:c>
      <x:c r="C13" s="79" t="n">
        <x:v>2434.053</x:v>
      </x:c>
      <x:c r="D13" s="42" t="n">
        <x:f>IFERROR(C13/B13-1,"")</x:f>
        <x:v>1.1316133088941687</x:v>
      </x:c>
    </x:row>
    <x:row r="14">
      <x:c r="A14" s="14" t="str">
        <x:v>一年内到期非流动负债</x:v>
      </x:c>
      <x:c r="B14" s="79" t="n">
        <x:v>381.503</x:v>
      </x:c>
      <x:c r="C14" s="79" t="n">
        <x:v>254.824</x:v>
      </x:c>
      <x:c r="D14" s="42" t="n">
        <x:f>IFERROR(C14/B14-1,"")</x:f>
        <x:v>-0.3320524347121778</x:v>
      </x:c>
    </x:row>
    <x:row r="15">
      <x:c r="A15" s="14" t="str">
        <x:v>长期借款</x:v>
      </x:c>
      <x:c r="B15" s="79" t="n">
        <x:v>1013.831</x:v>
      </x:c>
      <x:c r="C15" s="79" t="n">
        <x:v>878.089</x:v>
      </x:c>
      <x:c r="D15" s="42" t="n">
        <x:f>IFERROR(C15/B15-1,"")</x:f>
        <x:v>-0.13389016512614027</x:v>
      </x:c>
    </x:row>
    <x:row r="16">
      <x:c r="A16" s="14" t="str">
        <x:v>租赁负债（非流动）</x:v>
      </x:c>
      <x:c r="B16" s="79" t="n">
        <x:v>156.415</x:v>
      </x:c>
      <x:c r="C16" s="79" t="n">
        <x:v>134.677</x:v>
      </x:c>
      <x:c r="D16" s="42" t="n">
        <x:f>IFERROR(C16/B16-1,"")</x:f>
        <x:v>-0.13897644087843242</x:v>
      </x:c>
    </x:row>
    <x:row r="17">
      <x:c r="A17" s="77" t="str">
        <x:v>研究口径净债务</x:v>
      </x:c>
      <x:c r="B17" s="108" t="n">
        <x:f>B13+B14+B15+B16-B4</x:f>
        <x:v>1300.4270000000001</x:v>
      </x:c>
      <x:c r="C17" s="108" t="n">
        <x:f>C13+C14+C15+C16-C4</x:f>
        <x:v>1532.054</x:v>
      </x:c>
      <x:c r="D17" s="109" t="n">
        <x:f>IFERROR(C17/B17-1,"")</x:f>
        <x:v>0.17811611109274095</x:v>
      </x:c>
    </x:row>
    <x:row r="18">
      <x:c r="A18" s="14" t="str">
        <x:v>总资产</x:v>
      </x:c>
      <x:c r="B18" s="79" t="n">
        <x:v>13539.516</x:v>
      </x:c>
      <x:c r="C18" s="79" t="n">
        <x:v>14878.945</x:v>
      </x:c>
      <x:c r="D18" s="42" t="n">
        <x:f>IFERROR(C18/B18-1,"")</x:f>
        <x:v>0.09892739149612151</x:v>
      </x:c>
    </x:row>
    <x:row r="19">
      <x:c r="A19" s="16" t="str">
        <x:v>总权益</x:v>
      </x:c>
      <x:c r="B19" s="111" t="n">
        <x:v>7930.289</x:v>
      </x:c>
      <x:c r="C19" s="111" t="n">
        <x:v>8012.2</x:v>
      </x:c>
      <x:c r="D19" s="46" t="n">
        <x:f>IFERROR(C19/B19-1,"")</x:f>
        <x:v>0.010328879565423055</x:v>
      </x:c>
    </x:row>
    <x:row r="22">
      <x:c r="A22" s="19" t="str">
        <x:v>2026H1现金流桥</x:v>
      </x:c>
      <x:c r="B22" s="20" t="str">
        <x:v>金额</x:v>
      </x:c>
      <x:c r="C22" s="20" t="str">
        <x:v>同比</x:v>
      </x:c>
      <x:c r="D22" s="20" t="str">
        <x:v>判断</x:v>
      </x:c>
      <x:c r="E22" s="20" t="str">
        <x:v>风险</x:v>
      </x:c>
      <x:c r="F22" s="21" t="str">
        <x:v>说明</x:v>
      </x:c>
    </x:row>
    <x:row r="23">
      <x:c r="A23" s="11" t="str">
        <x:v>经营现金流</x:v>
      </x:c>
      <x:c r="B23" s="112" t="n">
        <x:v>439.901</x:v>
      </x:c>
      <x:c r="C23" s="107" t="n">
        <x:v>-0.5918</x:v>
      </x:c>
      <x:c r="D23" s="11" t="str">
        <x:v>下降</x:v>
      </x:c>
      <x:c r="E23" s="11" t="str">
        <x:v>高</x:v>
      </x:c>
      <x:c r="F23" s="11" t="str">
        <x:v>采购付款增加</x:v>
      </x:c>
    </x:row>
    <x:row r="24">
      <x:c r="A24" s="14" t="str">
        <x:v>资本开支</x:v>
      </x:c>
      <x:c r="B24" s="43" t="n">
        <x:v>-574.882</x:v>
      </x:c>
      <x:c r="C24" s="42" t="n">
        <x:v>0.1858</x:v>
      </x:c>
      <x:c r="D24" s="14" t="str">
        <x:v>高投入</x:v>
      </x:c>
      <x:c r="E24" s="14" t="str">
        <x:v>高</x:v>
      </x:c>
      <x:c r="F24" s="14" t="str">
        <x:v>新产能持续建设</x:v>
      </x:c>
    </x:row>
    <x:row r="25">
      <x:c r="A25" s="14" t="str">
        <x:v>简化自由现金流</x:v>
      </x:c>
      <x:c r="B25" s="43" t="n">
        <x:f>B23+B24</x:f>
        <x:v>-134.98099999999994</x:v>
      </x:c>
      <x:c r="C25" s="42"/>
      <x:c r="D25" s="14" t="str">
        <x:v>转负</x:v>
      </x:c>
      <x:c r="E25" s="14" t="str">
        <x:v>高</x:v>
      </x:c>
      <x:c r="F25" s="14" t="str">
        <x:v>CFO-资本开支</x:v>
      </x:c>
    </x:row>
    <x:row r="26">
      <x:c r="A26" s="14" t="str">
        <x:v>财务费用</x:v>
      </x:c>
      <x:c r="B26" s="43" t="n">
        <x:v>84.305</x:v>
      </x:c>
      <x:c r="C26" s="42" t="n">
        <x:v>2.0409</x:v>
      </x:c>
      <x:c r="D26" s="14" t="str">
        <x:v>上升</x:v>
      </x:c>
      <x:c r="E26" s="14" t="str">
        <x:v>高</x:v>
      </x:c>
      <x:c r="F26" s="14" t="str">
        <x:v>主要受汇率变动</x:v>
      </x:c>
    </x:row>
    <x:row r="27">
      <x:c r="A27" s="16" t="str">
        <x:v>期末现金及等价物</x:v>
      </x:c>
      <x:c r="B27" s="113" t="n">
        <x:v>2158.215</x:v>
      </x:c>
      <x:c r="C27" s="46"/>
      <x:c r="D27" s="16" t="str">
        <x:v>融资补充</x:v>
      </x:c>
      <x:c r="E27" s="16" t="str">
        <x:v>中</x:v>
      </x:c>
      <x:c r="F27" s="16" t="str">
        <x:v>融资现金流+9.21亿元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1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定增、募投与MLCC并购</x:v>
      </x:c>
      <x:c r="B1" s="3" t="str">
        <x:v>定增、募投与MLCC并购</x:v>
      </x:c>
      <x:c r="C1" s="3" t="str">
        <x:v>定增、募投与MLCC并购</x:v>
      </x:c>
      <x:c r="D1" s="3" t="str">
        <x:v>定增、募投与MLCC并购</x:v>
      </x:c>
      <x:c r="E1" s="3" t="str">
        <x:v>定增、募投与MLCC并购</x:v>
      </x:c>
      <x:c r="F1" s="3" t="str">
        <x:v>定增、募投与MLCC并购</x:v>
      </x:c>
      <x:c r="G1" s="3" t="str">
        <x:v>定增、募投与MLCC并购</x:v>
      </x:c>
      <x:c r="H1" s="3" t="str">
        <x:v>定增、募投与MLCC并购</x:v>
      </x:c>
    </x:row>
    <x:row r="3">
      <x:c r="A3" s="19" t="str">
        <x:v>定增募投项目</x:v>
      </x:c>
      <x:c r="B3" s="20" t="str">
        <x:v>总投资</x:v>
      </x:c>
      <x:c r="C3" s="20" t="str">
        <x:v>拟用募集资金</x:v>
      </x:c>
      <x:c r="D3" s="20" t="str">
        <x:v>占募资</x:v>
      </x:c>
      <x:c r="E3" s="21" t="str">
        <x:v>研究风险</x:v>
      </x:c>
      <x:c r="F3" s="19" t="str">
        <x:v>MLCC交易</x:v>
      </x:c>
      <x:c r="G3" s="20" t="str">
        <x:v>数值</x:v>
      </x:c>
      <x:c r="H3" s="21" t="str">
        <x:v>说明</x:v>
      </x:c>
    </x:row>
    <x:row r="4">
      <x:c r="A4" s="11" t="str">
        <x:v>商业卫星通信零部件</x:v>
      </x:c>
      <x:c r="B4" s="119" t="n">
        <x:v>3563</x:v>
      </x:c>
      <x:c r="C4" s="119" t="n">
        <x:v>2850</x:v>
      </x:c>
      <x:c r="D4" s="87" t="n">
        <x:f>C4/$C$7</x:f>
        <x:v>0.475</x:v>
      </x:c>
      <x:c r="E4" s="11" t="str">
        <x:v>客户集中、验证和利用率</x:v>
      </x:c>
      <x:c r="F4" s="11" t="str">
        <x:v>现金收购价</x:v>
      </x:c>
      <x:c r="G4" s="126" t="n">
        <x:v>1100</x:v>
      </x:c>
      <x:c r="H4" s="11" t="str">
        <x:v>RMB mn</x:v>
      </x:c>
    </x:row>
    <x:row r="5">
      <x:c r="A5" s="14" t="str">
        <x:v>射频器件与零部件</x:v>
      </x:c>
      <x:c r="B5" s="120" t="n">
        <x:v>2853</x:v>
      </x:c>
      <x:c r="C5" s="120" t="n">
        <x:v>2150</x:v>
      </x:c>
      <x:c r="D5" s="84" t="n">
        <x:f>C5/$C$7</x:f>
        <x:v>0.35833333333333334</x:v>
      </x:c>
      <x:c r="E5" s="14" t="str">
        <x:v>消费电子周期与价格年降</x:v>
      </x:c>
      <x:c r="F5" s="14" t="str">
        <x:v>收购股权</x:v>
      </x:c>
      <x:c r="G5" s="130" t="n">
        <x:v>0.55</x:v>
      </x:c>
      <x:c r="H5" s="14" t="str">
        <x:v>交易后持股70%</x:v>
      </x:c>
    </x:row>
    <x:row r="6">
      <x:c r="A6" s="14" t="str">
        <x:v>芯片散热零组件</x:v>
      </x:c>
      <x:c r="B6" s="120" t="n">
        <x:v>1170</x:v>
      </x:c>
      <x:c r="C6" s="120" t="n">
        <x:v>1000</x:v>
      </x:c>
      <x:c r="D6" s="84" t="n">
        <x:f>C6/$C$7</x:f>
        <x:v>0.16666666666666666</x:v>
      </x:c>
      <x:c r="E6" s="14" t="str">
        <x:v>AI硬件路线与订单</x:v>
      </x:c>
      <x:c r="F6" s="14" t="str">
        <x:v>目标公司2025收入</x:v>
      </x:c>
      <x:c r="G6" s="127" t="n">
        <x:v>61.15</x:v>
      </x:c>
      <x:c r="H6" s="14" t="str">
        <x:v>RMB mn</x:v>
      </x:c>
    </x:row>
    <x:row r="7">
      <x:c r="A7" s="121" t="str">
        <x:v>合计</x:v>
      </x:c>
      <x:c r="B7" s="122" t="n">
        <x:v>7586</x:v>
      </x:c>
      <x:c r="C7" s="122" t="n">
        <x:v>6000</x:v>
      </x:c>
      <x:c r="D7" s="123" t="n">
        <x:f>SUM(D4:D6)</x:f>
        <x:v>0.9999999999999999</x:v>
      </x:c>
      <x:c r="E7" s="121" t="str">
        <x:v>接近2026H1权益规模</x:v>
      </x:c>
      <x:c r="F7" s="14" t="str">
        <x:v>目标公司2025净利润</x:v>
      </x:c>
      <x:c r="G7" s="127" t="n">
        <x:v>-182.973</x:v>
      </x:c>
      <x:c r="H7" s="14" t="str">
        <x:v>RMB mn</x:v>
      </x:c>
    </x:row>
    <x:row r="8">
      <x:c r="F8" s="14" t="str">
        <x:v>目标公司1H26收入</x:v>
      </x:c>
      <x:c r="G8" s="127" t="n">
        <x:v>125.826</x:v>
      </x:c>
      <x:c r="H8" s="14" t="str">
        <x:v>RMB mn</x:v>
      </x:c>
    </x:row>
    <x:row r="9">
      <x:c r="F9" s="14" t="str">
        <x:v>目标公司1H26净利润</x:v>
      </x:c>
      <x:c r="G9" s="127" t="n">
        <x:v>-92.41</x:v>
      </x:c>
      <x:c r="H9" s="14" t="str">
        <x:v>RMB mn</x:v>
      </x:c>
    </x:row>
    <x:row r="10">
      <x:c r="A10" s="19" t="str">
        <x:v>发行参数</x:v>
      </x:c>
      <x:c r="B10" s="20" t="str">
        <x:v>数值</x:v>
      </x:c>
      <x:c r="C10" s="20" t="str">
        <x:v>单位</x:v>
      </x:c>
      <x:c r="D10" s="21" t="str">
        <x:v>说明</x:v>
      </x:c>
      <x:c r="F10" s="14" t="str">
        <x:v>1H26目标公司净资产</x:v>
      </x:c>
      <x:c r="G10" s="127" t="n">
        <x:v>918.464</x:v>
      </x:c>
      <x:c r="H10" s="14" t="str">
        <x:v>RMB mn</x:v>
      </x:c>
    </x:row>
    <x:row r="11">
      <x:c r="A11" s="11" t="str">
        <x:v>募集上限</x:v>
      </x:c>
      <x:c r="B11" s="126" t="n">
        <x:v>6000</x:v>
      </x:c>
      <x:c r="C11" s="11" t="str">
        <x:v>RMB mn</x:v>
      </x:c>
      <x:c r="D11" s="11" t="str">
        <x:v>已获证监会注册，尚未发行</x:v>
      </x:c>
      <x:c r="F11" s="14" t="str">
        <x:v>收益法全部权益估值</x:v>
      </x:c>
      <x:c r="G11" s="127" t="n">
        <x:v>1430.294</x:v>
      </x:c>
      <x:c r="H11" s="14" t="str">
        <x:v>RMB mn；不含5亿元待实缴</x:v>
      </x:c>
    </x:row>
    <x:row r="12">
      <x:c r="A12" s="14" t="str">
        <x:v>发行前股本</x:v>
      </x:c>
      <x:c r="B12" s="127" t="n">
        <x:v>967.569</x:v>
      </x:c>
      <x:c r="C12" s="14" t="str">
        <x:v>mn shares</x:v>
      </x:c>
      <x:c r="D12" s="14" t="str">
        <x:v>2026H1期末</x:v>
      </x:c>
      <x:c r="F12" s="14" t="str">
        <x:v>含待实缴资本的权益值</x:v>
      </x:c>
      <x:c r="G12" s="127" t="n">
        <x:v>1930.294</x:v>
      </x:c>
      <x:c r="H12" s="14" t="str">
        <x:v>RMB mn</x:v>
      </x:c>
    </x:row>
    <x:row r="13">
      <x:c r="A13" s="14" t="str">
        <x:v>最大新增股份</x:v>
      </x:c>
      <x:c r="B13" s="127" t="n">
        <x:v>290.271</x:v>
      </x:c>
      <x:c r="C13" s="14" t="str">
        <x:v>mn shares</x:v>
      </x:c>
      <x:c r="D13" s="14" t="str">
        <x:v>发行前股本30%</x:v>
      </x:c>
      <x:c r="F13" s="14" t="str">
        <x:v>交易隐含100%权益值</x:v>
      </x:c>
      <x:c r="G13" s="127" t="n">
        <x:v>2000</x:v>
      </x:c>
      <x:c r="H13" s="14" t="str">
        <x:v>RMB mn</x:v>
      </x:c>
    </x:row>
    <x:row r="14">
      <x:c r="A14" s="14" t="str">
        <x:v>Base假设发行价</x:v>
      </x:c>
      <x:c r="B14" s="127" t="n">
        <x:v>47.75</x:v>
      </x:c>
      <x:c r="C14" s="14" t="str">
        <x:v>RMB/股</x:v>
      </x:c>
      <x:c r="D14" s="14" t="str">
        <x:v>参考价折价15%</x:v>
      </x:c>
      <x:c r="F14" s="14" t="str">
        <x:v>估值增值率</x:v>
      </x:c>
      <x:c r="G14" s="84" t="n">
        <x:v>0.5608</x:v>
      </x:c>
      <x:c r="H14" s="14" t="str">
        <x:v>相对账面净资产</x:v>
      </x:c>
    </x:row>
    <x:row r="15">
      <x:c r="A15" s="14" t="str">
        <x:v>Base新增股份</x:v>
      </x:c>
      <x:c r="B15" s="127" t="n">
        <x:f>B11/B14</x:f>
        <x:v>125.6544502617801</x:v>
      </x:c>
      <x:c r="C15" s="14" t="str">
        <x:v>mn shares</x:v>
      </x:c>
      <x:c r="D15" s="14" t="str">
        <x:v>足额募集</x:v>
      </x:c>
      <x:c r="F15" s="16" t="str">
        <x:v>审批状态</x:v>
      </x:c>
      <x:c r="G15" s="16"/>
      <x:c r="H15" s="16" t="str">
        <x:v>待2026-09-15股东会</x:v>
      </x:c>
    </x:row>
    <x:row r="16">
      <x:c r="A16" s="14" t="str">
        <x:v>Base摊薄比例</x:v>
      </x:c>
      <x:c r="B16" s="84" t="n">
        <x:f>B15/B12</x:f>
        <x:v>0.12986613901621497</x:v>
      </x:c>
      <x:c r="C16" s="14" t="str">
        <x:v>%</x:v>
      </x:c>
      <x:c r="D16" s="14" t="str">
        <x:v>新增/发行前</x:v>
      </x:c>
    </x:row>
    <x:row r="17">
      <x:c r="A17" s="16" t="str">
        <x:v>注册批复日期</x:v>
      </x:c>
      <x:c r="B17" s="16"/>
      <x:c r="C17" s="16"/>
      <x:c r="D17" s="16" t="str">
        <x:v>2026-05-27</x:v>
      </x:c>
    </x:row>
    <x:row r="20">
      <x:c r="A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B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C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D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E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F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G20" s="131" t="str">
        <x:v>价值判断：融资与并购不直接创造价值。只有当新增资本的税后回报超过股权资本成本，并在摊薄后EPS、FCF/股与ROIC中体现，第二增长曲线才真正增厚现有股东价值。</x:v>
      </x:c>
      <x:c r="H20" s="131" t="str">
        <x:v>价值判断：融资与并购不直接创造价值。只有当新增资本的税后回报超过股权资本成本，并在摊薄后EPS、FCF/股与ROIC中体现，第二增长曲线才真正增厚现有股东价值。</x:v>
      </x:c>
    </x:row>
  </x:sheetData>
  <x:mergeCells>
    <x:mergeCell ref="A1:H1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2" hidden="0" customWidth="1"/>
  </x:cols>
  <x:sheetData>
    <x:row r="1" ht="30" customHeight="1">
      <x:c r="A1" s="3" t="str">
        <x:v>市场输入与情景假设</x:v>
      </x:c>
      <x:c r="B1" s="3" t="str">
        <x:v>市场输入与情景假设</x:v>
      </x:c>
      <x:c r="C1" s="3" t="str">
        <x:v>市场输入与情景假设</x:v>
      </x:c>
      <x:c r="D1" s="3" t="str">
        <x:v>市场输入与情景假设</x:v>
      </x:c>
      <x:c r="E1" s="3" t="str">
        <x:v>市场输入与情景假设</x:v>
      </x:c>
      <x:c r="F1" s="3" t="str">
        <x:v>市场输入与情景假设</x:v>
      </x:c>
      <x:c r="G1" s="3" t="str">
        <x:v>市场输入与情景假设</x:v>
      </x:c>
      <x:c r="H1" s="3" t="str">
        <x:v>市场输入与情景假设</x:v>
      </x:c>
    </x:row>
    <x:row r="3">
      <x:c r="A3" s="19" t="str">
        <x:v>市场/资本输入</x:v>
      </x:c>
      <x:c r="B3" s="20" t="str">
        <x:v>数值</x:v>
      </x:c>
      <x:c r="C3" s="21" t="str">
        <x:v>说明</x:v>
      </x:c>
    </x:row>
    <x:row r="4">
      <x:c r="A4" s="11" t="str">
        <x:v>当前股价</x:v>
      </x:c>
      <x:c r="B4" s="39" t="n">
        <x:v>56.18</x:v>
      </x:c>
      <x:c r="C4" s="11" t="str">
        <x:v>2026-09-04收盘</x:v>
      </x:c>
    </x:row>
    <x:row r="5">
      <x:c r="A5" s="14" t="str">
        <x:v>现有股本（mn）</x:v>
      </x:c>
      <x:c r="B5" s="136" t="n">
        <x:v>967.569</x:v>
      </x:c>
      <x:c r="C5" s="14" t="str">
        <x:v>2026H1期末</x:v>
      </x:c>
    </x:row>
    <x:row r="6">
      <x:c r="A6" s="14" t="str">
        <x:v>现有市值（RMB bn）</x:v>
      </x:c>
      <x:c r="B6" s="40" t="n">
        <x:f>B4*B5/1000</x:f>
        <x:v>54.358026419999995</x:v>
      </x:c>
      <x:c r="C6" s="14" t="str">
        <x:v>股价×股本</x:v>
      </x:c>
    </x:row>
    <x:row r="7">
      <x:c r="A7" s="14" t="str">
        <x:v>TTM扣非净利润（RMB mn）</x:v>
      </x:c>
      <x:c r="B7" s="79" t="n">
        <x:f>'Historical'!D9-'Historical'!E9+'Historical'!F9</x:f>
        <x:v>668.748</x:v>
      </x:c>
      <x:c r="C7" s="14" t="str">
        <x:v>2025A-H1'25+H1'26</x:v>
      </x:c>
    </x:row>
    <x:row r="8">
      <x:c r="A8" s="14" t="str">
        <x:v>TTM扣非P/E</x:v>
      </x:c>
      <x:c r="B8" s="41" t="n">
        <x:f>B6/(B7/1000)</x:f>
        <x:v>81.28327325091065</x:v>
      </x:c>
      <x:c r="C8" s="14" t="str">
        <x:v>滚动估值</x:v>
      </x:c>
    </x:row>
    <x:row r="9">
      <x:c r="A9" s="14" t="str">
        <x:v>2025A扣非净利率</x:v>
      </x:c>
      <x:c r="B9" s="84" t="n">
        <x:f>'Historical'!D11</x:f>
        <x:v>0.07220829246064436</x:v>
      </x:c>
      <x:c r="C9" s="14" t="str">
        <x:v>全年口径</x:v>
      </x:c>
    </x:row>
    <x:row r="10">
      <x:c r="A10" s="14" t="str">
        <x:v>1H26扣非净利率</x:v>
      </x:c>
      <x:c r="B10" s="84" t="n">
        <x:f>'Historical'!F11</x:f>
        <x:v>0.03484987788790092</x:v>
      </x:c>
      <x:c r="C10" s="14" t="str">
        <x:v>季节性偏低</x:v>
      </x:c>
    </x:row>
    <x:row r="11">
      <x:c r="A11" s="16" t="str">
        <x:v>资料日期</x:v>
      </x:c>
      <x:c r="B11" s="16" t="str">
        <x:v>2026-09-07</x:v>
      </x:c>
      <x:c r="C11" s="16" t="str">
        <x:v>市场价截至09-04</x:v>
      </x:c>
    </x:row>
    <x:row r="14">
      <x:c r="A14" s="19" t="str">
        <x:v>情景</x:v>
      </x:c>
      <x:c r="B14" s="20" t="str">
        <x:v>2026收入增速</x:v>
      </x:c>
      <x:c r="C14" s="20" t="str">
        <x:v>2027收入增速</x:v>
      </x:c>
      <x:c r="D14" s="20" t="str">
        <x:v>2028收入增速</x:v>
      </x:c>
      <x:c r="E14" s="20" t="str">
        <x:v>2028扣非净利率</x:v>
      </x:c>
      <x:c r="F14" s="20" t="str">
        <x:v>摊薄股本（mn）</x:v>
      </x:c>
      <x:c r="G14" s="20" t="str">
        <x:v>2028 P/E</x:v>
      </x:c>
      <x:c r="H14" s="21" t="str">
        <x:v>情景含义</x:v>
      </x:c>
    </x:row>
    <x:row r="15">
      <x:c r="A15" s="11" t="str">
        <x:v>Bear</x:v>
      </x:c>
      <x:c r="B15" s="87" t="n">
        <x:v>0.05</x:v>
      </x:c>
      <x:c r="C15" s="87" t="n">
        <x:v>0.08</x:v>
      </x:c>
      <x:c r="D15" s="87" t="n">
        <x:v>0.08</x:v>
      </x:c>
      <x:c r="E15" s="87" t="n">
        <x:v>0.07</x:v>
      </x:c>
      <x:c r="F15" s="147" t="n">
        <x:v>1257.84</x:v>
      </x:c>
      <x:c r="G15" s="148" t="n">
        <x:v>25</x:v>
      </x:c>
      <x:c r="H15" s="11" t="str">
        <x:v>新业务慢、最大摊薄</x:v>
      </x:c>
    </x:row>
    <x:row r="16">
      <x:c r="A16" s="149" t="str">
        <x:v>Base</x:v>
      </x:c>
      <x:c r="B16" s="150" t="n">
        <x:v>0.1</x:v>
      </x:c>
      <x:c r="C16" s="150" t="n">
        <x:v>0.2</x:v>
      </x:c>
      <x:c r="D16" s="150" t="n">
        <x:v>0.22</x:v>
      </x:c>
      <x:c r="E16" s="150" t="n">
        <x:v>0.095</x:v>
      </x:c>
      <x:c r="F16" s="151" t="n">
        <x:v>1093.27</x:v>
      </x:c>
      <x:c r="G16" s="152" t="n">
        <x:v>35</x:v>
      </x:c>
      <x:c r="H16" s="149" t="str">
        <x:v>新业务温和兑现</x:v>
      </x:c>
    </x:row>
    <x:row r="17">
      <x:c r="A17" s="16" t="str">
        <x:v>Bull</x:v>
      </x:c>
      <x:c r="B17" s="86" t="n">
        <x:v>0.15</x:v>
      </x:c>
      <x:c r="C17" s="86" t="n">
        <x:v>0.3</x:v>
      </x:c>
      <x:c r="D17" s="86" t="n">
        <x:v>0.3</x:v>
      </x:c>
      <x:c r="E17" s="86" t="n">
        <x:v>0.11</x:v>
      </x:c>
      <x:c r="F17" s="153" t="n">
        <x:v>1050</x:v>
      </x:c>
      <x:c r="G17" s="154" t="n">
        <x:v>45</x:v>
      </x:c>
      <x:c r="H17" s="16" t="str">
        <x:v>卫星/AI/MLCC规模化</x:v>
      </x:c>
    </x:row>
    <x:row r="20">
      <x:c r="A20" s="131" t="str">
        <x:v>所有增长、净利率、摊薄股本和倍数均为分析假设，不是公司指引或一致预期。Base摊薄股本按60亿元、参考价折价15%足额发行测算。</x:v>
      </x:c>
      <x:c r="B20" s="131" t="str">
        <x:v>所有增长、净利率、摊薄股本和倍数均为分析假设，不是公司指引或一致预期。Base摊薄股本按60亿元、参考价折价15%足额发行测算。</x:v>
      </x:c>
      <x:c r="C20" s="131" t="str">
        <x:v>所有增长、净利率、摊薄股本和倍数均为分析假设，不是公司指引或一致预期。Base摊薄股本按60亿元、参考价折价15%足额发行测算。</x:v>
      </x:c>
      <x:c r="D20" s="131" t="str">
        <x:v>所有增长、净利率、摊薄股本和倍数均为分析假设，不是公司指引或一致预期。Base摊薄股本按60亿元、参考价折价15%足额发行测算。</x:v>
      </x:c>
      <x:c r="E20" s="131" t="str">
        <x:v>所有增长、净利率、摊薄股本和倍数均为分析假设，不是公司指引或一致预期。Base摊薄股本按60亿元、参考价折价15%足额发行测算。</x:v>
      </x:c>
      <x:c r="F20" s="131" t="str">
        <x:v>所有增长、净利率、摊薄股本和倍数均为分析假设，不是公司指引或一致预期。Base摊薄股本按60亿元、参考价折价15%足额发行测算。</x:v>
      </x:c>
      <x:c r="G20" s="131" t="str">
        <x:v>所有增长、净利率、摊薄股本和倍数均为分析假设，不是公司指引或一致预期。Base摊薄股本按60亿元、参考价折价15%足额发行测算。</x:v>
      </x:c>
      <x:c r="H20" s="131" t="str">
        <x:v>所有增长、净利率、摊薄股本和倍数均为分析假设，不是公司指引或一致预期。Base摊薄股本按60亿元、参考价折价15%足额发行测算。</x:v>
      </x:c>
    </x:row>
  </x:sheetData>
  <x:mergeCells>
    <x:mergeCell ref="A1:H1"/>
    <x:mergeCell ref="A20:H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</x:cols>
  <x:sheetData>
    <x:row r="1" ht="30" customHeight="1">
      <x:c r="A1" s="3" t="str">
        <x:v>Bear / Base / Bull 财务预测</x:v>
      </x:c>
      <x:c r="B1" s="3" t="str">
        <x:v>Bear / Base / Bull 财务预测</x:v>
      </x:c>
      <x:c r="C1" s="3" t="str">
        <x:v>Bear / Base / Bull 财务预测</x:v>
      </x:c>
      <x:c r="D1" s="3" t="str">
        <x:v>Bear / Base / Bull 财务预测</x:v>
      </x:c>
      <x:c r="E1" s="3" t="str">
        <x:v>Bear / Base / Bull 财务预测</x:v>
      </x:c>
      <x:c r="F1" s="3" t="str">
        <x:v>Bear / Base / Bull 财务预测</x:v>
      </x:c>
      <x:c r="G1" s="3" t="str">
        <x:v>Bear / Base / Bull 财务预测</x:v>
      </x:c>
      <x:c r="H1" s="3" t="str">
        <x:v>Bear / Base / Bull 财务预测</x:v>
      </x:c>
      <x:c r="I1" s="3" t="str">
        <x:v>Bear / Base / Bull 财务预测</x:v>
      </x:c>
      <x:c r="J1" s="3" t="str">
        <x:v>Bear / Base / Bull 财务预测</x:v>
      </x:c>
    </x:row>
    <x:row r="3">
      <x:c r="A3" s="19" t="str">
        <x:v>情景</x:v>
      </x:c>
      <x:c r="B3" s="20" t="str">
        <x:v>指标（RMB mn）</x:v>
      </x:c>
      <x:c r="C3" s="20" t="str">
        <x:v>2025A</x:v>
      </x:c>
      <x:c r="D3" s="20" t="str">
        <x:v>2026E</x:v>
      </x:c>
      <x:c r="E3" s="20" t="str">
        <x:v>2027E</x:v>
      </x:c>
      <x:c r="F3" s="20" t="str">
        <x:v>2028E</x:v>
      </x:c>
      <x:c r="G3" s="20" t="str">
        <x:v>2026同比</x:v>
      </x:c>
      <x:c r="H3" s="20" t="str">
        <x:v>2027同比</x:v>
      </x:c>
      <x:c r="I3" s="20" t="str">
        <x:v>2028同比</x:v>
      </x:c>
      <x:c r="J3" s="21" t="str">
        <x:v>说明</x:v>
      </x:c>
    </x:row>
    <x:row r="4">
      <x:c r="A4" s="11" t="str">
        <x:v>Bear</x:v>
      </x:c>
      <x:c r="B4" s="11" t="str">
        <x:v>收入</x:v>
      </x:c>
      <x:c r="C4" s="76" t="n">
        <x:f>'Historical'!D4</x:f>
        <x:v>8909.78</x:v>
      </x:c>
      <x:c r="D4" s="76" t="n">
        <x:f>C4*(1+'Assumptions'!B15)</x:f>
        <x:v>9355.269</x:v>
      </x:c>
      <x:c r="E4" s="76" t="n">
        <x:f>D4*(1+'Assumptions'!C15)</x:f>
        <x:v>10103.69052</x:v>
      </x:c>
      <x:c r="F4" s="76" t="n">
        <x:f>E4*(1+'Assumptions'!D15)</x:f>
        <x:v>10911.9857616</x:v>
      </x:c>
      <x:c r="G4" s="87" t="n">
        <x:f>D4/C4-1</x:f>
        <x:v>0.050000000000000044</x:v>
      </x:c>
      <x:c r="H4" s="87" t="n">
        <x:f>E4/D4-1</x:f>
        <x:v>0.08000000000000007</x:v>
      </x:c>
      <x:c r="I4" s="87" t="n">
        <x:f>F4/E4-1</x:f>
        <x:v>0.08000000000000007</x:v>
      </x:c>
      <x:c r="J4" s="11" t="str">
        <x:v>Bear收入路径</x:v>
      </x:c>
    </x:row>
    <x:row r="5">
      <x:c r="A5" s="14" t="str">
        <x:v>Bear</x:v>
      </x:c>
      <x:c r="B5" s="14" t="str">
        <x:v>扣非净利润</x:v>
      </x:c>
      <x:c r="C5" s="79" t="n">
        <x:f>'Historical'!D9</x:f>
        <x:v>643.36</x:v>
      </x:c>
      <x:c r="D5" s="79" t="n">
        <x:f>D4*D6</x:f>
        <x:v>668.6416099999999</x:v>
      </x:c>
      <x:c r="E5" s="79" t="n">
        <x:f>E4*E6</x:f>
        <x:v>714.6956376</x:v>
      </x:c>
      <x:c r="F5" s="79" t="n">
        <x:f>F4*F6</x:f>
        <x:v>763.8390033120002</x:v>
      </x:c>
      <x:c r="G5" s="14"/>
      <x:c r="H5" s="14"/>
      <x:c r="I5" s="14"/>
      <x:c r="J5" s="14" t="str">
        <x:v>收入×净利率</x:v>
      </x:c>
    </x:row>
    <x:row r="6">
      <x:c r="A6" s="14" t="str">
        <x:v>Bear</x:v>
      </x:c>
      <x:c r="B6" s="14" t="str">
        <x:v>扣非净利率</x:v>
      </x:c>
      <x:c r="C6" s="84" t="n">
        <x:f>'Historical'!D11</x:f>
        <x:v>0.07220829246064436</x:v>
      </x:c>
      <x:c r="D6" s="84" t="n">
        <x:f>C6+(F6-C6)/3</x:f>
        <x:v>0.0714721949737629</x:v>
      </x:c>
      <x:c r="E6" s="84" t="n">
        <x:f>C6+2*(F6-C6)/3</x:f>
        <x:v>0.07073609748688146</x:v>
      </x:c>
      <x:c r="F6" s="84" t="n">
        <x:f>'Assumptions'!E15</x:f>
        <x:v>0.07</x:v>
      </x:c>
      <x:c r="G6" s="14"/>
      <x:c r="H6" s="14"/>
      <x:c r="I6" s="14"/>
      <x:c r="J6" s="14" t="str">
        <x:v>线性过渡至2028假设</x:v>
      </x:c>
    </x:row>
    <x:row r="7">
      <x:c r="A7" s="16" t="str">
        <x:v>Bear</x:v>
      </x:c>
      <x:c r="B7" s="16" t="str">
        <x:v>摊薄EPS</x:v>
      </x:c>
      <x:c r="C7" s="157" t="n">
        <x:f>C5/'Assumptions'!F15</x:f>
        <x:v>0.5114799974559563</x:v>
      </x:c>
      <x:c r="D7" s="157" t="n">
        <x:f>D5/'Assumptions'!F15</x:f>
        <x:v>0.5315792231126375</x:v>
      </x:c>
      <x:c r="E7" s="157" t="n">
        <x:f>E5/'Assumptions'!F15</x:f>
        <x:v>0.5681928048082427</x:v>
      </x:c>
      <x:c r="F7" s="157" t="n">
        <x:f>F5/'Assumptions'!F15</x:f>
        <x:v>0.607262452547224</x:v>
      </x:c>
      <x:c r="G7" s="16"/>
      <x:c r="H7" s="16"/>
      <x:c r="I7" s="16"/>
      <x:c r="J7" s="16" t="str">
        <x:v>情景摊薄股本</x:v>
      </x:c>
    </x:row>
    <x:row r="10">
      <x:c r="A10" s="158" t="str">
        <x:v>Base</x:v>
      </x:c>
      <x:c r="B10" s="158" t="str">
        <x:v>收入</x:v>
      </x:c>
      <x:c r="C10" s="159" t="n">
        <x:f>'Historical'!D4</x:f>
        <x:v>8909.78</x:v>
      </x:c>
      <x:c r="D10" s="159" t="n">
        <x:f>C10*(1+'Assumptions'!B16)</x:f>
        <x:v>9800.758000000002</x:v>
      </x:c>
      <x:c r="E10" s="159" t="n">
        <x:f>D10*(1+'Assumptions'!C16)</x:f>
        <x:v>11760.9096</x:v>
      </x:c>
      <x:c r="F10" s="159" t="n">
        <x:f>E10*(1+'Assumptions'!D16)</x:f>
        <x:v>14348.309712</x:v>
      </x:c>
      <x:c r="G10" s="160" t="n">
        <x:f>D10/C10-1</x:f>
        <x:v>0.10000000000000009</x:v>
      </x:c>
      <x:c r="H10" s="160" t="n">
        <x:f>E10/D10-1</x:f>
        <x:v>0.19999999999999996</x:v>
      </x:c>
      <x:c r="I10" s="160" t="n">
        <x:f>F10/E10-1</x:f>
        <x:v>0.21999999999999997</x:v>
      </x:c>
      <x:c r="J10" s="158" t="str">
        <x:v>Base收入路径</x:v>
      </x:c>
    </x:row>
    <x:row r="11">
      <x:c r="A11" s="149" t="str">
        <x:v>Base</x:v>
      </x:c>
      <x:c r="B11" s="149" t="str">
        <x:v>扣非净利润</x:v>
      </x:c>
      <x:c r="C11" s="161" t="n">
        <x:f>'Historical'!D9</x:f>
        <x:v>643.36</x:v>
      </x:c>
      <x:c r="D11" s="161" t="n">
        <x:f>D10*D12</x:f>
        <x:v>782.15467</x:v>
      </x:c>
      <x:c r="E11" s="161" t="n">
        <x:f>E10*E12</x:f>
        <x:v>1027.9360080000001</x:v>
      </x:c>
      <x:c r="F11" s="161" t="n">
        <x:f>F10*F12</x:f>
        <x:v>1363.08942264</x:v>
      </x:c>
      <x:c r="G11" s="149"/>
      <x:c r="H11" s="149"/>
      <x:c r="I11" s="149"/>
      <x:c r="J11" s="149" t="str">
        <x:v>收入×净利率</x:v>
      </x:c>
    </x:row>
    <x:row r="12">
      <x:c r="A12" s="149" t="str">
        <x:v>Base</x:v>
      </x:c>
      <x:c r="B12" s="149" t="str">
        <x:v>扣非净利率</x:v>
      </x:c>
      <x:c r="C12" s="150" t="n">
        <x:f>'Historical'!D11</x:f>
        <x:v>0.07220829246064436</x:v>
      </x:c>
      <x:c r="D12" s="150" t="n">
        <x:f>C12+(F12-C12)/3</x:f>
        <x:v>0.07980552830709624</x:v>
      </x:c>
      <x:c r="E12" s="150" t="n">
        <x:f>C12+2*(F12-C12)/3</x:f>
        <x:v>0.08740276415354813</x:v>
      </x:c>
      <x:c r="F12" s="150" t="n">
        <x:f>'Assumptions'!E16</x:f>
        <x:v>0.095</x:v>
      </x:c>
      <x:c r="G12" s="149"/>
      <x:c r="H12" s="149"/>
      <x:c r="I12" s="149"/>
      <x:c r="J12" s="149" t="str">
        <x:v>线性过渡至2028假设</x:v>
      </x:c>
    </x:row>
    <x:row r="13">
      <x:c r="A13" s="162" t="str">
        <x:v>Base</x:v>
      </x:c>
      <x:c r="B13" s="162" t="str">
        <x:v>摊薄EPS</x:v>
      </x:c>
      <x:c r="C13" s="163" t="n">
        <x:f>C11/'Assumptions'!F16</x:f>
        <x:v>0.5884731127717764</x:v>
      </x:c>
      <x:c r="D13" s="163" t="n">
        <x:f>D11/'Assumptions'!F16</x:f>
        <x:v>0.7154268113091917</x:v>
      </x:c>
      <x:c r="E13" s="163" t="n">
        <x:f>E11/'Assumptions'!F16</x:f>
        <x:v>0.9402398382833154</x:v>
      </x:c>
      <x:c r="F13" s="163" t="n">
        <x:f>F11/'Assumptions'!F16</x:f>
        <x:v>1.2468003536546326</x:v>
      </x:c>
      <x:c r="G13" s="162"/>
      <x:c r="H13" s="162"/>
      <x:c r="I13" s="162"/>
      <x:c r="J13" s="162" t="str">
        <x:v>情景摊薄股本</x:v>
      </x:c>
    </x:row>
    <x:row r="16">
      <x:c r="A16" s="11" t="str">
        <x:v>Bull</x:v>
      </x:c>
      <x:c r="B16" s="11" t="str">
        <x:v>收入</x:v>
      </x:c>
      <x:c r="C16" s="76" t="n">
        <x:f>'Historical'!D4</x:f>
        <x:v>8909.78</x:v>
      </x:c>
      <x:c r="D16" s="76" t="n">
        <x:f>C16*(1+'Assumptions'!B17)</x:f>
        <x:v>10246.247</x:v>
      </x:c>
      <x:c r="E16" s="76" t="n">
        <x:f>D16*(1+'Assumptions'!C17)</x:f>
        <x:v>13320.1211</x:v>
      </x:c>
      <x:c r="F16" s="76" t="n">
        <x:f>E16*(1+'Assumptions'!D17)</x:f>
        <x:v>17316.15743</x:v>
      </x:c>
      <x:c r="G16" s="87" t="n">
        <x:f>D16/C16-1</x:f>
        <x:v>0.1499999999999999</x:v>
      </x:c>
      <x:c r="H16" s="87" t="n">
        <x:f>E16/D16-1</x:f>
        <x:v>0.30000000000000004</x:v>
      </x:c>
      <x:c r="I16" s="87" t="n">
        <x:f>F16/E16-1</x:f>
        <x:v>0.2999999999999998</x:v>
      </x:c>
      <x:c r="J16" s="11" t="str">
        <x:v>Bull收入路径</x:v>
      </x:c>
    </x:row>
    <x:row r="17">
      <x:c r="A17" s="14" t="str">
        <x:v>Bull</x:v>
      </x:c>
      <x:c r="B17" s="14" t="str">
        <x:v>扣非净利润</x:v>
      </x:c>
      <x:c r="C17" s="79" t="n">
        <x:f>'Historical'!D9</x:f>
        <x:v>643.36</x:v>
      </x:c>
      <x:c r="D17" s="79" t="n">
        <x:f>D16*D18</x:f>
        <x:v>868.9383899999999</x:v>
      </x:c>
      <x:c r="E17" s="79" t="n">
        <x:f>E16*E18</x:f>
        <x:v>1297.416614</x:v>
      </x:c>
      <x:c r="F17" s="79" t="n">
        <x:f>F16*F18</x:f>
        <x:v>1904.7773172999998</x:v>
      </x:c>
      <x:c r="G17" s="14"/>
      <x:c r="H17" s="14"/>
      <x:c r="I17" s="14"/>
      <x:c r="J17" s="14" t="str">
        <x:v>收入×净利率</x:v>
      </x:c>
    </x:row>
    <x:row r="18">
      <x:c r="A18" s="14" t="str">
        <x:v>Bull</x:v>
      </x:c>
      <x:c r="B18" s="14" t="str">
        <x:v>扣非净利率</x:v>
      </x:c>
      <x:c r="C18" s="84" t="n">
        <x:f>'Historical'!D11</x:f>
        <x:v>0.07220829246064436</x:v>
      </x:c>
      <x:c r="D18" s="84" t="n">
        <x:f>C18+(F18-C18)/3</x:f>
        <x:v>0.08480552830709624</x:v>
      </x:c>
      <x:c r="E18" s="84" t="n">
        <x:f>C18+2*(F18-C18)/3</x:f>
        <x:v>0.09740276415354812</x:v>
      </x:c>
      <x:c r="F18" s="84" t="n">
        <x:f>'Assumptions'!E17</x:f>
        <x:v>0.11</x:v>
      </x:c>
      <x:c r="G18" s="14"/>
      <x:c r="H18" s="14"/>
      <x:c r="I18" s="14"/>
      <x:c r="J18" s="14" t="str">
        <x:v>线性过渡至2028假设</x:v>
      </x:c>
    </x:row>
    <x:row r="19">
      <x:c r="A19" s="16" t="str">
        <x:v>Bull</x:v>
      </x:c>
      <x:c r="B19" s="16" t="str">
        <x:v>摊薄EPS</x:v>
      </x:c>
      <x:c r="C19" s="157" t="n">
        <x:f>C17/'Assumptions'!F17</x:f>
        <x:v>0.6127238095238096</x:v>
      </x:c>
      <x:c r="D19" s="157" t="n">
        <x:f>D17/'Assumptions'!F17</x:f>
        <x:v>0.8275603714285713</x:v>
      </x:c>
      <x:c r="E19" s="157" t="n">
        <x:f>E17/'Assumptions'!F17</x:f>
        <x:v>1.2356348704761904</x:v>
      </x:c>
      <x:c r="F19" s="157" t="n">
        <x:f>F17/'Assumptions'!F17</x:f>
        <x:v>1.8140736355238094</x:v>
      </x:c>
      <x:c r="G19" s="16"/>
      <x:c r="H19" s="16"/>
      <x:c r="I19" s="16"/>
      <x:c r="J19" s="16" t="str">
        <x:v>情景摊薄股本</x:v>
      </x:c>
    </x:row>
  </x:sheetData>
  <x:mergeCells>
    <x:mergeCell ref="A1:J1"/>
    <x:mergeCell ref="A4:A7"/>
    <x:mergeCell ref="A10:A13"/>
    <x:mergeCell ref="A16:A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3" t="str">
        <x:v>2028E情景估值与市场隐含预期</x:v>
      </x:c>
      <x:c r="B1" s="3" t="str">
        <x:v>2028E情景估值与市场隐含预期</x:v>
      </x:c>
      <x:c r="C1" s="3" t="str">
        <x:v>2028E情景估值与市场隐含预期</x:v>
      </x:c>
      <x:c r="D1" s="3" t="str">
        <x:v>2028E情景估值与市场隐含预期</x:v>
      </x:c>
      <x:c r="E1" s="3" t="str">
        <x:v>2028E情景估值与市场隐含预期</x:v>
      </x:c>
      <x:c r="F1" s="3" t="str">
        <x:v>2028E情景估值与市场隐含预期</x:v>
      </x:c>
      <x:c r="G1" s="3" t="str">
        <x:v>2028E情景估值与市场隐含预期</x:v>
      </x:c>
      <x:c r="H1" s="3" t="str">
        <x:v>2028E情景估值与市场隐含预期</x:v>
      </x:c>
    </x:row>
    <x:row r="3">
      <x:c r="A3" s="19" t="str">
        <x:v>情景</x:v>
      </x:c>
      <x:c r="B3" s="20" t="str">
        <x:v>2028收入</x:v>
      </x:c>
      <x:c r="C3" s="20" t="str">
        <x:v>扣非净利率</x:v>
      </x:c>
      <x:c r="D3" s="20" t="str">
        <x:v>扣非净利润</x:v>
      </x:c>
      <x:c r="E3" s="20" t="str">
        <x:v>摊薄EPS</x:v>
      </x:c>
      <x:c r="F3" s="20" t="str">
        <x:v>P/E</x:v>
      </x:c>
      <x:c r="G3" s="20" t="str">
        <x:v>每股价值</x:v>
      </x:c>
      <x:c r="H3" s="21" t="str">
        <x:v>相对当前价格</x:v>
      </x:c>
    </x:row>
    <x:row r="5">
      <x:c r="A5" s="11" t="str">
        <x:v>Bear</x:v>
      </x:c>
      <x:c r="B5" s="76" t="n">
        <x:f>'Forecast'!F4</x:f>
        <x:v>10911.9857616</x:v>
      </x:c>
      <x:c r="C5" s="87" t="n">
        <x:f>'Forecast'!F6</x:f>
        <x:v>0.07</x:v>
      </x:c>
      <x:c r="D5" s="76" t="n">
        <x:f>'Forecast'!F5</x:f>
        <x:v>763.8390033120002</x:v>
      </x:c>
      <x:c r="E5" s="177" t="n">
        <x:f>'Forecast'!F7</x:f>
        <x:v>0.607262452547224</x:v>
      </x:c>
      <x:c r="F5" s="148" t="n">
        <x:f>'Assumptions'!G15</x:f>
        <x:v>25</x:v>
      </x:c>
      <x:c r="G5" s="178" t="n">
        <x:f>E5*F5</x:f>
        <x:v>15.1815613136806</x:v>
      </x:c>
      <x:c r="H5" s="107" t="n">
        <x:f>G5/'Assumptions'!$B$4-1</x:f>
        <x:v>-0.7297692895393272</x:v>
      </x:c>
    </x:row>
    <x:row r="6">
      <x:c r="A6" s="149" t="str">
        <x:v>Base</x:v>
      </x:c>
      <x:c r="B6" s="161" t="n">
        <x:f>'Forecast'!F10</x:f>
        <x:v>14348.309712</x:v>
      </x:c>
      <x:c r="C6" s="150" t="n">
        <x:f>'Forecast'!F12</x:f>
        <x:v>0.095</x:v>
      </x:c>
      <x:c r="D6" s="161" t="n">
        <x:f>'Forecast'!F11</x:f>
        <x:v>1363.08942264</x:v>
      </x:c>
      <x:c r="E6" s="179" t="n">
        <x:f>'Forecast'!F13</x:f>
        <x:v>1.2468003536546326</x:v>
      </x:c>
      <x:c r="F6" s="152" t="n">
        <x:f>'Assumptions'!G16</x:f>
        <x:v>35</x:v>
      </x:c>
      <x:c r="G6" s="180" t="n">
        <x:f>E6*F6</x:f>
        <x:v>43.63801237791214</x:v>
      </x:c>
      <x:c r="H6" s="181" t="n">
        <x:f>G6/'Assumptions'!$B$4-1</x:f>
        <x:v>-0.22324648668721714</x:v>
      </x:c>
    </x:row>
    <x:row r="7">
      <x:c r="A7" s="16" t="str">
        <x:v>Bull</x:v>
      </x:c>
      <x:c r="B7" s="111" t="n">
        <x:f>'Forecast'!F16</x:f>
        <x:v>17316.15743</x:v>
      </x:c>
      <x:c r="C7" s="86" t="n">
        <x:f>'Forecast'!F18</x:f>
        <x:v>0.11</x:v>
      </x:c>
      <x:c r="D7" s="111" t="n">
        <x:f>'Forecast'!F17</x:f>
        <x:v>1904.7773172999998</x:v>
      </x:c>
      <x:c r="E7" s="157" t="n">
        <x:f>'Forecast'!F19</x:f>
        <x:v>1.8140736355238094</x:v>
      </x:c>
      <x:c r="F7" s="154" t="n">
        <x:f>'Assumptions'!G17</x:f>
        <x:v>45</x:v>
      </x:c>
      <x:c r="G7" s="182" t="n">
        <x:f>E7*F7</x:f>
        <x:v>81.63331359857142</x:v>
      </x:c>
      <x:c r="H7" s="46" t="n">
        <x:f>G7/'Assumptions'!$B$4-1</x:f>
        <x:v>0.4530671697858921</x:v>
      </x:c>
    </x:row>
    <x:row r="11">
      <x:c r="A11" s="19" t="str">
        <x:v>市场隐含校验</x:v>
      </x:c>
      <x:c r="B11" s="183" t="str">
        <x:v>P/E 35x</x:v>
      </x:c>
      <x:c r="C11" s="183" t="str">
        <x:v>P/E 40x</x:v>
      </x:c>
      <x:c r="D11" s="183" t="str">
        <x:v>P/E 45x</x:v>
      </x:c>
      <x:c r="E11" s="20" t="str">
        <x:v>Base 2028收入</x:v>
      </x:c>
      <x:c r="F11" s="21" t="str">
        <x:v>说明</x:v>
      </x:c>
    </x:row>
    <x:row r="12">
      <x:c r="A12" s="11" t="str">
        <x:v>现价要求扣非净利润</x:v>
      </x:c>
      <x:c r="B12" s="76" t="n">
        <x:f>'Assumptions'!B4*'Assumptions'!F16/35</x:f>
        <x:v>1754.8545314285714</x:v>
      </x:c>
      <x:c r="C12" s="76" t="n">
        <x:f>'Assumptions'!B4*'Assumptions'!F16/40</x:f>
        <x:v>1535.497715</x:v>
      </x:c>
      <x:c r="D12" s="76" t="n">
        <x:f>'Assumptions'!B4*'Assumptions'!F16/45</x:f>
        <x:v>1364.8868577777778</x:v>
      </x:c>
      <x:c r="E12" s="76" t="n">
        <x:f>'Forecast'!F10</x:f>
        <x:v>14348.309712</x:v>
      </x:c>
      <x:c r="F12" s="11" t="str">
        <x:v>现价×Base摊薄股本÷P/E</x:v>
      </x:c>
    </x:row>
    <x:row r="13">
      <x:c r="A13" s="16" t="str">
        <x:v>对应净利率</x:v>
      </x:c>
      <x:c r="B13" s="86" t="n">
        <x:f>B12/$E$12</x:f>
        <x:v>0.12230392057685542</x:v>
      </x:c>
      <x:c r="C13" s="86" t="n">
        <x:f>C12/$E$12</x:f>
        <x:v>0.1070159305047485</x:v>
      </x:c>
      <x:c r="D13" s="86" t="n">
        <x:f>D12/$E$12</x:f>
        <x:v>0.09512527155977644</x:v>
      </x:c>
      <x:c r="E13" s="16"/>
      <x:c r="F13" s="16" t="str">
        <x:v>明显高于2025A 7.22%</x:v>
      </x:c>
    </x:row>
    <x:row r="17">
      <x:c r="A17" s="19" t="str">
        <x:v>Base敏感性：2028扣非净利率 × P/E（元/股）</x:v>
      </x:c>
      <x:c r="B17" s="20" t="str">
        <x:v>Base敏感性：2028扣非净利率 × P/E（元/股）</x:v>
      </x:c>
      <x:c r="C17" s="20" t="str">
        <x:v>Base敏感性：2028扣非净利率 × P/E（元/股）</x:v>
      </x:c>
      <x:c r="D17" s="20" t="str">
        <x:v>Base敏感性：2028扣非净利率 × P/E（元/股）</x:v>
      </x:c>
      <x:c r="E17" s="20" t="str">
        <x:v>Base敏感性：2028扣非净利率 × P/E（元/股）</x:v>
      </x:c>
      <x:c r="F17" s="21" t="str">
        <x:v>Base敏感性：2028扣非净利率 × P/E（元/股）</x:v>
      </x:c>
    </x:row>
    <x:row r="18">
      <x:c r="A18" s="52" t="str">
        <x:v>净利率 \ P/E</x:v>
      </x:c>
      <x:c r="B18" s="53" t="n">
        <x:v>25</x:v>
      </x:c>
      <x:c r="C18" s="53" t="n">
        <x:v>30</x:v>
      </x:c>
      <x:c r="D18" s="53" t="n">
        <x:v>35</x:v>
      </x:c>
      <x:c r="E18" s="53" t="n">
        <x:v>40</x:v>
      </x:c>
      <x:c r="F18" s="54" t="n">
        <x:v>45</x:v>
      </x:c>
    </x:row>
    <x:row r="19">
      <x:c r="A19" s="87" t="n">
        <x:v>0.08</x:v>
      </x:c>
      <x:c r="B19" s="39" t="n">
        <x:f>'Forecast'!$F$10*$A19/'Assumptions'!$F$16*B$18</x:f>
        <x:v>26.24842849799226</x:v>
      </x:c>
      <x:c r="C19" s="39" t="n">
        <x:f>'Forecast'!$F$10*$A19/'Assumptions'!$F$16*C$18</x:f>
        <x:v>31.498114197590713</x:v>
      </x:c>
      <x:c r="D19" s="39" t="n">
        <x:f>'Forecast'!$F$10*$A19/'Assumptions'!$F$16*D$18</x:f>
        <x:v>36.74779989718916</x:v>
      </x:c>
      <x:c r="E19" s="39" t="n">
        <x:f>'Forecast'!$F$10*$A19/'Assumptions'!$F$16*E$18</x:f>
        <x:v>41.99748559678761</x:v>
      </x:c>
      <x:c r="F19" s="39" t="n">
        <x:f>'Forecast'!$F$10*$A19/'Assumptions'!$F$16*F$18</x:f>
        <x:v>47.24717129638607</x:v>
      </x:c>
    </x:row>
    <x:row r="20">
      <x:c r="A20" s="84" t="n">
        <x:v>0.09</x:v>
      </x:c>
      <x:c r="B20" s="45" t="n">
        <x:f>'Forecast'!$F$10*$A20/'Assumptions'!$F$16*B$18</x:f>
        <x:v>29.529482060241293</x:v>
      </x:c>
      <x:c r="C20" s="45" t="n">
        <x:f>'Forecast'!$F$10*$A20/'Assumptions'!$F$16*C$18</x:f>
        <x:v>35.43537847228955</x:v>
      </x:c>
      <x:c r="D20" s="45" t="n">
        <x:f>'Forecast'!$F$10*$A20/'Assumptions'!$F$16*D$18</x:f>
        <x:v>41.34127488433781</x:v>
      </x:c>
      <x:c r="E20" s="45" t="n">
        <x:f>'Forecast'!$F$10*$A20/'Assumptions'!$F$16*E$18</x:f>
        <x:v>47.247171296386064</x:v>
      </x:c>
      <x:c r="F20" s="45" t="n">
        <x:f>'Forecast'!$F$10*$A20/'Assumptions'!$F$16*F$18</x:f>
        <x:v>53.15306770843432</x:v>
      </x:c>
    </x:row>
    <x:row r="21">
      <x:c r="A21" s="84" t="n">
        <x:v>0.1</x:v>
      </x:c>
      <x:c r="B21" s="45" t="n">
        <x:f>'Forecast'!$F$10*$A21/'Assumptions'!$F$16*B$18</x:f>
        <x:v>32.81053562249033</x:v>
      </x:c>
      <x:c r="C21" s="45" t="n">
        <x:f>'Forecast'!$F$10*$A21/'Assumptions'!$F$16*C$18</x:f>
        <x:v>39.37264274698839</x:v>
      </x:c>
      <x:c r="D21" s="45" t="n">
        <x:f>'Forecast'!$F$10*$A21/'Assumptions'!$F$16*D$18</x:f>
        <x:v>45.93474987148646</x:v>
      </x:c>
      <x:c r="E21" s="45" t="n">
        <x:f>'Forecast'!$F$10*$A21/'Assumptions'!$F$16*E$18</x:f>
        <x:v>52.49685699598452</x:v>
      </x:c>
      <x:c r="F21" s="45" t="n">
        <x:f>'Forecast'!$F$10*$A21/'Assumptions'!$F$16*F$18</x:f>
        <x:v>59.05896412048259</x:v>
      </x:c>
    </x:row>
    <x:row r="22">
      <x:c r="A22" s="84" t="n">
        <x:v>0.11</x:v>
      </x:c>
      <x:c r="B22" s="45" t="n">
        <x:f>'Forecast'!$F$10*$A22/'Assumptions'!$F$16*B$18</x:f>
        <x:v>36.09158918473936</x:v>
      </x:c>
      <x:c r="C22" s="45" t="n">
        <x:f>'Forecast'!$F$10*$A22/'Assumptions'!$F$16*C$18</x:f>
        <x:v>43.30990702168723</x:v>
      </x:c>
      <x:c r="D22" s="45" t="n">
        <x:f>'Forecast'!$F$10*$A22/'Assumptions'!$F$16*D$18</x:f>
        <x:v>50.5282248586351</x:v>
      </x:c>
      <x:c r="E22" s="45" t="n">
        <x:f>'Forecast'!$F$10*$A22/'Assumptions'!$F$16*E$18</x:f>
        <x:v>57.746542695582974</x:v>
      </x:c>
      <x:c r="F22" s="45" t="n">
        <x:f>'Forecast'!$F$10*$A22/'Assumptions'!$F$16*F$18</x:f>
        <x:v>64.96486053253085</x:v>
      </x:c>
    </x:row>
    <x:row r="23">
      <x:c r="A23" s="86" t="n">
        <x:v>0.12</x:v>
      </x:c>
      <x:c r="B23" s="184" t="n">
        <x:f>'Forecast'!$F$10*$A23/'Assumptions'!$F$16*B$18</x:f>
        <x:v>39.3726427469884</x:v>
      </x:c>
      <x:c r="C23" s="184" t="n">
        <x:f>'Forecast'!$F$10*$A23/'Assumptions'!$F$16*C$18</x:f>
        <x:v>47.24717129638607</x:v>
      </x:c>
      <x:c r="D23" s="184" t="n">
        <x:f>'Forecast'!$F$10*$A23/'Assumptions'!$F$16*D$18</x:f>
        <x:v>55.12169984578375</x:v>
      </x:c>
      <x:c r="E23" s="184" t="n">
        <x:f>'Forecast'!$F$10*$A23/'Assumptions'!$F$16*E$18</x:f>
        <x:v>62.99622839518143</x:v>
      </x:c>
      <x:c r="F23" s="184" t="n">
        <x:f>'Forecast'!$F$10*$A23/'Assumptions'!$F$16*F$18</x:f>
        <x:v>70.87075694457911</x:v>
      </x:c>
    </x:row>
    <x:row r="26">
      <x:c r="A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B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C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D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E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F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G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  <x:c r="H26" s="131" t="str">
        <x:v>估值限制：2028E P/E能覆盖项目爬坡，却增加远期假设误差。模型未把募资现金直接加到价值，只通过项目盈利和摊薄股本体现；MLCC亏损、融资成本、折旧和追加资本通过净利率假设概括，实际路径可能更差或更好。</x:v>
      </x:c>
    </x:row>
  </x:sheetData>
  <x:mergeCells>
    <x:mergeCell ref="A1:H1"/>
    <x:mergeCell ref="A17:F17"/>
    <x:mergeCell ref="A26:H26"/>
  </x:mergeCells>
  <x:conditionalFormatting sqref="B19:F2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IF(COUNTIF(F5:F15,"FAIL")=0,"OK","FAIL")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市值桥</x:v>
      </x:c>
      <x:c r="B5" s="185" t="n">
        <x:f>'Assumptions'!B6</x:f>
        <x:v>54.358026419999995</x:v>
      </x:c>
      <x:c r="C5" s="185" t="n">
        <x:f>'Assumptions'!B4*'Assumptions'!B5/1000</x:f>
        <x:v>54.358026419999995</x:v>
      </x:c>
      <x:c r="D5" s="185" t="n">
        <x:f>B5-C5</x:f>
        <x:v>0</x:v>
      </x:c>
      <x:c r="E5" s="185" t="n">
        <x:f>0.0001</x:f>
        <x:v>0.0001</x:v>
      </x:c>
      <x:c r="F5" s="11" t="str">
        <x:f>IF(ABS(D5)&lt;=E5,"OK","FAIL")</x:f>
        <x:v>OK</x:v>
      </x:c>
      <x:c r="G5" s="11" t="str">
        <x:v>股价×现有股本</x:v>
      </x:c>
    </x:row>
    <x:row r="6">
      <x:c r="A6" s="14" t="str">
        <x:v>TTM利润桥</x:v>
      </x:c>
      <x:c r="B6" s="83" t="n">
        <x:f>'Assumptions'!B7</x:f>
        <x:v>668.748</x:v>
      </x:c>
      <x:c r="C6" s="83" t="n">
        <x:f>'Historical'!D9-'Historical'!E9+'Historical'!F9</x:f>
        <x:v>668.748</x:v>
      </x:c>
      <x:c r="D6" s="83" t="n">
        <x:f>B6-C6</x:f>
        <x:v>0</x:v>
      </x:c>
      <x:c r="E6" s="83" t="n">
        <x:f>0.0001</x:f>
        <x:v>0.0001</x:v>
      </x:c>
      <x:c r="F6" s="14" t="str">
        <x:f>IF(ABS(D6)&lt;=E6,"OK","FAIL")</x:f>
        <x:v>OK</x:v>
      </x:c>
      <x:c r="G6" s="14" t="str">
        <x:v>2025A-H1'25+H1'26</x:v>
      </x:c>
    </x:row>
    <x:row r="7">
      <x:c r="A7" s="14" t="str">
        <x:v>TTM P/E桥</x:v>
      </x:c>
      <x:c r="B7" s="83" t="n">
        <x:f>'Assumptions'!B8</x:f>
        <x:v>81.28327325091065</x:v>
      </x:c>
      <x:c r="C7" s="83" t="n">
        <x:f>'Assumptions'!B6/('Assumptions'!B7/1000)</x:f>
        <x:v>81.28327325091065</x:v>
      </x:c>
      <x:c r="D7" s="83" t="n">
        <x:f>B7-C7</x:f>
        <x:v>0</x:v>
      </x:c>
      <x:c r="E7" s="83" t="n">
        <x:f>0.0001</x:f>
        <x:v>0.0001</x:v>
      </x:c>
      <x:c r="F7" s="14" t="str">
        <x:f>IF(ABS(D7)&lt;=E7,"OK","FAIL")</x:f>
        <x:v>OK</x:v>
      </x:c>
      <x:c r="G7" s="14" t="str">
        <x:v>市值/TTM利润</x:v>
      </x:c>
    </x:row>
    <x:row r="8">
      <x:c r="A8" s="14" t="str">
        <x:v>1H26收入同比</x:v>
      </x:c>
      <x:c r="B8" s="83" t="n">
        <x:f>'Historical'!F5</x:f>
        <x:v>0.0888</x:v>
      </x:c>
      <x:c r="C8" s="83" t="n">
        <x:f>'Historical'!F4/'Historical'!E4-1</x:f>
        <x:v>0.08879042608894538</x:v>
      </x:c>
      <x:c r="D8" s="83" t="n">
        <x:f>B8-C8</x:f>
        <x:v>0.000009573911054619466</x:v>
      </x:c>
      <x:c r="E8" s="83" t="n">
        <x:f>0.0001</x:f>
        <x:v>0.0001</x:v>
      </x:c>
      <x:c r="F8" s="14" t="str">
        <x:f>IF(ABS(D8)&lt;=E8,"OK","FAIL")</x:f>
        <x:v>OK</x:v>
      </x:c>
      <x:c r="G8" s="14" t="str">
        <x:v>半年度同比</x:v>
      </x:c>
    </x:row>
    <x:row r="9">
      <x:c r="A9" s="14" t="str">
        <x:v>1H26扣非净利率</x:v>
      </x:c>
      <x:c r="B9" s="83" t="n">
        <x:f>'Historical'!F11</x:f>
        <x:v>0.03484987788790092</x:v>
      </x:c>
      <x:c r="C9" s="83" t="n">
        <x:f>'Historical'!F9/'Historical'!F4</x:f>
        <x:v>0.03484987788790092</x:v>
      </x:c>
      <x:c r="D9" s="83" t="n">
        <x:f>B9-C9</x:f>
        <x:v>0</x:v>
      </x:c>
      <x:c r="E9" s="83" t="n">
        <x:f>0.0001</x:f>
        <x:v>0.0001</x:v>
      </x:c>
      <x:c r="F9" s="14" t="str">
        <x:f>IF(ABS(D9)&lt;=E9,"OK","FAIL")</x:f>
        <x:v>OK</x:v>
      </x:c>
      <x:c r="G9" s="14" t="str">
        <x:v>扣非利润/收入</x:v>
      </x:c>
    </x:row>
    <x:row r="10">
      <x:c r="A10" s="14" t="str">
        <x:v>1H26简化FCF</x:v>
      </x:c>
      <x:c r="B10" s="83" t="n">
        <x:f>'Historical'!F14</x:f>
        <x:v>-134.98099999999994</x:v>
      </x:c>
      <x:c r="C10" s="83" t="n">
        <x:f>'Historical'!F12-'Historical'!F13</x:f>
        <x:v>-134.98099999999994</x:v>
      </x:c>
      <x:c r="D10" s="83" t="n">
        <x:f>B10-C10</x:f>
        <x:v>0</x:v>
      </x:c>
      <x:c r="E10" s="83" t="n">
        <x:f>0.0001</x:f>
        <x:v>0.0001</x:v>
      </x:c>
      <x:c r="F10" s="14" t="str">
        <x:f>IF(ABS(D10)&lt;=E10,"OK","FAIL")</x:f>
        <x:v>OK</x:v>
      </x:c>
      <x:c r="G10" s="14" t="str">
        <x:v>CFO-资本开支</x:v>
      </x:c>
    </x:row>
    <x:row r="11">
      <x:c r="A11" s="14" t="str">
        <x:v>净债务桥</x:v>
      </x:c>
      <x:c r="B11" s="83" t="n">
        <x:f>'Balance &amp; Cash'!C17</x:f>
        <x:v>1532.054</x:v>
      </x:c>
      <x:c r="C11" s="83" t="n">
        <x:f>'Balance &amp; Cash'!C13+'Balance &amp; Cash'!C14+'Balance &amp; Cash'!C15+'Balance &amp; Cash'!C16-'Balance &amp; Cash'!C4</x:f>
        <x:v>1532.054</x:v>
      </x:c>
      <x:c r="D11" s="83" t="n">
        <x:f>B11-C11</x:f>
        <x:v>0</x:v>
      </x:c>
      <x:c r="E11" s="83" t="n">
        <x:f>0.0001</x:f>
        <x:v>0.0001</x:v>
      </x:c>
      <x:c r="F11" s="14" t="str">
        <x:f>IF(ABS(D11)&lt;=E11,"OK","FAIL")</x:f>
        <x:v>OK</x:v>
      </x:c>
      <x:c r="G11" s="14" t="str">
        <x:v>有息债务及租赁-现金</x:v>
      </x:c>
    </x:row>
    <x:row r="12">
      <x:c r="A12" s="14" t="str">
        <x:v>定增募资合计</x:v>
      </x:c>
      <x:c r="B12" s="83" t="n">
        <x:f>'Capital Program'!C7</x:f>
        <x:v>6000</x:v>
      </x:c>
      <x:c r="C12" s="83" t="n">
        <x:f>SUM('Capital Program'!C4:C6)</x:f>
        <x:v>6000</x:v>
      </x:c>
      <x:c r="D12" s="83" t="n">
        <x:f>B12-C12</x:f>
        <x:v>0</x:v>
      </x:c>
      <x:c r="E12" s="83" t="n">
        <x:f>0.0001</x:f>
        <x:v>0.0001</x:v>
      </x:c>
      <x:c r="F12" s="14" t="str">
        <x:f>IF(ABS(D12)&lt;=E12,"OK","FAIL")</x:f>
        <x:v>OK</x:v>
      </x:c>
      <x:c r="G12" s="14" t="str">
        <x:v>三项目合计60亿元</x:v>
      </x:c>
    </x:row>
    <x:row r="13">
      <x:c r="A13" s="14" t="str">
        <x:v>募投资金占比</x:v>
      </x:c>
      <x:c r="B13" s="83" t="n">
        <x:f>'Capital Program'!D7</x:f>
        <x:v>0.9999999999999999</x:v>
      </x:c>
      <x:c r="C13" s="83" t="n">
        <x:f>1</x:f>
        <x:v>1</x:v>
      </x:c>
      <x:c r="D13" s="83" t="n">
        <x:f>B13-C13</x:f>
        <x:v>-1.1102230246251565e-16</x:v>
      </x:c>
      <x:c r="E13" s="83" t="n">
        <x:f>0.0001</x:f>
        <x:v>0.0001</x:v>
      </x:c>
      <x:c r="F13" s="14" t="str">
        <x:f>IF(ABS(D13)&lt;=E13,"OK","FAIL")</x:f>
        <x:v>OK</x:v>
      </x:c>
      <x:c r="G13" s="14" t="str">
        <x:v>项目权重合计100%</x:v>
      </x:c>
    </x:row>
    <x:row r="14">
      <x:c r="A14" s="14" t="str">
        <x:v>Base价值公式</x:v>
      </x:c>
      <x:c r="B14" s="83" t="n">
        <x:f>'Valuation'!G6</x:f>
        <x:v>43.63801237791214</x:v>
      </x:c>
      <x:c r="C14" s="83" t="n">
        <x:f>'Valuation'!E6*'Valuation'!F6</x:f>
        <x:v>43.63801237791214</x:v>
      </x:c>
      <x:c r="D14" s="83" t="n">
        <x:f>B14-C14</x:f>
        <x:v>0</x:v>
      </x:c>
      <x:c r="E14" s="83" t="n">
        <x:f>0.0001</x:f>
        <x:v>0.0001</x:v>
      </x:c>
      <x:c r="F14" s="14" t="str">
        <x:f>IF(ABS(D14)&lt;=E14,"OK","FAIL")</x:f>
        <x:v>OK</x:v>
      </x:c>
      <x:c r="G14" s="14" t="str">
        <x:v>EPS×P/E</x:v>
      </x:c>
    </x:row>
    <x:row r="15">
      <x:c r="A15" s="16" t="str">
        <x:v>情景价值递增</x:v>
      </x:c>
      <x:c r="B15" s="186" t="n">
        <x:f>'Valuation'!G7-'Valuation'!G5</x:f>
        <x:v>66.45175228489082</x:v>
      </x:c>
      <x:c r="C15" s="186" t="n">
        <x:f>0</x:f>
        <x:v>0</x:v>
      </x:c>
      <x:c r="D15" s="186" t="n">
        <x:f>B15-C15</x:f>
        <x:v>66.45175228489082</x:v>
      </x:c>
      <x:c r="E15" s="186" t="n">
        <x:f>0</x:f>
        <x:v>0</x:v>
      </x:c>
      <x:c r="F15" s="16" t="str">
        <x:f>IF(B15&gt;C15,"OK","FAIL")</x:f>
        <x:v>OK</x:v>
      </x:c>
      <x:c r="G15" s="16" t="str">
        <x:v>Bull必须高于Bear</x:v>
      </x:c>
    </x:row>
  </x:sheetData>
  <x:mergeCells>
    <x:mergeCell ref="A1:G1"/>
    <x:mergeCell ref="A2:E2"/>
  </x:mergeCells>
  <x:conditionalFormatting sqref="F2:F15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28" hidden="0" customWidth="1"/>
    <x:col min="7" max="7" width="76" hidden="0" customWidth="1"/>
    <x:col min="8" max="8" width="35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90" t="str">
        <x:v>2026H1财务、区域、现金流</x:v>
      </x:c>
      <x:c r="C4" s="193"/>
      <x:c r="D4" s="90"/>
      <x:c r="E4" s="90" t="str">
        <x:v>1H26</x:v>
      </x:c>
      <x:c r="F4" s="90" t="str">
        <x:v>信维通信2026年半年度报告</x:v>
      </x:c>
      <x:c r="G4" s="90" t="str">
        <x:v>https://vip.stock.finance.sina.com.cn/corp/view/vCB_AllBulletinDetail.php?id=12563433&amp;stockid=300136</x:v>
      </x:c>
      <x:c r="H4" s="90" t="str">
        <x:v>一级披露镜像；未经审计</x:v>
      </x:c>
    </x:row>
    <x:row r="5" ht="45" customHeight="1">
      <x:c r="A5" s="14" t="str">
        <x:v>S2</x:v>
      </x:c>
      <x:c r="B5" s="91" t="str">
        <x:v>2023-2025财务、客户、研发</x:v>
      </x:c>
      <x:c r="C5" s="194"/>
      <x:c r="D5" s="91"/>
      <x:c r="E5" s="91" t="str">
        <x:v>FY2025</x:v>
      </x:c>
      <x:c r="F5" s="91" t="str">
        <x:v>信维通信2025年年度报告</x:v>
      </x:c>
      <x:c r="G5" s="91" t="str">
        <x:v>https://money.finance.sina.com.cn/corp/view/vCB_AllBulletinDetail.php?id=12112895&amp;stockid=300136</x:v>
      </x:c>
      <x:c r="H5" s="91" t="str">
        <x:v>天职国际审计；标准无保留</x:v>
      </x:c>
    </x:row>
    <x:row r="6" ht="45" customHeight="1">
      <x:c r="A6" s="14" t="str">
        <x:v>S3</x:v>
      </x:c>
      <x:c r="B6" s="91" t="str">
        <x:v>60亿元定增及三个募投项目</x:v>
      </x:c>
      <x:c r="C6" s="194" t="n">
        <x:v>6000</x:v>
      </x:c>
      <x:c r="D6" s="91" t="str">
        <x:v>RMB mn</x:v>
      </x:c>
      <x:c r="E6" s="91" t="str">
        <x:v>2026-03-14</x:v>
      </x:c>
      <x:c r="F6" s="91" t="str">
        <x:v>向特定对象发行预案</x:v>
      </x:c>
      <x:c r="G6" s="91" t="str">
        <x:v>https://static.cninfo.com.cn/finalpage/2026-03-14/1225008953.PDF</x:v>
      </x:c>
      <x:c r="H6" s="91" t="str">
        <x:v>巨潮资讯一级来源</x:v>
      </x:c>
    </x:row>
    <x:row r="7" ht="45" customHeight="1">
      <x:c r="A7" s="14" t="str">
        <x:v>S4</x:v>
      </x:c>
      <x:c r="B7" s="91" t="str">
        <x:v>定增注册批复</x:v>
      </x:c>
      <x:c r="C7" s="194"/>
      <x:c r="D7" s="91"/>
      <x:c r="E7" s="91" t="str">
        <x:v>2026-05-27</x:v>
      </x:c>
      <x:c r="F7" s="91" t="str">
        <x:v>注册批复公告</x:v>
      </x:c>
      <x:c r="G7" s="91" t="str">
        <x:v>https://vip.stock.finance.sina.com.cn/corp/view/vCB_AllBulletinDetail.php?stockid=300136&amp;id=12358168</x:v>
      </x:c>
      <x:c r="H7" s="91" t="str">
        <x:v>已注册，尚未发行</x:v>
      </x:c>
    </x:row>
    <x:row r="8" ht="45" customHeight="1">
      <x:c r="A8" s="14" t="str">
        <x:v>S5</x:v>
      </x:c>
      <x:c r="B8" s="91" t="str">
        <x:v>MLCC收购及目标公司财务</x:v>
      </x:c>
      <x:c r="C8" s="194" t="n">
        <x:v>1100</x:v>
      </x:c>
      <x:c r="D8" s="91" t="str">
        <x:v>RMB mn</x:v>
      </x:c>
      <x:c r="E8" s="91" t="str">
        <x:v>2026-08-28</x:v>
      </x:c>
      <x:c r="F8" s="91" t="str">
        <x:v>关联交易公告</x:v>
      </x:c>
      <x:c r="G8" s="91" t="str">
        <x:v>https://vip.stock.finance.sina.com.cn/corp/view/vCB_AllBulletinDetail.php?stockid=300136&amp;id=12563426</x:v>
      </x:c>
      <x:c r="H8" s="91" t="str">
        <x:v>交易待股东会审议</x:v>
      </x:c>
    </x:row>
    <x:row r="9" ht="45" customHeight="1">
      <x:c r="A9" s="14" t="str">
        <x:v>M1</x:v>
      </x:c>
      <x:c r="B9" s="91" t="str">
        <x:v>A股收盘价</x:v>
      </x:c>
      <x:c r="C9" s="194" t="n">
        <x:v>56.18</x:v>
      </x:c>
      <x:c r="D9" s="91" t="str">
        <x:v>RMB/股</x:v>
      </x:c>
      <x:c r="E9" s="91" t="str">
        <x:v>2026-09-04</x:v>
      </x:c>
      <x:c r="F9" s="91" t="str">
        <x:v>Investing历史行情</x:v>
      </x:c>
      <x:c r="G9" s="91" t="str">
        <x:v>https://cn.investing.com/equities/shenzhen-sunway-communication-historical-data</x:v>
      </x:c>
      <x:c r="H9" s="91" t="str">
        <x:v>二级市场数据</x:v>
      </x:c>
    </x:row>
    <x:row r="10" ht="45" customHeight="1">
      <x:c r="A10" s="14" t="str">
        <x:v>A1</x:v>
      </x:c>
      <x:c r="B10" s="91" t="str">
        <x:v>Bear 2028收入增速</x:v>
      </x:c>
      <x:c r="C10" s="195" t="n">
        <x:v>0.08</x:v>
      </x:c>
      <x:c r="D10" s="91" t="str">
        <x:v>同比</x:v>
      </x:c>
      <x:c r="E10" s="91" t="str">
        <x:v>2028E</x:v>
      </x:c>
      <x:c r="F10" s="91" t="str">
        <x:v>分析假设</x:v>
      </x:c>
      <x:c r="G10" s="91" t="str"/>
      <x:c r="H10" s="91" t="str">
        <x:v>不是公司指引</x:v>
      </x:c>
    </x:row>
    <x:row r="11" ht="45" customHeight="1">
      <x:c r="A11" s="14" t="str">
        <x:v>A2</x:v>
      </x:c>
      <x:c r="B11" s="91" t="str">
        <x:v>Base 2028收入增速</x:v>
      </x:c>
      <x:c r="C11" s="195" t="n">
        <x:v>0.22</x:v>
      </x:c>
      <x:c r="D11" s="91" t="str">
        <x:v>同比</x:v>
      </x:c>
      <x:c r="E11" s="91" t="str">
        <x:v>2028E</x:v>
      </x:c>
      <x:c r="F11" s="91" t="str">
        <x:v>分析假设</x:v>
      </x:c>
      <x:c r="G11" s="91" t="str"/>
      <x:c r="H11" s="91" t="str">
        <x:v>不是公司指引</x:v>
      </x:c>
    </x:row>
    <x:row r="12" ht="45" customHeight="1">
      <x:c r="A12" s="14" t="str">
        <x:v>A3</x:v>
      </x:c>
      <x:c r="B12" s="91" t="str">
        <x:v>Bull 2028收入增速</x:v>
      </x:c>
      <x:c r="C12" s="195" t="n">
        <x:v>0.3</x:v>
      </x:c>
      <x:c r="D12" s="91" t="str">
        <x:v>同比</x:v>
      </x:c>
      <x:c r="E12" s="91" t="str">
        <x:v>2028E</x:v>
      </x:c>
      <x:c r="F12" s="91" t="str">
        <x:v>分析假设</x:v>
      </x:c>
      <x:c r="G12" s="91" t="str"/>
      <x:c r="H12" s="91" t="str">
        <x:v>不是公司指引</x:v>
      </x:c>
    </x:row>
    <x:row r="13" ht="45" customHeight="1">
      <x:c r="A13" s="14" t="str">
        <x:v>A4</x:v>
      </x:c>
      <x:c r="B13" s="91" t="str">
        <x:v>Bear 2028扣非净利率</x:v>
      </x:c>
      <x:c r="C13" s="195" t="n">
        <x:v>0.07</x:v>
      </x:c>
      <x:c r="D13" s="91" t="str">
        <x:v>净利率</x:v>
      </x:c>
      <x:c r="E13" s="91" t="str">
        <x:v>2028E</x:v>
      </x:c>
      <x:c r="F13" s="91" t="str">
        <x:v>分析假设</x:v>
      </x:c>
      <x:c r="G13" s="91" t="str"/>
      <x:c r="H13" s="91" t="str">
        <x:v>接近2025A</x:v>
      </x:c>
    </x:row>
    <x:row r="14" ht="45" customHeight="1">
      <x:c r="A14" s="14" t="str">
        <x:v>A5</x:v>
      </x:c>
      <x:c r="B14" s="91" t="str">
        <x:v>Base 2028扣非净利率</x:v>
      </x:c>
      <x:c r="C14" s="195" t="n">
        <x:v>0.095</x:v>
      </x:c>
      <x:c r="D14" s="91" t="str">
        <x:v>净利率</x:v>
      </x:c>
      <x:c r="E14" s="91" t="str">
        <x:v>2028E</x:v>
      </x:c>
      <x:c r="F14" s="91" t="str">
        <x:v>分析假设</x:v>
      </x:c>
      <x:c r="G14" s="91" t="str"/>
      <x:c r="H14" s="91" t="str">
        <x:v>新业务改善结构</x:v>
      </x:c>
    </x:row>
    <x:row r="15" ht="45" customHeight="1">
      <x:c r="A15" s="14" t="str">
        <x:v>A6</x:v>
      </x:c>
      <x:c r="B15" s="91" t="str">
        <x:v>Bull 2028扣非净利率</x:v>
      </x:c>
      <x:c r="C15" s="195" t="n">
        <x:v>0.11</x:v>
      </x:c>
      <x:c r="D15" s="91" t="str">
        <x:v>净利率</x:v>
      </x:c>
      <x:c r="E15" s="91" t="str">
        <x:v>2028E</x:v>
      </x:c>
      <x:c r="F15" s="91" t="str">
        <x:v>分析假设</x:v>
      </x:c>
      <x:c r="G15" s="91" t="str"/>
      <x:c r="H15" s="91" t="str">
        <x:v>高利用率</x:v>
      </x:c>
    </x:row>
    <x:row r="16" ht="45" customHeight="1">
      <x:c r="A16" s="14" t="str">
        <x:v>A7</x:v>
      </x:c>
      <x:c r="B16" s="91" t="str">
        <x:v>Base摊薄股本</x:v>
      </x:c>
      <x:c r="C16" s="194" t="n">
        <x:v>1093.27</x:v>
      </x:c>
      <x:c r="D16" s="91" t="str">
        <x:v>mn shares</x:v>
      </x:c>
      <x:c r="E16" s="91" t="str">
        <x:v>估值</x:v>
      </x:c>
      <x:c r="F16" s="91" t="str">
        <x:v>分析假设</x:v>
      </x:c>
      <x:c r="G16" s="91" t="str"/>
      <x:c r="H16" s="91" t="str">
        <x:v>60亿元/47.75元</x:v>
      </x:c>
    </x:row>
    <x:row r="17" ht="45" customHeight="1">
      <x:c r="A17" s="14" t="str">
        <x:v>A8</x:v>
      </x:c>
      <x:c r="B17" s="91" t="str">
        <x:v>Base 2028 P/E</x:v>
      </x:c>
      <x:c r="C17" s="194" t="n">
        <x:v>35</x:v>
      </x:c>
      <x:c r="D17" s="91" t="str">
        <x:v>x</x:v>
      </x:c>
      <x:c r="E17" s="91" t="str">
        <x:v>估值</x:v>
      </x:c>
      <x:c r="F17" s="91" t="str">
        <x:v>分析假设</x:v>
      </x:c>
      <x:c r="G17" s="91" t="str"/>
      <x:c r="H17" s="91" t="str">
        <x:v>仍为成长股倍数</x:v>
      </x:c>
    </x:row>
    <x:row r="18" ht="45" customHeight="1">
      <x:c r="A18" s="16" t="str">
        <x:v>A9</x:v>
      </x:c>
      <x:c r="B18" s="92" t="str">
        <x:v>简化FCF</x:v>
      </x:c>
      <x:c r="C18" s="196" t="n">
        <x:v>-134.981</x:v>
      </x:c>
      <x:c r="D18" s="92" t="str">
        <x:v>RMB mn</x:v>
      </x:c>
      <x:c r="E18" s="92" t="str">
        <x:v>1H26</x:v>
      </x:c>
      <x:c r="F18" s="92" t="str">
        <x:v>研究计算</x:v>
      </x:c>
      <x:c r="G18" s="92" t="str"/>
      <x:c r="H18" s="92" t="str">
        <x:v>CFO-资本开支</x:v>
      </x:c>
    </x:row>
  </x:sheetData>
  <x:mergeCells>
    <x:mergeCell ref="A1:H1"/>
  </x:mergeCells>
  <x:pageMargins left="0.7" right="0.7" top="0.75" bottom="0.75" header="0.3" footer="0.3"/>
</x:worksheet>
</file>
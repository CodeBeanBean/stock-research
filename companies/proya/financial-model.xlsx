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8903cd141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5a35499da154b74"/>
    <x:sheet xmlns:r="http://schemas.openxmlformats.org/officeDocument/2006/relationships" name="Historical" sheetId="2" r:id="R099cdc75a63745e0"/>
    <x:sheet xmlns:r="http://schemas.openxmlformats.org/officeDocument/2006/relationships" name="Brands &amp; Channels" sheetId="3" r:id="Rfbdf93fcd7f54c3b"/>
    <x:sheet xmlns:r="http://schemas.openxmlformats.org/officeDocument/2006/relationships" name="Cash &amp; Acquisition" sheetId="4" r:id="R3627cc7668c9416b"/>
    <x:sheet xmlns:r="http://schemas.openxmlformats.org/officeDocument/2006/relationships" name="Valuation" sheetId="5" r:id="R7d41a05de6014e50"/>
    <x:sheet xmlns:r="http://schemas.openxmlformats.org/officeDocument/2006/relationships" name="Checks" sheetId="6" r:id="R1e7a49cee8884a3b"/>
    <x:sheet xmlns:r="http://schemas.openxmlformats.org/officeDocument/2006/relationships" name="Sources Audit" sheetId="7" r:id="R1be7fa1922a4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yyyy-mm-dd"/>
    <x:numFmt numFmtId="201" formatCode="&quot;RMB &quot;0.00"/>
    <x:numFmt numFmtId="202" formatCode="0.0&quot; mn&quot;"/>
    <x:numFmt numFmtId="203" formatCode="0.0x"/>
    <x:numFmt numFmtId="204" formatCode="0.0%;[Red](0.0%);-"/>
    <x:numFmt numFmtId="205" formatCode="0.0&quot; mn&quot;;[Red](0.0&quot; mn&quot;);-"/>
    <x:numFmt numFmtId="206" formatCode="0.0%"/>
    <x:numFmt numFmtId="207" formatCode="0.00&quot; 亿元&quot;"/>
    <x:numFmt numFmtId="208" formatCode="0.000"/>
    <x:numFmt numFmtId="209" formatCode="0&quot; mn&quot;"/>
    <x:numFmt numFmtId="210" formatCode="0%"/>
    <x:numFmt numFmtId="211" formatCode="0x"/>
    <x:numFmt numFmtId="212" formatCode="0.0000"/>
  </x:numFmts>
  <x:fonts count="11">
    <x:font>
      <x:sz val="11"/>
      <x:name val="Carlito"/>
    </x:font>
    <x:font>
      <x:b/>
      <x:sz val="16"/>
      <x:color rgb="FF17365D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9">
    <x:border/>
    <x:border>
      <x:bottom style="medium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B4C7E7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2" xfId="0" applyNumberFormat="1" applyFont="1" applyFill="1" applyBorder="1"/>
    <x:xf numFmtId="0" fontId="5" fillId="0" borderId="2" xfId="0" applyNumberFormat="1" applyFont="1" applyFill="1" applyBorder="1"/>
    <x:xf numFmtId="0" fontId="4" fillId="0" borderId="3" xfId="0" applyNumberFormat="1" applyFont="1" applyFill="1" applyBorder="1"/>
    <x:xf numFmtId="200" fontId="5" fillId="0" borderId="3" xfId="0" applyNumberFormat="1" applyFont="1" applyFill="1" applyBorder="1"/>
    <x:xf numFmtId="0" fontId="5" fillId="0" borderId="3" xfId="0" applyNumberFormat="1" applyFont="1" applyFill="1" applyBorder="1"/>
    <x:xf numFmtId="0" fontId="4" fillId="0" borderId="4" xfId="0" applyNumberFormat="1" applyFont="1" applyFill="1" applyBorder="1"/>
    <x:xf numFmtId="0" fontId="5" fillId="0" borderId="4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1" fontId="5" fillId="0" borderId="2" xfId="0" applyNumberFormat="1" applyFont="1" applyFill="1" applyBorder="1"/>
    <x:xf numFmtId="202" fontId="5" fillId="0" borderId="3" xfId="0" applyNumberFormat="1" applyFont="1" applyFill="1" applyBorder="1"/>
    <x:xf numFmtId="203" fontId="5" fillId="0" borderId="3" xfId="0" applyNumberFormat="1" applyFont="1" applyFill="1" applyBorder="1"/>
    <x:xf numFmtId="204" fontId="5" fillId="0" borderId="3" xfId="0" applyNumberFormat="1" applyFont="1" applyFill="1" applyBorder="1"/>
    <x:xf numFmtId="201" fontId="5" fillId="0" borderId="3" xfId="0" applyNumberFormat="1" applyFont="1" applyFill="1" applyBorder="1"/>
    <x:xf numFmtId="201" fontId="5" fillId="0" borderId="4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8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5" fontId="0" fillId="3" borderId="0" xfId="0" applyNumberFormat="1" applyFont="1" applyFill="1" applyBorder="1"/>
    <x:xf numFmtId="204" fontId="0" fillId="3" borderId="0" xfId="0" applyNumberFormat="1" applyFont="1" applyFill="1" applyBorder="1"/>
    <x:xf numFmtId="206" fontId="0" fillId="3" borderId="0" xfId="0" applyNumberFormat="1" applyFont="1" applyFill="1" applyBorder="1"/>
    <x:xf numFmtId="0" fontId="3" fillId="3" borderId="0" xfId="0" applyNumberFormat="1" applyFont="1" applyFill="1" applyBorder="1"/>
    <x:xf numFmtId="205" fontId="3" fillId="3" borderId="0" xfId="0" applyNumberFormat="1" applyFont="1" applyFill="1" applyBorder="1"/>
    <x:xf numFmtId="204" fontId="3" fillId="3" borderId="0" xfId="0" applyNumberFormat="1" applyFont="1" applyFill="1" applyBorder="1"/>
    <x:xf numFmtId="205" fontId="5" fillId="0" borderId="0" xfId="0" applyNumberFormat="1" applyFont="1" applyFill="1" applyBorder="1"/>
    <x:xf numFmtId="0" fontId="5" fillId="3" borderId="0" xfId="0" applyNumberFormat="1" applyFont="1" applyFill="1" applyBorder="1"/>
    <x:xf numFmtId="205" fontId="5" fillId="3" borderId="0" xfId="0" applyNumberFormat="1" applyFont="1" applyFill="1" applyBorder="1"/>
    <x:xf numFmtId="204" fontId="5" fillId="3" borderId="0" xfId="0" applyNumberFormat="1" applyFont="1" applyFill="1" applyBorder="1"/>
    <x:xf numFmtId="206" fontId="5" fillId="3" borderId="0" xfId="0" applyNumberFormat="1" applyFont="1" applyFill="1" applyBorder="1"/>
    <x:xf numFmtId="0" fontId="4" fillId="3" borderId="0" xfId="0" applyNumberFormat="1" applyFont="1" applyFill="1" applyBorder="1"/>
    <x:xf numFmtId="205" fontId="4" fillId="3" borderId="0" xfId="0" applyNumberFormat="1" applyFont="1" applyFill="1" applyBorder="1"/>
    <x:xf numFmtId="204" fontId="4" fillId="3" borderId="0" xfId="0" applyNumberFormat="1" applyFont="1" applyFill="1" applyBorder="1"/>
    <x:xf numFmtId="205" fontId="5" fillId="0" borderId="2" xfId="0" applyNumberFormat="1" applyFont="1" applyFill="1" applyBorder="1"/>
    <x:xf numFmtId="204" fontId="5" fillId="0" borderId="2" xfId="0" applyNumberFormat="1" applyFont="1" applyFill="1" applyBorder="1"/>
    <x:xf numFmtId="205" fontId="5" fillId="0" borderId="3" xfId="0" applyNumberFormat="1" applyFont="1" applyFill="1" applyBorder="1"/>
    <x:xf numFmtId="0" fontId="5" fillId="3" borderId="3" xfId="0" applyNumberFormat="1" applyFont="1" applyFill="1" applyBorder="1"/>
    <x:xf numFmtId="205" fontId="5" fillId="3" borderId="3" xfId="0" applyNumberFormat="1" applyFont="1" applyFill="1" applyBorder="1"/>
    <x:xf numFmtId="204" fontId="5" fillId="3" borderId="3" xfId="0" applyNumberFormat="1" applyFont="1" applyFill="1" applyBorder="1"/>
    <x:xf numFmtId="206" fontId="5" fillId="3" borderId="3" xfId="0" applyNumberFormat="1" applyFont="1" applyFill="1" applyBorder="1"/>
    <x:xf numFmtId="0" fontId="4" fillId="3" borderId="3" xfId="0" applyNumberFormat="1" applyFont="1" applyFill="1" applyBorder="1"/>
    <x:xf numFmtId="205" fontId="4" fillId="3" borderId="3" xfId="0" applyNumberFormat="1" applyFont="1" applyFill="1" applyBorder="1"/>
    <x:xf numFmtId="204" fontId="4" fillId="3" borderId="3" xfId="0" applyNumberFormat="1" applyFont="1" applyFill="1" applyBorder="1"/>
    <x:xf numFmtId="202" fontId="5" fillId="0" borderId="4" xfId="0" applyNumberFormat="1" applyFont="1" applyFill="1" applyBorder="1"/>
    <x:xf numFmtId="207" fontId="0" fillId="0" borderId="0" xfId="0" applyNumberFormat="1" applyFont="1" applyFill="1" applyBorder="1"/>
    <x:xf numFmtId="0" fontId="0" fillId="5" borderId="0" xfId="0" applyNumberFormat="1" applyFont="1" applyFill="1" applyBorder="1"/>
    <x:xf numFmtId="207" fontId="0" fillId="5" borderId="0" xfId="0" applyNumberFormat="1" applyFont="1" applyFill="1" applyBorder="1"/>
    <x:xf numFmtId="204" fontId="0" fillId="5" borderId="0" xfId="0" applyNumberFormat="1" applyFont="1" applyFill="1" applyBorder="1"/>
    <x:xf numFmtId="0" fontId="0" fillId="6" borderId="0" xfId="0" applyNumberFormat="1" applyFont="1" applyFill="1" applyBorder="1"/>
    <x:xf numFmtId="207" fontId="0" fillId="6" borderId="0" xfId="0" applyNumberFormat="1" applyFont="1" applyFill="1" applyBorder="1"/>
    <x:xf numFmtId="204" fontId="0" fillId="6" borderId="0" xfId="0" applyNumberFormat="1" applyFont="1" applyFill="1" applyBorder="1"/>
    <x:xf numFmtId="207" fontId="3" fillId="0" borderId="0" xfId="0" applyNumberFormat="1" applyFont="1" applyFill="1" applyBorder="1"/>
    <x:xf numFmtId="204" fontId="3" fillId="0" borderId="0" xfId="0" applyNumberFormat="1" applyFont="1" applyFill="1" applyBorder="1"/>
    <x:xf numFmtId="0" fontId="5" fillId="5" borderId="0" xfId="0" applyNumberFormat="1" applyFont="1" applyFill="1" applyBorder="1"/>
    <x:xf numFmtId="207" fontId="5" fillId="5" borderId="0" xfId="0" applyNumberFormat="1" applyFont="1" applyFill="1" applyBorder="1"/>
    <x:xf numFmtId="204" fontId="5" fillId="5" borderId="0" xfId="0" applyNumberFormat="1" applyFont="1" applyFill="1" applyBorder="1"/>
    <x:xf numFmtId="0" fontId="5" fillId="6" borderId="0" xfId="0" applyNumberFormat="1" applyFont="1" applyFill="1" applyBorder="1"/>
    <x:xf numFmtId="207" fontId="5" fillId="6" borderId="0" xfId="0" applyNumberFormat="1" applyFont="1" applyFill="1" applyBorder="1"/>
    <x:xf numFmtId="204" fontId="5" fillId="6" borderId="0" xfId="0" applyNumberFormat="1" applyFont="1" applyFill="1" applyBorder="1"/>
    <x:xf numFmtId="207" fontId="5" fillId="0" borderId="0" xfId="0" applyNumberFormat="1" applyFont="1" applyFill="1" applyBorder="1"/>
    <x:xf numFmtId="207" fontId="4" fillId="0" borderId="0" xfId="0" applyNumberFormat="1" applyFont="1" applyFill="1" applyBorder="1"/>
    <x:xf numFmtId="204" fontId="4" fillId="0" borderId="0" xfId="0" applyNumberFormat="1" applyFont="1" applyFill="1" applyBorder="1"/>
    <x:xf numFmtId="0" fontId="5" fillId="5" borderId="2" xfId="0" applyNumberFormat="1" applyFont="1" applyFill="1" applyBorder="1"/>
    <x:xf numFmtId="207" fontId="5" fillId="5" borderId="2" xfId="0" applyNumberFormat="1" applyFont="1" applyFill="1" applyBorder="1"/>
    <x:xf numFmtId="204" fontId="5" fillId="5" borderId="2" xfId="0" applyNumberFormat="1" applyFont="1" applyFill="1" applyBorder="1"/>
    <x:xf numFmtId="0" fontId="5" fillId="5" borderId="3" xfId="0" applyNumberFormat="1" applyFont="1" applyFill="1" applyBorder="1"/>
    <x:xf numFmtId="207" fontId="5" fillId="5" borderId="3" xfId="0" applyNumberFormat="1" applyFont="1" applyFill="1" applyBorder="1"/>
    <x:xf numFmtId="204" fontId="5" fillId="5" borderId="3" xfId="0" applyNumberFormat="1" applyFont="1" applyFill="1" applyBorder="1"/>
    <x:xf numFmtId="0" fontId="5" fillId="6" borderId="3" xfId="0" applyNumberFormat="1" applyFont="1" applyFill="1" applyBorder="1"/>
    <x:xf numFmtId="207" fontId="5" fillId="6" borderId="3" xfId="0" applyNumberFormat="1" applyFont="1" applyFill="1" applyBorder="1"/>
    <x:xf numFmtId="204" fontId="5" fillId="6" borderId="3" xfId="0" applyNumberFormat="1" applyFont="1" applyFill="1" applyBorder="1"/>
    <x:xf numFmtId="207" fontId="5" fillId="0" borderId="3" xfId="0" applyNumberFormat="1" applyFont="1" applyFill="1" applyBorder="1"/>
    <x:xf numFmtId="207" fontId="4" fillId="0" borderId="4" xfId="0" applyNumberFormat="1" applyFont="1" applyFill="1" applyBorder="1"/>
    <x:xf numFmtId="204" fontId="4" fillId="0" borderId="4" xfId="0" applyNumberFormat="1" applyFont="1" applyFill="1" applyBorder="1"/>
    <x:xf numFmtId="207" fontId="5" fillId="0" borderId="2" xfId="0" applyNumberFormat="1" applyFont="1" applyFill="1" applyBorder="1"/>
    <x:xf numFmtId="207" fontId="5" fillId="0" borderId="4" xfId="0" applyNumberFormat="1" applyFont="1" applyFill="1" applyBorder="1"/>
    <x:xf numFmtId="204" fontId="5" fillId="0" borderId="4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/>
    <x:xf numFmtId="202" fontId="5" fillId="5" borderId="0" xfId="0" applyNumberFormat="1" applyFont="1" applyFill="1" applyBorder="1"/>
    <x:xf numFmtId="202" fontId="5" fillId="0" borderId="2" xfId="0" applyNumberFormat="1" applyFont="1" applyFill="1" applyBorder="1"/>
    <x:xf numFmtId="202" fontId="5" fillId="5" borderId="3" xfId="0" applyNumberFormat="1" applyFont="1" applyFill="1" applyBorder="1"/>
    <x:xf numFmtId="208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8" fontId="0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8" fontId="5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8" fontId="5" fillId="5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208" fontId="5" fillId="0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208" fontId="5" fillId="5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08" fontId="5" fillId="0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208" fontId="5" fillId="5" borderId="4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209" fontId="0" fillId="0" borderId="0" xfId="0" applyNumberFormat="1" applyFont="1" applyFill="1" applyBorder="1"/>
    <x:xf numFmtId="210" fontId="0" fillId="0" borderId="0" xfId="0" applyNumberFormat="1" applyFont="1" applyFill="1" applyBorder="1"/>
    <x:xf numFmtId="211" fontId="0" fillId="0" borderId="0" xfId="0" applyNumberFormat="1" applyFont="1" applyFill="1" applyBorder="1"/>
    <x:xf numFmtId="209" fontId="8" fillId="0" borderId="0" xfId="0" applyNumberFormat="1" applyFont="1" applyFill="1" applyBorder="1"/>
    <x:xf numFmtId="210" fontId="8" fillId="0" borderId="0" xfId="0" applyNumberFormat="1" applyFont="1" applyFill="1" applyBorder="1"/>
    <x:xf numFmtId="211" fontId="8" fillId="0" borderId="0" xfId="0" applyNumberFormat="1" applyFont="1" applyFill="1" applyBorder="1"/>
    <x:xf numFmtId="209" fontId="8" fillId="6" borderId="0" xfId="0" applyNumberFormat="1" applyFont="1" applyFill="1" applyBorder="1"/>
    <x:xf numFmtId="210" fontId="8" fillId="6" borderId="0" xfId="0" applyNumberFormat="1" applyFont="1" applyFill="1" applyBorder="1"/>
    <x:xf numFmtId="202" fontId="0" fillId="6" borderId="0" xfId="0" applyNumberFormat="1" applyFont="1" applyFill="1" applyBorder="1"/>
    <x:xf numFmtId="211" fontId="8" fillId="6" borderId="0" xfId="0" applyNumberFormat="1" applyFont="1" applyFill="1" applyBorder="1"/>
    <x:xf numFmtId="201" fontId="0" fillId="6" borderId="0" xfId="0" applyNumberFormat="1" applyFont="1" applyFill="1" applyBorder="1"/>
    <x:xf numFmtId="209" fontId="5" fillId="0" borderId="0" xfId="0" applyNumberFormat="1" applyFont="1" applyFill="1" applyBorder="1"/>
    <x:xf numFmtId="210" fontId="5" fillId="0" borderId="0" xfId="0" applyNumberFormat="1" applyFont="1" applyFill="1" applyBorder="1"/>
    <x:xf numFmtId="211" fontId="5" fillId="0" borderId="0" xfId="0" applyNumberFormat="1" applyFont="1" applyFill="1" applyBorder="1"/>
    <x:xf numFmtId="209" fontId="5" fillId="6" borderId="0" xfId="0" applyNumberFormat="1" applyFont="1" applyFill="1" applyBorder="1"/>
    <x:xf numFmtId="210" fontId="5" fillId="6" borderId="0" xfId="0" applyNumberFormat="1" applyFont="1" applyFill="1" applyBorder="1"/>
    <x:xf numFmtId="202" fontId="5" fillId="6" borderId="0" xfId="0" applyNumberFormat="1" applyFont="1" applyFill="1" applyBorder="1"/>
    <x:xf numFmtId="211" fontId="5" fillId="6" borderId="0" xfId="0" applyNumberFormat="1" applyFont="1" applyFill="1" applyBorder="1"/>
    <x:xf numFmtId="201" fontId="5" fillId="6" borderId="0" xfId="0" applyNumberFormat="1" applyFont="1" applyFill="1" applyBorder="1"/>
    <x:xf numFmtId="209" fontId="5" fillId="0" borderId="2" xfId="0" applyNumberFormat="1" applyFont="1" applyFill="1" applyBorder="1"/>
    <x:xf numFmtId="210" fontId="5" fillId="0" borderId="2" xfId="0" applyNumberFormat="1" applyFont="1" applyFill="1" applyBorder="1"/>
    <x:xf numFmtId="211" fontId="5" fillId="0" borderId="2" xfId="0" applyNumberFormat="1" applyFont="1" applyFill="1" applyBorder="1"/>
    <x:xf numFmtId="209" fontId="5" fillId="6" borderId="3" xfId="0" applyNumberFormat="1" applyFont="1" applyFill="1" applyBorder="1"/>
    <x:xf numFmtId="210" fontId="5" fillId="6" borderId="3" xfId="0" applyNumberFormat="1" applyFont="1" applyFill="1" applyBorder="1"/>
    <x:xf numFmtId="202" fontId="5" fillId="6" borderId="3" xfId="0" applyNumberFormat="1" applyFont="1" applyFill="1" applyBorder="1"/>
    <x:xf numFmtId="211" fontId="5" fillId="6" borderId="3" xfId="0" applyNumberFormat="1" applyFont="1" applyFill="1" applyBorder="1"/>
    <x:xf numFmtId="201" fontId="5" fillId="6" borderId="3" xfId="0" applyNumberFormat="1" applyFont="1" applyFill="1" applyBorder="1"/>
    <x:xf numFmtId="209" fontId="5" fillId="0" borderId="4" xfId="0" applyNumberFormat="1" applyFont="1" applyFill="1" applyBorder="1"/>
    <x:xf numFmtId="210" fontId="5" fillId="0" borderId="4" xfId="0" applyNumberFormat="1" applyFont="1" applyFill="1" applyBorder="1"/>
    <x:xf numFmtId="211" fontId="5" fillId="0" borderId="4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211" fontId="4" fillId="4" borderId="8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212" fontId="0" fillId="0" borderId="0" xfId="0" applyNumberFormat="1" applyFont="1" applyFill="1" applyBorder="1"/>
    <x:xf numFmtId="212" fontId="5" fillId="0" borderId="0" xfId="0" applyNumberFormat="1" applyFont="1" applyFill="1" applyBorder="1"/>
    <x:xf numFmtId="212" fontId="5" fillId="0" borderId="2" xfId="0" applyNumberFormat="1" applyFont="1" applyFill="1" applyBorder="1"/>
    <x:xf numFmtId="212" fontId="5" fillId="0" borderId="3" xfId="0" applyNumberFormat="1" applyFont="1" applyFill="1" applyBorder="1"/>
    <x:xf numFmtId="212" fontId="5" fillId="0" borderId="4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208" fontId="5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b30f511674223" /><Relationship Type="http://schemas.openxmlformats.org/officeDocument/2006/relationships/theme" Target="/xl/theme/theme1.xml" Id="R4672ffa1e95c4312" /><Relationship Type="http://schemas.openxmlformats.org/officeDocument/2006/relationships/sharedStrings" Target="/xl/sharedStrings.xml" Id="R0f21fe9a4424405c" /><Relationship Type="http://schemas.openxmlformats.org/officeDocument/2006/relationships/worksheet" Target="/xl/worksheets/sheet1.xml" Id="Rb5a35499da154b74" /><Relationship Type="http://schemas.openxmlformats.org/officeDocument/2006/relationships/worksheet" Target="/xl/worksheets/sheet2.xml" Id="R099cdc75a63745e0" /><Relationship Type="http://schemas.openxmlformats.org/officeDocument/2006/relationships/worksheet" Target="/xl/worksheets/sheet3.xml" Id="Rfbdf93fcd7f54c3b" /><Relationship Type="http://schemas.openxmlformats.org/officeDocument/2006/relationships/worksheet" Target="/xl/worksheets/sheet4.xml" Id="R3627cc7668c9416b" /><Relationship Type="http://schemas.openxmlformats.org/officeDocument/2006/relationships/worksheet" Target="/xl/worksheets/sheet5.xml" Id="R7d41a05de6014e50" /><Relationship Type="http://schemas.openxmlformats.org/officeDocument/2006/relationships/worksheet" Target="/xl/worksheets/sheet6.xml" Id="R1e7a49cee8884a3b" /><Relationship Type="http://schemas.openxmlformats.org/officeDocument/2006/relationships/worksheet" Target="/xl/worksheets/sheet7.xml" Id="R1be7fa1922a44a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078d42aa254e89" /><Relationship Type="http://schemas.openxmlformats.org/officeDocument/2006/relationships/chart" Target="/xl/drawings/charts/chart2.xml" Id="R907153242ace4d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情景价值与当前价格（元/股）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'Valuation'!$A$14:$A$16</c:f>
              <c:strCache>
                <c:ptCount val="0"/>
              </c:strCache>
            </c:strRef>
          </c:cat>
          <c:val>
            <c:numRef>
              <c:f>'Valuation'!$G$14:$G$16</c:f>
              <c:numCache>
                <c:formatCode>"RMB "0</c:formatCode>
                <c:ptCount val="0"/>
              </c:numCache>
            </c:numRef>
          </c:val>
        </c:ser>
        <c:ser>
          <c:idx val="1"/>
          <c:order val="1"/>
          <c:tx>
            <c:v>当前价格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'Valuation'!$A$14:$A$16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"RMB "0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2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B &quot;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品牌收入：2025H1 vs 2026H1（亿元）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2025H1</c:v>
          </c:tx>
          <c:spPr>
            <a:solidFill xmlns:a="http://schemas.openxmlformats.org/drawingml/2006/main">
              <a:srgbClr val="A6A6A6"/>
            </a:solidFill>
          </c:spPr>
          <c:cat>
            <c:strRef>
              <c:f>'Brands &amp; Channels'!$A$5:$A$11</c:f>
              <c:strCache>
                <c:ptCount val="0"/>
              </c:strCache>
            </c:strRef>
          </c:cat>
          <c:val>
            <c:numRef>
              <c:f>'Brands &amp; Channels'!$B$5:$B$11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2026H1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'Brands &amp; Channels'!$A$5:$A$11</c:f>
              <c:strCache>
                <c:ptCount val="0"/>
              </c:strCache>
            </c:strRef>
          </c:cat>
          <c:val>
            <c:numRef>
              <c:f>'Brands &amp; Channels'!$C$5:$C$11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4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078d42aa254e89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7153242ace4d6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7355b64eab4e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7" hidden="0" customWidth="1"/>
    <x:col min="3" max="3" width="3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珀莱雅（603605.SH）主业修复与花知晓并表模型</x:v>
      </x:c>
      <x:c r="B1" s="3" t="str">
        <x:v>珀莱雅（603605.SH）主业修复与花知晓并表模型</x:v>
      </x:c>
      <x:c r="C1" s="3" t="str">
        <x:v>珀莱雅（603605.SH）主业修复与花知晓并表模型</x:v>
      </x:c>
      <x:c r="D1" s="3" t="str">
        <x:v>珀莱雅（603605.SH）主业修复与花知晓并表模型</x:v>
      </x:c>
      <x:c r="E1" s="3" t="str">
        <x:v>珀莱雅（603605.SH）主业修复与花知晓并表模型</x:v>
      </x:c>
      <x:c r="F1" s="3" t="str">
        <x:v>珀莱雅（603605.SH）主业修复与花知晓并表模型</x:v>
      </x:c>
      <x:c r="G1" s="3" t="str">
        <x:v>珀莱雅（603605.SH）主业修复与花知晓并表模型</x:v>
      </x:c>
      <x:c r="H1" s="3" t="str">
        <x:v>珀莱雅（603605.SH）主业修复与花知晓并表模型</x:v>
      </x:c>
    </x:row>
    <x:row r="2">
      <x:c r="J2" t="str">
        <x:v>当前价格</x:v>
      </x:c>
    </x:row>
    <x:row r="3">
      <x:c r="A3" s="10" t="str">
        <x:v>公司</x:v>
      </x:c>
      <x:c r="B3" s="11" t="str">
        <x:v>珀莱雅化妆品股份有限公司</x:v>
      </x:c>
      <x:c r="J3" t="n">
        <x:f>'Valuation'!$B$4</x:f>
        <x:v>60.3</x:v>
      </x:c>
    </x:row>
    <x:row r="4">
      <x:c r="A4" s="12" t="str">
        <x:v>价格基准</x:v>
      </x:c>
      <x:c r="B4" s="13" t="n">
        <x:v>46274</x:v>
      </x:c>
      <x:c r="J4" t="n">
        <x:f>'Valuation'!$B$4</x:f>
        <x:v>60.3</x:v>
      </x:c>
    </x:row>
    <x:row r="5">
      <x:c r="A5" s="12" t="str">
        <x:v>资料截止</x:v>
      </x:c>
      <x:c r="B5" s="14" t="str">
        <x:v>2026-09-10</x:v>
      </x:c>
      <x:c r="J5" t="n">
        <x:f>'Valuation'!$B$4</x:f>
        <x:v>60.3</x:v>
      </x:c>
    </x:row>
    <x:row r="6">
      <x:c r="A6" s="12" t="str">
        <x:v>报告货币</x:v>
      </x:c>
      <x:c r="B6" s="14" t="str">
        <x:v>人民币百万元；每股价值为人民币</x:v>
      </x:c>
    </x:row>
    <x:row r="7">
      <x:c r="A7" s="12" t="str">
        <x:v>估值框架</x:v>
      </x:c>
      <x:c r="B7" s="14" t="str">
        <x:v>2027E正常化归母P/E；TTM扣非P/E校验</x:v>
      </x:c>
    </x:row>
    <x:row r="8">
      <x:c r="A8" s="12" t="str">
        <x:v>当前判断</x:v>
      </x:c>
      <x:c r="B8" s="14" t="str">
        <x:v>中性偏积极，等待主品牌确认企稳</x:v>
      </x:c>
    </x:row>
    <x:row r="9">
      <x:c r="A9" s="12" t="str">
        <x:v>模型状态</x:v>
      </x:c>
      <x:c r="B9" s="12" t="str">
        <x:f>'Checks'!F2</x:f>
        <x:v>OK</x:v>
      </x:c>
    </x:row>
    <x:row r="10">
      <x:c r="A10" s="12" t="str">
        <x:v>核心矛盾</x:v>
      </x:c>
      <x:c r="B10" s="14" t="str">
        <x:v>毛利率改善被投流和管理费用上升抵消</x:v>
      </x:c>
    </x:row>
    <x:row r="11">
      <x:c r="A11" s="12" t="str">
        <x:v>并购口径</x:v>
      </x:c>
      <x:c r="B11" s="14" t="str">
        <x:v>花知晓于2026-06-30取得控制；H1仅并表资产负债</x:v>
      </x:c>
    </x:row>
    <x:row r="12">
      <x:c r="A12" s="15" t="str">
        <x:v>用途</x:v>
      </x:c>
      <x:c r="B12" s="16" t="str">
        <x:v>研究与情景分析；不构成个性化投资建议</x:v>
      </x:c>
    </x:row>
    <x:row r="14">
      <x:c r="A14" s="19" t="str">
        <x:v>关键输出</x:v>
      </x:c>
      <x:c r="B14" s="20" t="str">
        <x:v>数值</x:v>
      </x:c>
      <x:c r="C14" s="21" t="str">
        <x:v>说明</x:v>
      </x:c>
    </x:row>
    <x:row r="15">
      <x:c r="A15" s="11" t="str">
        <x:v>收盘价</x:v>
      </x:c>
      <x:c r="B15" s="30" t="n">
        <x:f>'Valuation'!B4</x:f>
        <x:v>60.3</x:v>
      </x:c>
      <x:c r="C15" s="11" t="str">
        <x:v>2026-09-09</x:v>
      </x:c>
    </x:row>
    <x:row r="16">
      <x:c r="A16" s="14" t="str">
        <x:v>市值</x:v>
      </x:c>
      <x:c r="B16" s="31" t="n">
        <x:f>'Valuation'!B6</x:f>
        <x:v>23877.358829999997</x:v>
      </x:c>
      <x:c r="C16" s="14" t="str">
        <x:v>按期末总股本</x:v>
      </x:c>
    </x:row>
    <x:row r="17">
      <x:c r="A17" s="14" t="str">
        <x:v>TTM报告归母净利</x:v>
      </x:c>
      <x:c r="B17" s="31" t="n">
        <x:f>'Historical'!F17</x:f>
        <x:v>1867.136</x:v>
      </x:c>
      <x:c r="C17" s="14" t="str">
        <x:v>含4.45亿元一次性重估收益</x:v>
      </x:c>
    </x:row>
    <x:row r="18">
      <x:c r="A18" s="14" t="str">
        <x:v>TTM扣非归母净利</x:v>
      </x:c>
      <x:c r="B18" s="31" t="n">
        <x:f>'Historical'!F18</x:f>
        <x:v>1366.143</x:v>
      </x:c>
      <x:c r="C18" s="14" t="str">
        <x:v>更接近经常性盈利</x:v>
      </x:c>
    </x:row>
    <x:row r="19">
      <x:c r="A19" s="14" t="str">
        <x:v>TTM报告P/E</x:v>
      </x:c>
      <x:c r="B19" s="31" t="n">
        <x:f>'Valuation'!B8</x:f>
        <x:v>12.78822690473538</x:v>
      </x:c>
      <x:c r="C19" s="14" t="str">
        <x:v>被一次性收益压低</x:v>
      </x:c>
    </x:row>
    <x:row r="20">
      <x:c r="A20" s="14" t="str">
        <x:v>TTM扣非P/E</x:v>
      </x:c>
      <x:c r="B20" s="32" t="n">
        <x:f>'Valuation'!B9</x:f>
        <x:v>17.477935201512576</x:v>
      </x:c>
      <x:c r="C20" s="14" t="str">
        <x:v>核心估值校验</x:v>
      </x:c>
    </x:row>
    <x:row r="21">
      <x:c r="A21" s="14" t="str">
        <x:v>2026H1主品牌收入同比</x:v>
      </x:c>
      <x:c r="B21" s="32" t="n">
        <x:f>'Brands &amp; Channels'!E5</x:f>
        <x:v>0.6879075833799142</x:v>
      </x:c>
      <x:c r="C21" s="14" t="str">
        <x:v>珀莱雅品牌</x:v>
      </x:c>
    </x:row>
    <x:row r="22">
      <x:c r="A22" s="14" t="str">
        <x:v>2026H1彩棠收入同比</x:v>
      </x:c>
      <x:c r="B22" s="33" t="n">
        <x:f>'Brands &amp; Channels'!E6</x:f>
        <x:v>0.10266443078069683</x:v>
      </x:c>
      <x:c r="C22" s="14" t="str">
        <x:v>第二大成熟品牌</x:v>
      </x:c>
    </x:row>
    <x:row r="23">
      <x:c r="A23" s="14" t="str">
        <x:v>2026H1销售费用率</x:v>
      </x:c>
      <x:c r="B23" s="33" t="n">
        <x:f>'Historical'!E10</x:f>
        <x:v>0.5313225550118041</x:v>
      </x:c>
      <x:c r="C23" s="14" t="str">
        <x:v>同比+3.54pct</x:v>
      </x:c>
    </x:row>
    <x:row r="24">
      <x:c r="A24" s="14" t="str">
        <x:v>花知晓商誉</x:v>
      </x:c>
      <x:c r="B24" s="31" t="n">
        <x:f>'Cash &amp; Acquisition'!B19</x:f>
        <x:v>923.542</x:v>
      </x:c>
      <x:c r="C24" s="14" t="str">
        <x:v>占H1归母净资产13.8%</x:v>
      </x:c>
    </x:row>
    <x:row r="25">
      <x:c r="A25" s="14" t="str">
        <x:v>Bear价值</x:v>
      </x:c>
      <x:c r="B25" s="34" t="n">
        <x:f>'Valuation'!G14</x:f>
        <x:v>48.52212040070096</x:v>
      </x:c>
      <x:c r="C25" s="14" t="str">
        <x:v>主品牌继续承压</x:v>
      </x:c>
    </x:row>
    <x:row r="26">
      <x:c r="A26" s="14" t="str">
        <x:v>Base价值</x:v>
      </x:c>
      <x:c r="B26" s="34" t="n">
        <x:f>'Valuation'!G15</x:f>
        <x:v>75.83639517637555</x:v>
      </x:c>
      <x:c r="C26" s="14" t="str">
        <x:v>主品牌企稳、花知晓达中枢</x:v>
      </x:c>
    </x:row>
    <x:row r="27">
      <x:c r="A27" s="16" t="str">
        <x:v>Bull价值</x:v>
      </x:c>
      <x:c r="B27" s="35" t="n">
        <x:f>'Valuation'!G16</x:f>
        <x:v>113.49674891994745</x:v>
      </x:c>
      <x:c r="C27" s="16" t="str">
        <x:v>多品牌与出海协同兑现</x:v>
      </x:c>
    </x:row>
    <x:row r="29">
      <x:c r="A29" s="19" t="str">
        <x:v>研究结论</x:v>
      </x:c>
      <x:c r="B29" s="20" t="str">
        <x:v>研究结论</x:v>
      </x:c>
      <x:c r="C29" s="20" t="str">
        <x:v>研究结论</x:v>
      </x:c>
      <x:c r="D29" s="20" t="str">
        <x:v>研究结论</x:v>
      </x:c>
      <x:c r="E29" s="20" t="str">
        <x:v>研究结论</x:v>
      </x:c>
      <x:c r="F29" s="20" t="str">
        <x:v>研究结论</x:v>
      </x:c>
      <x:c r="G29" s="20" t="str">
        <x:v>研究结论</x:v>
      </x:c>
      <x:c r="H29" s="21" t="str">
        <x:v>研究结论</x:v>
      </x:c>
    </x:row>
    <x:row r="30">
      <x:c r="A30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B30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C30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D30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E30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F30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G30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H30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</x:row>
    <x:row r="31">
      <x:c r="A31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B31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C31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D31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E31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F31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G31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H31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</x:row>
    <x:row r="32">
      <x:c r="A32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B32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C32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D32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E32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F32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G32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H32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</x:row>
    <x:row r="33">
      <x:c r="A33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B33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C33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D33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E33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F33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G33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H33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</x:row>
    <x:row r="34">
      <x:c r="A34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B34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C34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D34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E34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F34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G34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H34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</x:row>
    <x:row r="35">
      <x:c r="A35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B35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C35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D35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E35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F35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G35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H35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</x:row>
    <x:row r="36">
      <x:c r="A36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B36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C36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D36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E36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F36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G36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H36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</x:row>
    <x:row r="37">
      <x:c r="A37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B37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C37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D37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E37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F37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G37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  <x:c r="H37" s="38" t="str">
        <x:v>珀莱雅仍是国货美妆里品牌矩阵、研发和线上运营能力较强的公司，但2025年主品牌收入下降10.4%，2026H1仍下降7.2%，彩棠又下降21.9%。同期毛利率升至74.3%，却被销售费用率升至53.1%和管理费用率升至4.4%抵消，扣非归母净利下降13.8%。花知晓的4.45亿元股权重估收益抬高了报表利润，却不是现金经营收益；从2026H2起并表会放大收入，但归母利润只享有51%。模型Base按2027E正常化归母16.68亿元、18倍P/E得75.84元，较60.30元高25.8%；Bear为48.52元。结论为中性偏积极，但应先验证主品牌和彩棠企稳，而不是追逐一次性利润。</x:v>
      </x:c>
    </x:row>
  </x:sheetData>
  <x:mergeCells>
    <x:mergeCell ref="A1:H1"/>
    <x:mergeCell ref="A29:H29"/>
    <x:mergeCell ref="A30:H37"/>
  </x:mergeCells>
  <x:pageMargins left="0.7" right="0.7" top="0.75" bottom="0.75" header="0.3" footer="0.3"/>
  <x:drawing xmlns:r="http://schemas.openxmlformats.org/officeDocument/2006/relationships" r:id="Rb77355b64eab4e8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3" t="str">
        <x:v>历史财务与盈利质量</x:v>
      </x:c>
      <x:c r="B1" s="3" t="str">
        <x:v>历史财务与盈利质量</x:v>
      </x:c>
      <x:c r="C1" s="3" t="str">
        <x:v>历史财务与盈利质量</x:v>
      </x:c>
      <x:c r="D1" s="3" t="str">
        <x:v>历史财务与盈利质量</x:v>
      </x:c>
      <x:c r="E1" s="3" t="str">
        <x:v>历史财务与盈利质量</x:v>
      </x:c>
      <x:c r="F1" s="3" t="str">
        <x:v>历史财务与盈利质量</x:v>
      </x:c>
      <x:c r="G1" s="3" t="str">
        <x:v>历史财务与盈利质量</x:v>
      </x:c>
    </x:row>
    <x:row r="3">
      <x:c r="A3" s="41" t="str">
        <x:v>指标（RMB mn，除注明外）</x:v>
      </x:c>
      <x:c r="B3" s="41" t="str">
        <x:v>2024A</x:v>
      </x:c>
      <x:c r="C3" s="41" t="str">
        <x:v>2025A</x:v>
      </x:c>
      <x:c r="D3" s="41" t="str">
        <x:v>2025H1</x:v>
      </x:c>
      <x:c r="E3" s="41" t="str">
        <x:v>2026H1</x:v>
      </x:c>
      <x:c r="F3" s="41" t="str">
        <x:v>TTM</x:v>
      </x:c>
      <x:c r="G3" s="41" t="str">
        <x:v>H1同比</x:v>
      </x:c>
    </x:row>
    <x:row r="4">
      <x:c r="A4" s="11" t="str">
        <x:v>营业收入</x:v>
      </x:c>
      <x:c r="B4" s="58" t="n">
        <x:v>10778.412</x:v>
      </x:c>
      <x:c r="C4" s="58" t="n">
        <x:v>10597.429</x:v>
      </x:c>
      <x:c r="D4" s="58" t="n">
        <x:v>5361.89</x:v>
      </x:c>
      <x:c r="E4" s="58" t="n">
        <x:v>5374.801</x:v>
      </x:c>
      <x:c r="F4" s="58" t="n">
        <x:f>C4-D4+E4</x:f>
        <x:v>10610.34</x:v>
      </x:c>
      <x:c r="G4" s="59" t="n">
        <x:f>E4/D4-1</x:f>
        <x:v>0.002407919595515784</x:v>
      </x:c>
    </x:row>
    <x:row r="5">
      <x:c r="A5" s="14" t="str">
        <x:v>收入增速</x:v>
      </x:c>
      <x:c r="B5" s="33" t="n">
        <x:v>0.2109</x:v>
      </x:c>
      <x:c r="C5" s="33" t="n">
        <x:v>-0.0168</x:v>
      </x:c>
      <x:c r="D5" s="33"/>
      <x:c r="E5" s="33" t="n">
        <x:v>0.0024</x:v>
      </x:c>
      <x:c r="F5" s="33" t="n">
        <x:f>F4/B4-1</x:f>
        <x:v>-0.015593391679590618</x:v>
      </x:c>
      <x:c r="G5" s="33"/>
    </x:row>
    <x:row r="6">
      <x:c r="A6" s="14" t="str">
        <x:v>营业成本</x:v>
      </x:c>
      <x:c r="B6" s="60" t="n">
        <x:v>3083.849</x:v>
      </x:c>
      <x:c r="C6" s="60" t="n">
        <x:v>2833.243</x:v>
      </x:c>
      <x:c r="D6" s="60" t="n">
        <x:v>1427.5</x:v>
      </x:c>
      <x:c r="E6" s="60" t="n">
        <x:v>1380.207</x:v>
      </x:c>
      <x:c r="F6" s="60" t="n">
        <x:f>C6-D6+E6</x:f>
        <x:v>2785.95</x:v>
      </x:c>
      <x:c r="G6" s="33" t="n">
        <x:f>E6/D6-1</x:f>
        <x:v>-0.03312994746059539</x:v>
      </x:c>
    </x:row>
    <x:row r="7">
      <x:c r="A7" s="61" t="str">
        <x:v>毛利润</x:v>
      </x:c>
      <x:c r="B7" s="62" t="n">
        <x:f>B4-B6</x:f>
        <x:v>7694.563</x:v>
      </x:c>
      <x:c r="C7" s="62" t="n">
        <x:f>C4-C6</x:f>
        <x:v>7764.186</x:v>
      </x:c>
      <x:c r="D7" s="62" t="n">
        <x:f>D4-D6</x:f>
        <x:v>3934.3900000000003</x:v>
      </x:c>
      <x:c r="E7" s="62" t="n">
        <x:f>E4-E6</x:f>
        <x:v>3994.594</x:v>
      </x:c>
      <x:c r="F7" s="62" t="n">
        <x:f>C7-D7+E7</x:f>
        <x:v>7824.389999999999</x:v>
      </x:c>
      <x:c r="G7" s="63" t="n">
        <x:f>E7/D7-1</x:f>
        <x:v>0.015301990905832952</x:v>
      </x:c>
    </x:row>
    <x:row r="8">
      <x:c r="A8" s="61" t="str">
        <x:v>毛利率</x:v>
      </x:c>
      <x:c r="B8" s="64" t="n">
        <x:f>B7/B4</x:f>
        <x:v>0.7138865168635231</x:v>
      </x:c>
      <x:c r="C8" s="64" t="n">
        <x:f>C7/C4</x:f>
        <x:v>0.7326480790765383</x:v>
      </x:c>
      <x:c r="D8" s="64" t="n">
        <x:f>D7/D4</x:f>
        <x:v>0.7337692492759084</x:v>
      </x:c>
      <x:c r="E8" s="64" t="n">
        <x:f>E7/E4</x:f>
        <x:v>0.7432077950420861</x:v>
      </x:c>
      <x:c r="F8" s="64" t="n">
        <x:f>F7/F4</x:f>
        <x:v>0.7374306572645174</x:v>
      </x:c>
      <x:c r="G8" s="63" t="n">
        <x:f>E8-D8</x:f>
        <x:v>0.009438545766177753</x:v>
      </x:c>
    </x:row>
    <x:row r="9">
      <x:c r="A9" s="14" t="str">
        <x:v>销售费用</x:v>
      </x:c>
      <x:c r="B9" s="60" t="n">
        <x:v>5161.012</x:v>
      </x:c>
      <x:c r="C9" s="60" t="n">
        <x:v>5259.412</x:v>
      </x:c>
      <x:c r="D9" s="60" t="n">
        <x:v>2658.87</x:v>
      </x:c>
      <x:c r="E9" s="60" t="n">
        <x:v>2855.753</x:v>
      </x:c>
      <x:c r="F9" s="60" t="n">
        <x:f>C9-D9+E9</x:f>
        <x:v>5456.295</x:v>
      </x:c>
      <x:c r="G9" s="33" t="n">
        <x:f>E9/D9-1</x:f>
        <x:v>0.07404762173404511</x:v>
      </x:c>
    </x:row>
    <x:row r="10">
      <x:c r="A10" s="14" t="str">
        <x:v>销售费用率</x:v>
      </x:c>
      <x:c r="B10" s="33" t="n">
        <x:f>B9/B4</x:f>
        <x:v>0.4788286066630223</x:v>
      </x:c>
      <x:c r="C10" s="33" t="n">
        <x:f>C9/C4</x:f>
        <x:v>0.496291317450676</x:v>
      </x:c>
      <x:c r="D10" s="33" t="n">
        <x:f>D9/D4</x:f>
        <x:v>0.4958829815606064</x:v>
      </x:c>
      <x:c r="E10" s="33" t="n">
        <x:f>E9/E4</x:f>
        <x:v>0.5313225550118041</x:v>
      </x:c>
      <x:c r="F10" s="33" t="n">
        <x:f>F9/F4</x:f>
        <x:v>0.5142431816511064</x:v>
      </x:c>
      <x:c r="G10" s="33" t="n">
        <x:f>E10-D10</x:f>
        <x:v>0.03543957345119775</x:v>
      </x:c>
    </x:row>
    <x:row r="11">
      <x:c r="A11" s="14" t="str">
        <x:v>形象宣传推广费</x:v>
      </x:c>
      <x:c r="B11" s="60" t="n">
        <x:v>4601.875</x:v>
      </x:c>
      <x:c r="C11" s="60" t="n">
        <x:v>4665.78</x:v>
      </x:c>
      <x:c r="D11" s="60" t="n">
        <x:v>2361.953</x:v>
      </x:c>
      <x:c r="E11" s="60" t="n">
        <x:v>2536.828</x:v>
      </x:c>
      <x:c r="F11" s="60" t="n">
        <x:f>C11-D11+E11</x:f>
        <x:v>4840.655</x:v>
      </x:c>
      <x:c r="G11" s="33" t="n">
        <x:f>E11/D11-1</x:f>
        <x:v>0.07403830643539488</x:v>
      </x:c>
    </x:row>
    <x:row r="12">
      <x:c r="A12" s="14" t="str">
        <x:v>推广费率</x:v>
      </x:c>
      <x:c r="B12" s="33" t="n">
        <x:f>B11/B4</x:f>
        <x:v>0.42695296858201376</x:v>
      </x:c>
      <x:c r="C12" s="33" t="n">
        <x:f>C11/C4</x:f>
        <x:v>0.440274711913616</x:v>
      </x:c>
      <x:c r="D12" s="33" t="n">
        <x:f>D11/D4</x:f>
        <x:v>0.4405075449142</x:v>
      </x:c>
      <x:c r="E12" s="33" t="n">
        <x:f>E11/E4</x:f>
        <x:v>0.4719854744389606</x:v>
      </x:c>
      <x:c r="F12" s="33" t="n">
        <x:f>F11/F4</x:f>
        <x:v>0.4562205358169483</x:v>
      </x:c>
      <x:c r="G12" s="33" t="n">
        <x:f>E12-D12</x:f>
        <x:v>0.031477929524760584</x:v>
      </x:c>
    </x:row>
    <x:row r="13">
      <x:c r="A13" s="14" t="str">
        <x:v>管理费用</x:v>
      </x:c>
      <x:c r="B13" s="60" t="n">
        <x:v>365.856</x:v>
      </x:c>
      <x:c r="C13" s="60" t="n">
        <x:v>403.544</x:v>
      </x:c>
      <x:c r="D13" s="60" t="n">
        <x:v>177.479</x:v>
      </x:c>
      <x:c r="E13" s="60" t="n">
        <x:v>236.649</x:v>
      </x:c>
      <x:c r="F13" s="60" t="n">
        <x:f>C13-D13+E13</x:f>
        <x:v>462.71399999999994</x:v>
      </x:c>
      <x:c r="G13" s="33" t="n">
        <x:f>E13/D13-1</x:f>
        <x:v>0.33339155618411187</x:v>
      </x:c>
    </x:row>
    <x:row r="14">
      <x:c r="A14" s="14" t="str">
        <x:v>管理费用率</x:v>
      </x:c>
      <x:c r="B14" s="33" t="n">
        <x:f>B13/B4</x:f>
        <x:v>0.03394340464996142</x:v>
      </x:c>
      <x:c r="C14" s="33" t="n">
        <x:f>C13/C4</x:f>
        <x:v>0.03807942473594303</x:v>
      </x:c>
      <x:c r="D14" s="33" t="n">
        <x:f>D13/D4</x:f>
        <x:v>0.033100082247118086</x:v>
      </x:c>
      <x:c r="E14" s="33" t="n">
        <x:f>E13/E4</x:f>
        <x:v>0.04402935104015944</x:v>
      </x:c>
      <x:c r="F14" s="33" t="n">
        <x:f>F13/F4</x:f>
        <x:v>0.04360972409932198</x:v>
      </x:c>
      <x:c r="G14" s="33" t="n">
        <x:f>E14-D14</x:f>
        <x:v>0.010929268793041354</x:v>
      </x:c>
    </x:row>
    <x:row r="15">
      <x:c r="A15" s="14" t="str">
        <x:v>研发费用</x:v>
      </x:c>
      <x:c r="B15" s="60" t="n">
        <x:v>210.386</x:v>
      </x:c>
      <x:c r="C15" s="60" t="n">
        <x:v>216.843</x:v>
      </x:c>
      <x:c r="D15" s="60" t="n">
        <x:v>95.026</x:v>
      </x:c>
      <x:c r="E15" s="60" t="n">
        <x:v>99.429</x:v>
      </x:c>
      <x:c r="F15" s="60" t="n">
        <x:f>C15-D15+E15</x:f>
        <x:v>221.24599999999998</x:v>
      </x:c>
      <x:c r="G15" s="33" t="n">
        <x:f>E15/D15-1</x:f>
        <x:v>0.04633468734872559</x:v>
      </x:c>
    </x:row>
    <x:row r="16">
      <x:c r="A16" s="14" t="str">
        <x:v>研发费用率</x:v>
      </x:c>
      <x:c r="B16" s="33" t="n">
        <x:f>B15/B4</x:f>
        <x:v>0.019519201900985043</x:v>
      </x:c>
      <x:c r="C16" s="33" t="n">
        <x:f>C15/C4</x:f>
        <x:v>0.0204618497562003</x:v>
      </x:c>
      <x:c r="D16" s="33" t="n">
        <x:f>D15/D4</x:f>
        <x:v>0.017722482184453613</x:v>
      </x:c>
      <x:c r="E16" s="33" t="n">
        <x:f>E15/E4</x:f>
        <x:v>0.018499103501692434</x:v>
      </x:c>
      <x:c r="F16" s="33" t="n">
        <x:f>F15/F4</x:f>
        <x:v>0.02085192368953304</x:v>
      </x:c>
      <x:c r="G16" s="33" t="n">
        <x:f>E16-D16</x:f>
        <x:v>0.0007766213172388202</x:v>
      </x:c>
    </x:row>
    <x:row r="17">
      <x:c r="A17" s="61" t="str">
        <x:v>报告归母净利润</x:v>
      </x:c>
      <x:c r="B17" s="62" t="n">
        <x:v>1551.996</x:v>
      </x:c>
      <x:c r="C17" s="62" t="n">
        <x:v>1497.751</x:v>
      </x:c>
      <x:c r="D17" s="62" t="n">
        <x:v>798.511</x:v>
      </x:c>
      <x:c r="E17" s="62" t="n">
        <x:v>1167.896</x:v>
      </x:c>
      <x:c r="F17" s="62" t="n">
        <x:f>C17-D17+E17</x:f>
        <x:v>1867.136</x:v>
      </x:c>
      <x:c r="G17" s="63" t="n">
        <x:f>E17/D17-1</x:f>
        <x:v>0.4625922498249868</x:v>
      </x:c>
    </x:row>
    <x:row r="18">
      <x:c r="A18" s="65" t="str">
        <x:v>扣非归母净利润</x:v>
      </x:c>
      <x:c r="B18" s="66" t="n">
        <x:v>1521.669</x:v>
      </x:c>
      <x:c r="C18" s="66" t="n">
        <x:v>1472.51</x:v>
      </x:c>
      <x:c r="D18" s="66" t="n">
        <x:v>770.601</x:v>
      </x:c>
      <x:c r="E18" s="66" t="n">
        <x:v>664.234</x:v>
      </x:c>
      <x:c r="F18" s="66" t="n">
        <x:f>C18-D18+E18</x:f>
        <x:v>1366.143</x:v>
      </x:c>
      <x:c r="G18" s="67" t="n">
        <x:f>E18/D18-1</x:f>
        <x:v>-0.13803122497894493</x:v>
      </x:c>
    </x:row>
    <x:row r="19">
      <x:c r="A19" s="61" t="str">
        <x:v>经营活动现金流</x:v>
      </x:c>
      <x:c r="B19" s="62" t="n">
        <x:v>1107.001</x:v>
      </x:c>
      <x:c r="C19" s="62" t="n">
        <x:v>2193.147</x:v>
      </x:c>
      <x:c r="D19" s="62" t="n">
        <x:v>1293.329</x:v>
      </x:c>
      <x:c r="E19" s="62" t="n">
        <x:v>950.841</x:v>
      </x:c>
      <x:c r="F19" s="62" t="n">
        <x:f>C19-D19+E19</x:f>
        <x:v>1850.659</x:v>
      </x:c>
      <x:c r="G19" s="63" t="n">
        <x:f>E19/D19-1</x:f>
        <x:v>-0.2648111965323595</x:v>
      </x:c>
    </x:row>
    <x:row r="20">
      <x:c r="A20" s="61" t="str">
        <x:v>CFO/扣非归母</x:v>
      </x:c>
      <x:c r="B20" s="63" t="n">
        <x:f>B19/B18</x:f>
        <x:v>0.7274913269574395</x:v>
      </x:c>
      <x:c r="C20" s="63" t="n">
        <x:f>C19/C18</x:f>
        <x:v>1.4893936204168392</x:v>
      </x:c>
      <x:c r="D20" s="63" t="n">
        <x:f>D19/D18</x:f>
        <x:v>1.6783380763845361</x:v>
      </x:c>
      <x:c r="E20" s="63" t="n">
        <x:f>E19/E18</x:f>
        <x:v>1.4314849887238532</x:v>
      </x:c>
      <x:c r="F20" s="63" t="n">
        <x:f>F19/F18</x:f>
        <x:v>1.3546597976932138</x:v>
      </x:c>
      <x:c r="G20" s="63" t="n">
        <x:f>E20-D20</x:f>
        <x:v>-0.24685308766068292</x:v>
      </x:c>
    </x:row>
    <x:row r="21">
      <x:c r="A21" s="14" t="str">
        <x:v>总资产</x:v>
      </x:c>
      <x:c r="B21" s="31" t="n">
        <x:v>7530.183</x:v>
      </x:c>
      <x:c r="C21" s="31" t="n">
        <x:v>8487.416</x:v>
      </x:c>
      <x:c r="D21" s="31"/>
      <x:c r="E21" s="31" t="n">
        <x:v>10866.569</x:v>
      </x:c>
      <x:c r="F21" s="31"/>
      <x:c r="G21" s="31"/>
    </x:row>
    <x:row r="22">
      <x:c r="A22" s="14" t="str">
        <x:v>归母净资产</x:v>
      </x:c>
      <x:c r="B22" s="31" t="n">
        <x:v>5402.074</x:v>
      </x:c>
      <x:c r="C22" s="31" t="n">
        <x:v>6141.055</x:v>
      </x:c>
      <x:c r="D22" s="31"/>
      <x:c r="E22" s="31" t="n">
        <x:v>6708.33</x:v>
      </x:c>
      <x:c r="F22" s="31"/>
      <x:c r="G22" s="31"/>
    </x:row>
    <x:row r="23">
      <x:c r="A23" s="14" t="str">
        <x:v>货币资金</x:v>
      </x:c>
      <x:c r="B23" s="31" t="n">
        <x:v>4082.126</x:v>
      </x:c>
      <x:c r="C23" s="31" t="n">
        <x:v>5060.982</x:v>
      </x:c>
      <x:c r="D23" s="31"/>
      <x:c r="E23" s="31" t="n">
        <x:v>5372.588</x:v>
      </x:c>
      <x:c r="F23" s="31"/>
      <x:c r="G23" s="31"/>
    </x:row>
    <x:row r="24">
      <x:c r="A24" s="16" t="str">
        <x:v>存货</x:v>
      </x:c>
      <x:c r="B24" s="68" t="n">
        <x:v>661.41</x:v>
      </x:c>
      <x:c r="C24" s="68" t="n">
        <x:v>634.718</x:v>
      </x:c>
      <x:c r="D24" s="68"/>
      <x:c r="E24" s="68" t="n">
        <x:v>853.529</x:v>
      </x:c>
      <x:c r="F24" s="68"/>
      <x:c r="G24" s="68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38" hidden="0" customWidth="1"/>
    <x:col min="6" max="6" width="13" hidden="0" customWidth="1"/>
    <x:col min="7" max="7" width="13" hidden="0" customWidth="1"/>
  </x:cols>
  <x:sheetData>
    <x:row r="1" ht="30" customHeight="1">
      <x:c r="A1" s="3" t="str">
        <x:v>品牌、渠道与品类拆解</x:v>
      </x:c>
      <x:c r="B1" s="3" t="str">
        <x:v>品牌、渠道与品类拆解</x:v>
      </x:c>
      <x:c r="C1" s="3" t="str">
        <x:v>品牌、渠道与品类拆解</x:v>
      </x:c>
      <x:c r="D1" s="3" t="str">
        <x:v>品牌、渠道与品类拆解</x:v>
      </x:c>
      <x:c r="E1" s="3" t="str">
        <x:v>品牌、渠道与品类拆解</x:v>
      </x:c>
      <x:c r="F1" s="3" t="str">
        <x:v>品牌、渠道与品类拆解</x:v>
      </x:c>
      <x:c r="G1" s="3" t="str">
        <x:v>品牌、渠道与品类拆解</x:v>
      </x:c>
    </x:row>
    <x:row r="3">
      <x:c r="A3" s="19" t="str">
        <x:v>品牌收入（亿元）</x:v>
      </x:c>
      <x:c r="B3" s="20" t="str">
        <x:v>2025H1</x:v>
      </x:c>
      <x:c r="C3" s="20" t="str">
        <x:v>2026H1</x:v>
      </x:c>
      <x:c r="D3" s="20" t="str">
        <x:v>H1增速</x:v>
      </x:c>
      <x:c r="E3" s="21" t="str">
        <x:v>2026H1占比</x:v>
      </x:c>
    </x:row>
    <x:row r="5">
      <x:c r="A5" s="87" t="str">
        <x:v>珀莱雅</x:v>
      </x:c>
      <x:c r="B5" s="88" t="n">
        <x:v>39.78</x:v>
      </x:c>
      <x:c r="C5" s="88" t="n">
        <x:v>36.92</x:v>
      </x:c>
      <x:c r="D5" s="89" t="n">
        <x:f>C5/B5-1</x:f>
        <x:v>-0.07189542483660127</x:v>
      </x:c>
      <x:c r="E5" s="89" t="n">
        <x:f>C5/SUM($C$5:$C$11)</x:f>
        <x:v>0.6879075833799142</x:v>
      </x:c>
    </x:row>
    <x:row r="6">
      <x:c r="A6" s="90" t="str">
        <x:v>彩棠</x:v>
      </x:c>
      <x:c r="B6" s="91" t="n">
        <x:v>7.06</x:v>
      </x:c>
      <x:c r="C6" s="91" t="n">
        <x:v>5.51</x:v>
      </x:c>
      <x:c r="D6" s="92" t="n">
        <x:f>C6/B6-1</x:f>
        <x:v>-0.21954674220963166</x:v>
      </x:c>
      <x:c r="E6" s="92" t="n">
        <x:f>C6/SUM($C$5:$C$11)</x:f>
        <x:v>0.10266443078069683</x:v>
      </x:c>
    </x:row>
    <x:row r="7">
      <x:c r="A7" s="93" t="str">
        <x:v>OR</x:v>
      </x:c>
      <x:c r="B7" s="94" t="n">
        <x:v>2.79</x:v>
      </x:c>
      <x:c r="C7" s="94" t="n">
        <x:v>4.77</x:v>
      </x:c>
      <x:c r="D7" s="95" t="n">
        <x:f>C7/B7-1</x:f>
        <x:v>0.7096774193548385</x:v>
      </x:c>
      <x:c r="E7" s="95" t="n">
        <x:f>C7/SUM($C$5:$C$11)</x:f>
        <x:v>0.08887646730016767</x:v>
      </x:c>
    </x:row>
    <x:row r="8">
      <x:c r="A8" s="93" t="str">
        <x:v>悦芙媞</x:v>
      </x:c>
      <x:c r="B8" s="94" t="n">
        <x:v>1.67</x:v>
      </x:c>
      <x:c r="C8" s="94" t="n">
        <x:v>1.75</x:v>
      </x:c>
      <x:c r="D8" s="95" t="n">
        <x:f>C8/B8-1</x:f>
        <x:v>0.04790419161676662</x:v>
      </x:c>
      <x:c r="E8" s="95" t="n">
        <x:f>C8/SUM($C$5:$C$11)</x:f>
        <x:v>0.03260667039314328</x:v>
      </x:c>
    </x:row>
    <x:row r="9">
      <x:c r="A9" s="93" t="str">
        <x:v>原色波塔</x:v>
      </x:c>
      <x:c r="B9" s="94" t="n">
        <x:v>0.97</x:v>
      </x:c>
      <x:c r="C9" s="94" t="n">
        <x:v>3.13</x:v>
      </x:c>
      <x:c r="D9" s="95" t="n">
        <x:f>C9/B9-1</x:f>
        <x:v>2.2268041237113403</x:v>
      </x:c>
      <x:c r="E9" s="95" t="n">
        <x:f>C9/SUM($C$5:$C$11)</x:f>
        <x:v>0.05831935904602197</x:v>
      </x:c>
    </x:row>
    <x:row r="10">
      <x:c r="A10" s="93" t="str">
        <x:v>惊时</x:v>
      </x:c>
      <x:c r="B10" s="94" t="n">
        <x:v>0.4</x:v>
      </x:c>
      <x:c r="C10" s="94" t="n">
        <x:v>0.82</x:v>
      </x:c>
      <x:c r="D10" s="95" t="n">
        <x:f>C10/B10-1</x:f>
        <x:v>1.0499999999999998</x:v>
      </x:c>
      <x:c r="E10" s="95" t="n">
        <x:f>C10/SUM($C$5:$C$11)</x:f>
        <x:v>0.015278554127072849</x:v>
      </x:c>
    </x:row>
    <x:row r="11">
      <x:c r="A11" s="14" t="str">
        <x:v>其他品牌</x:v>
      </x:c>
      <x:c r="B11" s="96" t="n">
        <x:v>0.89</x:v>
      </x:c>
      <x:c r="C11" s="96" t="n">
        <x:v>0.77</x:v>
      </x:c>
      <x:c r="D11" s="33" t="n">
        <x:f>C11/B11-1</x:f>
        <x:v>-0.1348314606741573</x:v>
      </x:c>
      <x:c r="E11" s="33" t="n">
        <x:f>C11/SUM($C$5:$C$11)</x:f>
        <x:v>0.014346934972983042</x:v>
      </x:c>
    </x:row>
    <x:row r="12">
      <x:c r="A12" s="15" t="str">
        <x:v>合计</x:v>
      </x:c>
      <x:c r="B12" s="97" t="n">
        <x:f>SUM(B5:B11)</x:f>
        <x:v>53.56</x:v>
      </x:c>
      <x:c r="C12" s="97" t="n">
        <x:f>SUM(C5:C11)</x:f>
        <x:v>53.67000000000001</x:v>
      </x:c>
      <x:c r="D12" s="98" t="n">
        <x:f>C12/B12-1</x:f>
        <x:v>0.002053771471247412</x:v>
      </x:c>
      <x:c r="E12" s="98" t="n">
        <x:f>1</x:f>
        <x:v>1</x:v>
      </x:c>
    </x:row>
    <x:row r="15">
      <x:c r="A15" s="19" t="str">
        <x:v>2026H1渠道（亿元）</x:v>
      </x:c>
      <x:c r="B15" s="20" t="str">
        <x:v>收入</x:v>
      </x:c>
      <x:c r="C15" s="20" t="str">
        <x:v>同比</x:v>
      </x:c>
      <x:c r="D15" s="20" t="str">
        <x:v>占比</x:v>
      </x:c>
      <x:c r="E15" s="21" t="str">
        <x:v>观察</x:v>
      </x:c>
    </x:row>
    <x:row r="16">
      <x:c r="A16" s="11" t="str">
        <x:v>线上直营</x:v>
      </x:c>
      <x:c r="B16" s="99" t="n">
        <x:v>40.42</x:v>
      </x:c>
      <x:c r="C16" s="59" t="n">
        <x:v>0.035</x:v>
      </x:c>
      <x:c r="D16" s="59" t="n">
        <x:f>B16/$B$20</x:f>
        <x:v>0.7531209241662009</x:v>
      </x:c>
      <x:c r="E16" s="11" t="str">
        <x:v>直营韧性尚可</x:v>
      </x:c>
    </x:row>
    <x:row r="17">
      <x:c r="A17" s="14" t="str">
        <x:v>线上分销</x:v>
      </x:c>
      <x:c r="B17" s="96" t="n">
        <x:v>10.46</x:v>
      </x:c>
      <x:c r="C17" s="33" t="n">
        <x:v>-0.1315</x:v>
      </x:c>
      <x:c r="D17" s="33" t="n">
        <x:f>B17/$B$20</x:f>
        <x:v>0.19489472703558786</x:v>
      </x:c>
      <x:c r="E17" s="14" t="str">
        <x:v>分销去库存/需求承压</x:v>
      </x:c>
    </x:row>
    <x:row r="18">
      <x:c r="A18" s="14" t="str">
        <x:v>线下日化</x:v>
      </x:c>
      <x:c r="B18" s="96" t="n">
        <x:v>1.25</x:v>
      </x:c>
      <x:c r="C18" s="33" t="n">
        <x:v>-0.2646</x:v>
      </x:c>
      <x:c r="D18" s="33" t="n">
        <x:f>B18/$B$20</x:f>
        <x:v>0.0232904788522452</x:v>
      </x:c>
      <x:c r="E18" s="14" t="str">
        <x:v>传统日化继续收缩</x:v>
      </x:c>
    </x:row>
    <x:row r="19">
      <x:c r="A19" s="14" t="str">
        <x:v>线下其他</x:v>
      </x:c>
      <x:c r="B19" s="96" t="n">
        <x:v>1.54</x:v>
      </x:c>
      <x:c r="C19" s="33" t="n">
        <x:v>1.0155</x:v>
      </x:c>
      <x:c r="D19" s="33" t="n">
        <x:f>B19/$B$20</x:f>
        <x:v>0.02869386994596609</x:v>
      </x:c>
      <x:c r="E19" s="14" t="str">
        <x:v>低基数扩张</x:v>
      </x:c>
    </x:row>
    <x:row r="20">
      <x:c r="A20" s="16" t="str">
        <x:v>合计</x:v>
      </x:c>
      <x:c r="B20" s="100" t="n">
        <x:v>53.67</x:v>
      </x:c>
      <x:c r="C20" s="101" t="n">
        <x:v>0.0021</x:v>
      </x:c>
      <x:c r="D20" s="101" t="n">
        <x:f>1</x:f>
        <x:v>1</x:v>
      </x:c>
      <x:c r="E20" s="16" t="str">
        <x:v>线上占94.8%</x:v>
      </x:c>
    </x:row>
    <x:row r="23">
      <x:c r="A23" s="19" t="str">
        <x:v>2026H1品类（亿元）</x:v>
      </x:c>
      <x:c r="B23" s="20" t="str">
        <x:v>收入</x:v>
      </x:c>
      <x:c r="C23" s="20" t="str">
        <x:v>同比</x:v>
      </x:c>
      <x:c r="D23" s="20" t="str">
        <x:v>占比</x:v>
      </x:c>
      <x:c r="E23" s="21" t="str">
        <x:v>驱动</x:v>
      </x:c>
    </x:row>
    <x:row r="24">
      <x:c r="A24" s="11" t="str">
        <x:v>护肤（含洁肤）</x:v>
      </x:c>
      <x:c r="B24" s="99" t="n">
        <x:v>39.1</x:v>
      </x:c>
      <x:c r="C24" s="59" t="n">
        <x:v>-0.0687</x:v>
      </x:c>
      <x:c r="D24" s="59" t="n">
        <x:f>B24/$B$27</x:f>
        <x:v>0.72852617849823</x:v>
      </x:c>
      <x:c r="E24" s="11" t="str">
        <x:v>主品牌拖累</x:v>
      </x:c>
    </x:row>
    <x:row r="25">
      <x:c r="A25" s="14" t="str">
        <x:v>美容彩妆</x:v>
      </x:c>
      <x:c r="B25" s="96" t="n">
        <x:v>8.97</x:v>
      </x:c>
      <x:c r="C25" s="33" t="n">
        <x:v>0.0715</x:v>
      </x:c>
      <x:c r="D25" s="33" t="n">
        <x:f>B25/$B$27</x:f>
        <x:v>0.16713247624371158</x:v>
      </x:c>
      <x:c r="E25" s="14" t="str">
        <x:v>原色波塔抵消彩棠下滑</x:v>
      </x:c>
    </x:row>
    <x:row r="26">
      <x:c r="A26" s="14" t="str">
        <x:v>洗护</x:v>
      </x:c>
      <x:c r="B26" s="96" t="n">
        <x:v>5.6</x:v>
      </x:c>
      <x:c r="C26" s="33" t="n">
        <x:v>0.7495</x:v>
      </x:c>
      <x:c r="D26" s="33" t="n">
        <x:f>B26/$B$27</x:f>
        <x:v>0.1043413452580585</x:v>
      </x:c>
      <x:c r="E26" s="14" t="str">
        <x:v>OR与惊时放量</x:v>
      </x:c>
    </x:row>
    <x:row r="27">
      <x:c r="A27" s="16" t="str">
        <x:v>合计</x:v>
      </x:c>
      <x:c r="B27" s="100" t="n">
        <x:v>53.67</x:v>
      </x:c>
      <x:c r="C27" s="101" t="n">
        <x:v>0.0021</x:v>
      </x:c>
      <x:c r="D27" s="101" t="n">
        <x:f>1</x:f>
        <x:v>1</x:v>
      </x:c>
      <x:c r="E27" s="16" t="str">
        <x:v>结构转向彩妆/洗护</x:v>
      </x:c>
    </x:row>
    <x:row r="30">
      <x:c r="A30" s="103" t="str">
        <x:v>关键判断：新品牌增速很高，但2026H1珀莱雅+彩棠仍占收入79.1%，两者同时下滑时，OR、原色波塔和惊时尚不足以完全抵消成熟品牌波动。</x:v>
      </x:c>
      <x:c r="B30" s="103" t="str">
        <x:v>关键判断：新品牌增速很高，但2026H1珀莱雅+彩棠仍占收入79.1%，两者同时下滑时，OR、原色波塔和惊时尚不足以完全抵消成熟品牌波动。</x:v>
      </x:c>
      <x:c r="C30" s="103" t="str">
        <x:v>关键判断：新品牌增速很高，但2026H1珀莱雅+彩棠仍占收入79.1%，两者同时下滑时，OR、原色波塔和惊时尚不足以完全抵消成熟品牌波动。</x:v>
      </x:c>
      <x:c r="D30" s="103" t="str">
        <x:v>关键判断：新品牌增速很高，但2026H1珀莱雅+彩棠仍占收入79.1%，两者同时下滑时，OR、原色波塔和惊时尚不足以完全抵消成熟品牌波动。</x:v>
      </x:c>
      <x:c r="E30" s="103" t="str">
        <x:v>关键判断：新品牌增速很高，但2026H1珀莱雅+彩棠仍占收入79.1%，两者同时下滑时，OR、原色波塔和惊时尚不足以完全抵消成熟品牌波动。</x:v>
      </x:c>
      <x:c r="F30" s="103" t="str">
        <x:v>关键判断：新品牌增速很高，但2026H1珀莱雅+彩棠仍占收入79.1%，两者同时下滑时，OR、原色波塔和惊时尚不足以完全抵消成熟品牌波动。</x:v>
      </x:c>
      <x:c r="G30" s="103" t="str">
        <x:v>关键判断：新品牌增速很高，但2026H1珀莱雅+彩棠仍占收入79.1%，两者同时下滑时，OR、原色波塔和惊时尚不足以完全抵消成熟品牌波动。</x:v>
      </x:c>
    </x:row>
  </x:sheetData>
  <x:mergeCells>
    <x:mergeCell ref="A1:G1"/>
    <x:mergeCell ref="A30:G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35" hidden="0" customWidth="1"/>
    <x:col min="6" max="6" width="16" hidden="0" customWidth="1"/>
    <x:col min="7" max="7" width="32" hidden="0" customWidth="1"/>
  </x:cols>
  <x:sheetData>
    <x:row r="1" ht="30" customHeight="1">
      <x:c r="A1" s="3" t="str">
        <x:v>现金、资本配置与花知晓收购</x:v>
      </x:c>
      <x:c r="B1" s="3" t="str">
        <x:v>现金、资本配置与花知晓收购</x:v>
      </x:c>
      <x:c r="C1" s="3" t="str">
        <x:v>现金、资本配置与花知晓收购</x:v>
      </x:c>
      <x:c r="D1" s="3" t="str">
        <x:v>现金、资本配置与花知晓收购</x:v>
      </x:c>
      <x:c r="E1" s="3" t="str">
        <x:v>现金、资本配置与花知晓收购</x:v>
      </x:c>
      <x:c r="F1" s="3" t="str">
        <x:v>现金、资本配置与花知晓收购</x:v>
      </x:c>
      <x:c r="G1" s="3" t="str">
        <x:v>现金、资本配置与花知晓收购</x:v>
      </x:c>
    </x:row>
    <x:row r="3">
      <x:c r="A3" s="19" t="str">
        <x:v>资产负债（RMB mn）</x:v>
      </x:c>
      <x:c r="B3" s="20" t="str">
        <x:v>2025-12-31</x:v>
      </x:c>
      <x:c r="C3" s="20" t="str">
        <x:v>2026-06-30</x:v>
      </x:c>
      <x:c r="D3" s="20" t="str">
        <x:v>变化</x:v>
      </x:c>
      <x:c r="E3" s="21" t="str">
        <x:v>说明</x:v>
      </x:c>
    </x:row>
    <x:row r="4">
      <x:c r="A4" s="11" t="str">
        <x:v>货币资金</x:v>
      </x:c>
      <x:c r="B4" s="106" t="n">
        <x:v>5060.982</x:v>
      </x:c>
      <x:c r="C4" s="106" t="n">
        <x:v>5372.588</x:v>
      </x:c>
      <x:c r="D4" s="59" t="n">
        <x:f>IF(B4=0,"",C4/B4-1)</x:f>
        <x:v>0.06157026442694313</x:v>
      </x:c>
      <x:c r="E4" s="11" t="str">
        <x:v>含受限资金</x:v>
      </x:c>
    </x:row>
    <x:row r="5">
      <x:c r="A5" s="14" t="str">
        <x:v>现金及现金等价物</x:v>
      </x:c>
      <x:c r="B5" s="31" t="n">
        <x:v>3934.244</x:v>
      </x:c>
      <x:c r="C5" s="31" t="n">
        <x:v>4048.381</x:v>
      </x:c>
      <x:c r="D5" s="33" t="n">
        <x:f>IF(B5=0,"",C5/B5-1)</x:f>
        <x:v>0.029011164533770506</x:v>
      </x:c>
      <x:c r="E5" s="14" t="str">
        <x:v>可随时支付口径</x:v>
      </x:c>
    </x:row>
    <x:row r="6">
      <x:c r="A6" s="14" t="str">
        <x:v>交易性金融资产</x:v>
      </x:c>
      <x:c r="B6" s="31" t="n">
        <x:v>0</x:v>
      </x:c>
      <x:c r="C6" s="31" t="n">
        <x:v>675.521</x:v>
      </x:c>
      <x:c r="D6" s="33" t="str">
        <x:f>IF(B6=0,"",C6/B6-1)</x:f>
      </x:c>
      <x:c r="E6" s="14" t="str">
        <x:v>理财/结构性存款</x:v>
      </x:c>
    </x:row>
    <x:row r="7">
      <x:c r="A7" s="14" t="str">
        <x:v>应收账款</x:v>
      </x:c>
      <x:c r="B7" s="31" t="n">
        <x:v>70.151</x:v>
      </x:c>
      <x:c r="C7" s="31" t="n">
        <x:v>298.057</x:v>
      </x:c>
      <x:c r="D7" s="33" t="n">
        <x:f>IF(B7=0,"",C7/B7-1)</x:f>
        <x:v>3.2487918917763112</x:v>
      </x:c>
      <x:c r="E7" s="14" t="str">
        <x:v>京东应收增加</x:v>
      </x:c>
    </x:row>
    <x:row r="8">
      <x:c r="A8" s="14" t="str">
        <x:v>预付款项</x:v>
      </x:c>
      <x:c r="B8" s="31" t="n">
        <x:v>169.435</x:v>
      </x:c>
      <x:c r="C8" s="31" t="n">
        <x:v>397.683</x:v>
      </x:c>
      <x:c r="D8" s="33" t="n">
        <x:f>IF(B8=0,"",C8/B8-1)</x:f>
        <x:v>1.3471124620060788</x:v>
      </x:c>
      <x:c r="E8" s="14" t="str">
        <x:v>推广费预付+花知晓并表</x:v>
      </x:c>
    </x:row>
    <x:row r="9">
      <x:c r="A9" s="14" t="str">
        <x:v>存货</x:v>
      </x:c>
      <x:c r="B9" s="31" t="n">
        <x:v>634.718</x:v>
      </x:c>
      <x:c r="C9" s="31" t="n">
        <x:v>853.529</x:v>
      </x:c>
      <x:c r="D9" s="33" t="n">
        <x:f>IF(B9=0,"",C9/B9-1)</x:f>
        <x:v>0.3447373479245903</x:v>
      </x:c>
      <x:c r="E9" s="14" t="str">
        <x:v>花知晓并表增加</x:v>
      </x:c>
    </x:row>
    <x:row r="10">
      <x:c r="A10" s="90" t="str">
        <x:v>商誉</x:v>
      </x:c>
      <x:c r="B10" s="107" t="n">
        <x:v>0</x:v>
      </x:c>
      <x:c r="C10" s="107" t="n">
        <x:v>923.542</x:v>
      </x:c>
      <x:c r="D10" s="92" t="str">
        <x:f>IF(B10=0,"",C10/B10-1)</x:f>
      </x:c>
      <x:c r="E10" s="90" t="str">
        <x:v>花知晓收购形成</x:v>
      </x:c>
    </x:row>
    <x:row r="11">
      <x:c r="A11" s="14" t="str">
        <x:v>短期借款</x:v>
      </x:c>
      <x:c r="B11" s="31" t="n">
        <x:v>80.053</x:v>
      </x:c>
      <x:c r="C11" s="31" t="n">
        <x:v>80.048</x:v>
      </x:c>
      <x:c r="D11" s="33" t="n">
        <x:f>IF(B11=0,"",C11/B11-1)</x:f>
        <x:v>-0.00006245862116338596</x:v>
      </x:c>
      <x:c r="E11" s="14" t="str">
        <x:v>基本稳定</x:v>
      </x:c>
    </x:row>
    <x:row r="12">
      <x:c r="A12" s="14" t="str">
        <x:v>应付债券</x:v>
      </x:c>
      <x:c r="B12" s="31" t="n">
        <x:v>804.392</x:v>
      </x:c>
      <x:c r="C12" s="31" t="n">
        <x:v>822.58</x:v>
      </x:c>
      <x:c r="D12" s="33" t="n">
        <x:f>IF(B12=0,"",C12/B12-1)</x:f>
        <x:v>0.02261086634377274</x:v>
      </x:c>
      <x:c r="E12" s="14" t="str">
        <x:v>可转债账面价值</x:v>
      </x:c>
    </x:row>
    <x:row r="13">
      <x:c r="A13" s="14" t="str">
        <x:v>归母净资产</x:v>
      </x:c>
      <x:c r="B13" s="31" t="n">
        <x:v>6141.055</x:v>
      </x:c>
      <x:c r="C13" s="31" t="n">
        <x:v>6708.33</x:v>
      </x:c>
      <x:c r="D13" s="33" t="n">
        <x:f>IF(B13=0,"",C13/B13-1)</x:f>
        <x:v>0.09237419303360728</x:v>
      </x:c>
      <x:c r="E13" s="14" t="str">
        <x:v>含一次性重估收益</x:v>
      </x:c>
    </x:row>
    <x:row r="14">
      <x:c r="A14" s="16" t="str">
        <x:v>总资产</x:v>
      </x:c>
      <x:c r="B14" s="68" t="n">
        <x:v>8487.416</x:v>
      </x:c>
      <x:c r="C14" s="68" t="n">
        <x:v>10866.569</x:v>
      </x:c>
      <x:c r="D14" s="101" t="n">
        <x:f>IF(B14=0,"",C14/B14-1)</x:f>
        <x:v>0.2803153515746135</x:v>
      </x:c>
      <x:c r="E14" s="16" t="str">
        <x:v>并表扩表</x:v>
      </x:c>
    </x:row>
    <x:row r="17">
      <x:c r="A17" s="19" t="str">
        <x:v>花知晓关键数据</x:v>
      </x:c>
      <x:c r="B17" s="20" t="str">
        <x:v>数值</x:v>
      </x:c>
      <x:c r="C17" s="20" t="str">
        <x:v>单位/口径</x:v>
      </x:c>
      <x:c r="D17" s="20" t="str">
        <x:v>估值或归母含义</x:v>
      </x:c>
      <x:c r="E17" s="20" t="str">
        <x:v>风险</x:v>
      </x:c>
      <x:c r="F17" s="20" t="str">
        <x:v>来源期</x:v>
      </x:c>
      <x:c r="G17" s="21" t="str">
        <x:v>备注</x:v>
      </x:c>
    </x:row>
    <x:row r="18">
      <x:c r="A18" s="117" t="str">
        <x:v>新增收购股权</x:v>
      </x:c>
      <x:c r="B18" s="118" t="n">
        <x:v>12.5479</x:v>
      </x:c>
      <x:c r="C18" s="117" t="str">
        <x:v>%</x:v>
      </x:c>
      <x:c r="D18" s="117" t="str">
        <x:v>总持股升至51%</x:v>
      </x:c>
      <x:c r="E18" s="117" t="str">
        <x:v>其余49%为少数股东</x:v>
      </x:c>
      <x:c r="F18" s="117" t="str">
        <x:v>2026-05-21</x:v>
      </x:c>
      <x:c r="G18" s="117" t="str">
        <x:v>现金351.14mn</x:v>
      </x:c>
    </x:row>
    <x:row r="19">
      <x:c r="A19" s="119" t="str">
        <x:v>商誉</x:v>
      </x:c>
      <x:c r="B19" s="120" t="n">
        <x:v>923.542</x:v>
      </x:c>
      <x:c r="C19" s="119" t="str">
        <x:v>RMB mn</x:v>
      </x:c>
      <x:c r="D19" s="119" t="str">
        <x:v>占H1归母净资产13.8%</x:v>
      </x:c>
      <x:c r="E19" s="119" t="str">
        <x:v>无业绩承诺</x:v>
      </x:c>
      <x:c r="F19" s="119" t="str">
        <x:v>2026-06-30</x:v>
      </x:c>
      <x:c r="G19" s="119" t="str">
        <x:v>每年减值测试</x:v>
      </x:c>
    </x:row>
    <x:row r="20">
      <x:c r="A20" s="119" t="str">
        <x:v>100%股权评估值</x:v>
      </x:c>
      <x:c r="B20" s="120" t="n">
        <x:v>2827</x:v>
      </x:c>
      <x:c r="C20" s="119" t="str">
        <x:v>RMB mn</x:v>
      </x:c>
      <x:c r="D20" s="119" t="str">
        <x:v>约10.1x 2025净利</x:v>
      </x:c>
      <x:c r="E20" s="119" t="str">
        <x:v>收益法假设敏感</x:v>
      </x:c>
      <x:c r="F20" s="119" t="str">
        <x:v>2026-05-21</x:v>
      </x:c>
      <x:c r="G20" s="119" t="str">
        <x:v>交易协商基础</x:v>
      </x:c>
    </x:row>
    <x:row r="21">
      <x:c r="A21" s="121" t="str">
        <x:v>2025收入</x:v>
      </x:c>
      <x:c r="B21" s="122" t="n">
        <x:v>1726.35</x:v>
      </x:c>
      <x:c r="C21" s="121" t="str">
        <x:v>RMB mn</x:v>
      </x:c>
      <x:c r="D21" s="121" t="str">
        <x:v>未并表收入</x:v>
      </x:c>
      <x:c r="E21" s="121" t="str">
        <x:v>品牌成长较快</x:v>
      </x:c>
      <x:c r="F21" s="121" t="str">
        <x:v>2025A</x:v>
      </x:c>
      <x:c r="G21" s="121" t="str">
        <x:v>经审计</x:v>
      </x:c>
    </x:row>
    <x:row r="22">
      <x:c r="A22" s="121" t="str">
        <x:v>2025净利润</x:v>
      </x:c>
      <x:c r="B22" s="122" t="n">
        <x:v>279.841</x:v>
      </x:c>
      <x:c r="C22" s="121" t="str">
        <x:v>RMB mn</x:v>
      </x:c>
      <x:c r="D22" s="121" t="str">
        <x:v>51%约142.7mn</x:v>
      </x:c>
      <x:c r="E22" s="121" t="str">
        <x:v>利润率16.2%</x:v>
      </x:c>
      <x:c r="F22" s="121" t="str">
        <x:v>2025A</x:v>
      </x:c>
      <x:c r="G22" s="121" t="str">
        <x:v>经审计</x:v>
      </x:c>
    </x:row>
    <x:row r="23">
      <x:c r="A23" s="121" t="str">
        <x:v>2026Q1收入</x:v>
      </x:c>
      <x:c r="B23" s="122" t="n">
        <x:v>675.088</x:v>
      </x:c>
      <x:c r="C23" s="121" t="str">
        <x:v>RMB mn</x:v>
      </x:c>
      <x:c r="D23" s="121" t="str">
        <x:v>未并表收入</x:v>
      </x:c>
      <x:c r="E23" s="121" t="str">
        <x:v>季节性不可年化</x:v>
      </x:c>
      <x:c r="F23" s="121" t="str">
        <x:v>2026Q1</x:v>
      </x:c>
      <x:c r="G23" s="121" t="str">
        <x:v>未经审计</x:v>
      </x:c>
    </x:row>
    <x:row r="24">
      <x:c r="A24" s="121" t="str">
        <x:v>2026Q1净利润</x:v>
      </x:c>
      <x:c r="B24" s="122" t="n">
        <x:v>154.561</x:v>
      </x:c>
      <x:c r="C24" s="121" t="str">
        <x:v>RMB mn</x:v>
      </x:c>
      <x:c r="D24" s="121" t="str">
        <x:v>51%约78.8mn</x:v>
      </x:c>
      <x:c r="E24" s="121" t="str">
        <x:v>Q1利润率22.9%</x:v>
      </x:c>
      <x:c r="F24" s="121" t="str">
        <x:v>2026Q1</x:v>
      </x:c>
      <x:c r="G24" s="121" t="str">
        <x:v>未经审计</x:v>
      </x:c>
    </x:row>
    <x:row r="25">
      <x:c r="A25" s="121" t="str">
        <x:v>海外收入占比</x:v>
      </x:c>
      <x:c r="B25" s="122" t="n">
        <x:v>0.1159</x:v>
      </x:c>
      <x:c r="C25" s="121" t="str">
        <x:v>%</x:v>
      </x:c>
      <x:c r="D25" s="121" t="str">
        <x:v>提供出海样本</x:v>
      </x:c>
      <x:c r="E25" s="121" t="str">
        <x:v>规模仍不大</x:v>
      </x:c>
      <x:c r="F25" s="121" t="str">
        <x:v>2025A</x:v>
      </x:c>
      <x:c r="G25" s="121" t="str">
        <x:v>2.00亿元</x:v>
      </x:c>
    </x:row>
    <x:row r="26">
      <x:c r="A26" s="121" t="str">
        <x:v>购买日货币资金</x:v>
      </x:c>
      <x:c r="B26" s="122" t="n">
        <x:v>400.322</x:v>
      </x:c>
      <x:c r="C26" s="121" t="str">
        <x:v>RMB mn</x:v>
      </x:c>
      <x:c r="D26" s="121" t="str">
        <x:v>降低净现金支出</x:v>
      </x:c>
      <x:c r="E26" s="121" t="str">
        <x:v>部分受限</x:v>
      </x:c>
      <x:c r="F26" s="121" t="str">
        <x:v>2026-06-30</x:v>
      </x:c>
      <x:c r="G26" s="121" t="str">
        <x:v>现金净流出135.24mn</x:v>
      </x:c>
    </x:row>
    <x:row r="27">
      <x:c r="A27" s="121" t="str">
        <x:v>购买日存货</x:v>
      </x:c>
      <x:c r="B27" s="122" t="n">
        <x:v>232.196</x:v>
      </x:c>
      <x:c r="C27" s="121" t="str">
        <x:v>RMB mn</x:v>
      </x:c>
      <x:c r="D27" s="121" t="str">
        <x:v>占并表存货增量较大</x:v>
      </x:c>
      <x:c r="E27" s="121" t="str">
        <x:v>彩妆新品跌价风险</x:v>
      </x:c>
      <x:c r="F27" s="121" t="str">
        <x:v>2026-06-30</x:v>
      </x:c>
      <x:c r="G27" s="121" t="str">
        <x:v>账面=公允价值</x:v>
      </x:c>
    </x:row>
    <x:row r="28">
      <x:c r="A28" s="121" t="str">
        <x:v>评估预测2027收入</x:v>
      </x:c>
      <x:c r="B28" s="122" t="n">
        <x:v>2447.912</x:v>
      </x:c>
      <x:c r="C28" s="121" t="str">
        <x:v>RMB mn</x:v>
      </x:c>
      <x:c r="D28" s="121" t="str">
        <x:v>收入增速16.3%</x:v>
      </x:c>
      <x:c r="E28" s="121" t="str">
        <x:v>公司未承诺</x:v>
      </x:c>
      <x:c r="F28" s="121" t="str">
        <x:v>2027E</x:v>
      </x:c>
      <x:c r="G28" s="121" t="str">
        <x:v>评估机构预测</x:v>
      </x:c>
    </x:row>
    <x:row r="29">
      <x:c r="A29" s="121" t="str">
        <x:v>评估预测2027息前税后利润</x:v>
      </x:c>
      <x:c r="B29" s="122" t="n">
        <x:v>331.733</x:v>
      </x:c>
      <x:c r="C29" s="121" t="str">
        <x:v>RMB mn</x:v>
      </x:c>
      <x:c r="D29" s="121" t="str">
        <x:v>51%约169.2mn</x:v>
      </x:c>
      <x:c r="E29" s="121" t="str">
        <x:v>非归母净利指引</x:v>
      </x:c>
      <x:c r="F29" s="121" t="str">
        <x:v>2027E</x:v>
      </x:c>
      <x:c r="G29" s="121" t="str">
        <x:v>用于估值参考</x:v>
      </x:c>
    </x:row>
    <x:row r="30">
      <x:c r="A30" s="121" t="str">
        <x:v>创始人服务期</x:v>
      </x:c>
      <x:c r="B30" s="122" t="n">
        <x:v>5</x:v>
      </x:c>
      <x:c r="C30" s="121" t="str">
        <x:v>年</x:v>
      </x:c>
      <x:c r="D30" s="121" t="str">
        <x:v>稳定设计/运营团队</x:v>
      </x:c>
      <x:c r="E30" s="121" t="str">
        <x:v>关键人依赖</x:v>
      </x:c>
      <x:c r="F30" s="121" t="str">
        <x:v>交割日起</x:v>
      </x:c>
      <x:c r="G30" s="121" t="str">
        <x:v>竞业延至离职后2年</x:v>
      </x:c>
    </x:row>
    <x:row r="31">
      <x:c r="A31" s="123" t="str">
        <x:v>2026H1重估收益</x:v>
      </x:c>
      <x:c r="B31" s="124" t="n">
        <x:v>445.36</x:v>
      </x:c>
      <x:c r="C31" s="123" t="str">
        <x:v>RMB mn</x:v>
      </x:c>
      <x:c r="D31" s="123" t="str">
        <x:v>一次性、非现金经营利润</x:v>
      </x:c>
      <x:c r="E31" s="123" t="str">
        <x:v>压低表观P/E</x:v>
      </x:c>
      <x:c r="F31" s="123" t="str">
        <x:v>2026H1</x:v>
      </x:c>
      <x:c r="G31" s="123" t="str">
        <x:v>计入投资收益</x:v>
      </x:c>
    </x:row>
    <x:row r="34">
      <x:c r="A34" s="103" t="str">
        <x:v>流动性提醒：2026H1现金等价物+交易性金融资产-短借-应付债券约38.21亿元；但7月已支付2025年度股息4.70亿元、9月拟认购基金1亿元，珀莱转债回售窗口对应面值余额约7.51亿元。债券市价高于101.36元回售价时实际回售意愿可能较低，但应等待回售结果公告。</x:v>
      </x:c>
      <x:c r="B34" s="103" t="str">
        <x:v>流动性提醒：2026H1现金等价物+交易性金融资产-短借-应付债券约38.21亿元；但7月已支付2025年度股息4.70亿元、9月拟认购基金1亿元，珀莱转债回售窗口对应面值余额约7.51亿元。债券市价高于101.36元回售价时实际回售意愿可能较低，但应等待回售结果公告。</x:v>
      </x:c>
      <x:c r="C34" s="103" t="str">
        <x:v>流动性提醒：2026H1现金等价物+交易性金融资产-短借-应付债券约38.21亿元；但7月已支付2025年度股息4.70亿元、9月拟认购基金1亿元，珀莱转债回售窗口对应面值余额约7.51亿元。债券市价高于101.36元回售价时实际回售意愿可能较低，但应等待回售结果公告。</x:v>
      </x:c>
      <x:c r="D34" s="103" t="str">
        <x:v>流动性提醒：2026H1现金等价物+交易性金融资产-短借-应付债券约38.21亿元；但7月已支付2025年度股息4.70亿元、9月拟认购基金1亿元，珀莱转债回售窗口对应面值余额约7.51亿元。债券市价高于101.36元回售价时实际回售意愿可能较低，但应等待回售结果公告。</x:v>
      </x:c>
      <x:c r="E34" s="103" t="str">
        <x:v>流动性提醒：2026H1现金等价物+交易性金融资产-短借-应付债券约38.21亿元；但7月已支付2025年度股息4.70亿元、9月拟认购基金1亿元，珀莱转债回售窗口对应面值余额约7.51亿元。债券市价高于101.36元回售价时实际回售意愿可能较低，但应等待回售结果公告。</x:v>
      </x:c>
      <x:c r="F34" s="103" t="str">
        <x:v>流动性提醒：2026H1现金等价物+交易性金融资产-短借-应付债券约38.21亿元；但7月已支付2025年度股息4.70亿元、9月拟认购基金1亿元，珀莱转债回售窗口对应面值余额约7.51亿元。债券市价高于101.36元回售价时实际回售意愿可能较低，但应等待回售结果公告。</x:v>
      </x:c>
      <x:c r="G34" s="103" t="str">
        <x:v>流动性提醒：2026H1现金等价物+交易性金融资产-短借-应付债券约38.21亿元；但7月已支付2025年度股息4.70亿元、9月拟认购基金1亿元，珀莱转债回售窗口对应面值余额约7.51亿元。债券市价高于101.36元回售价时实际回售意愿可能较低，但应等待回售结果公告。</x:v>
      </x:c>
    </x:row>
  </x:sheetData>
  <x:mergeCells>
    <x:mergeCell ref="A1:G1"/>
    <x:mergeCell ref="A34:G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0" hidden="0" customWidth="1"/>
  </x:cols>
  <x:sheetData>
    <x:row r="1" ht="30" customHeight="1">
      <x:c r="A1" s="3" t="str">
        <x:v>正常化盈利与估值情景</x:v>
      </x:c>
      <x:c r="B1" s="3" t="str">
        <x:v>正常化盈利与估值情景</x:v>
      </x:c>
      <x:c r="C1" s="3" t="str">
        <x:v>正常化盈利与估值情景</x:v>
      </x:c>
      <x:c r="D1" s="3" t="str">
        <x:v>正常化盈利与估值情景</x:v>
      </x:c>
      <x:c r="E1" s="3" t="str">
        <x:v>正常化盈利与估值情景</x:v>
      </x:c>
      <x:c r="F1" s="3" t="str">
        <x:v>正常化盈利与估值情景</x:v>
      </x:c>
      <x:c r="G1" s="3" t="str">
        <x:v>正常化盈利与估值情景</x:v>
      </x:c>
      <x:c r="H1" s="3" t="str">
        <x:v>正常化盈利与估值情景</x:v>
      </x:c>
    </x:row>
    <x:row r="3">
      <x:c r="A3" s="19" t="str">
        <x:v>市场与口径输入</x:v>
      </x:c>
      <x:c r="B3" s="20" t="str">
        <x:v>数值</x:v>
      </x:c>
      <x:c r="C3" s="21" t="str">
        <x:v>说明</x:v>
      </x:c>
    </x:row>
    <x:row r="4">
      <x:c r="A4" s="11" t="str">
        <x:v>当前价格</x:v>
      </x:c>
      <x:c r="B4" s="30" t="n">
        <x:v>60.3</x:v>
      </x:c>
      <x:c r="C4" s="11" t="str">
        <x:v>2026-09-09收盘，RMB/股</x:v>
      </x:c>
    </x:row>
    <x:row r="5">
      <x:c r="A5" s="14" t="str">
        <x:v>总股本</x:v>
      </x:c>
      <x:c r="B5" s="31" t="n">
        <x:v>395.9761</x:v>
      </x:c>
      <x:c r="C5" s="14" t="str">
        <x:v>mn shares，截至2026-08-31</x:v>
      </x:c>
    </x:row>
    <x:row r="6">
      <x:c r="A6" s="14" t="str">
        <x:v>当前市值</x:v>
      </x:c>
      <x:c r="B6" s="31" t="n">
        <x:f>B4*B5</x:f>
        <x:v>23877.358829999997</x:v>
      </x:c>
      <x:c r="C6" s="14" t="str">
        <x:v>价格×股本</x:v>
      </x:c>
    </x:row>
    <x:row r="7">
      <x:c r="A7" s="14" t="str">
        <x:v>TTM报告归母</x:v>
      </x:c>
      <x:c r="B7" s="31" t="n">
        <x:f>'Historical'!F17</x:f>
        <x:v>1867.136</x:v>
      </x:c>
      <x:c r="C7" s="14" t="str">
        <x:v>含一次性重估收益</x:v>
      </x:c>
    </x:row>
    <x:row r="8">
      <x:c r="A8" s="14" t="str">
        <x:v>TTM报告P/E</x:v>
      </x:c>
      <x:c r="B8" s="32" t="n">
        <x:f>B6/B7</x:f>
        <x:v>12.78822690473538</x:v>
      </x:c>
      <x:c r="C8" s="14" t="str">
        <x:v>市值/TTM报告归母</x:v>
      </x:c>
    </x:row>
    <x:row r="9">
      <x:c r="A9" s="14" t="str">
        <x:v>TTM扣非P/E</x:v>
      </x:c>
      <x:c r="B9" s="32" t="n">
        <x:f>B6/'Historical'!F18</x:f>
        <x:v>17.477935201512576</x:v>
      </x:c>
      <x:c r="C9" s="14" t="str">
        <x:v>市值/TTM扣非归母</x:v>
      </x:c>
    </x:row>
    <x:row r="10">
      <x:c r="A10" s="16" t="str">
        <x:v>H1净现金类</x:v>
      </x:c>
      <x:c r="B10" s="68" t="n">
        <x:f>('Cash &amp; Acquisition'!C5+'Cash &amp; Acquisition'!C6-'Cash &amp; Acquisition'!C11-'Cash &amp; Acquisition'!C12)</x:f>
        <x:v>3821.2740000000003</x:v>
      </x:c>
      <x:c r="C10" s="16" t="str">
        <x:v>现金等价物+理财-短借-应付债券</x:v>
      </x:c>
    </x:row>
    <x:row r="13">
      <x:c r="A13" s="19" t="str">
        <x:v>情景</x:v>
      </x:c>
      <x:c r="B13" s="20" t="str">
        <x:v>2027E原有业务归母</x:v>
      </x:c>
      <x:c r="C13" s="20" t="str">
        <x:v>花知晓100%净利</x:v>
      </x:c>
      <x:c r="D13" s="20" t="str">
        <x:v>归母持股</x:v>
      </x:c>
      <x:c r="E13" s="20" t="str">
        <x:v>正常化归母</x:v>
      </x:c>
      <x:c r="F13" s="20" t="str">
        <x:v>P/E</x:v>
      </x:c>
      <x:c r="G13" s="20" t="str">
        <x:v>每股价值</x:v>
      </x:c>
      <x:c r="H13" s="21" t="str">
        <x:v>相对现价</x:v>
      </x:c>
    </x:row>
    <x:row r="14">
      <x:c r="A14" s="11" t="str">
        <x:v>Bear</x:v>
      </x:c>
      <x:c r="B14" s="149" t="n">
        <x:v>1250</x:v>
      </x:c>
      <x:c r="C14" s="149" t="n">
        <x:v>240</x:v>
      </x:c>
      <x:c r="D14" s="150" t="n">
        <x:v>0.51</x:v>
      </x:c>
      <x:c r="E14" s="106" t="n">
        <x:f>B14+C14*D14</x:f>
        <x:v>1372.4</x:v>
      </x:c>
      <x:c r="F14" s="151" t="n">
        <x:v>14</x:v>
      </x:c>
      <x:c r="G14" s="30" t="n">
        <x:f>E14*F14/$B$5</x:f>
        <x:v>48.52212040070096</x:v>
      </x:c>
      <x:c r="H14" s="59" t="n">
        <x:f>G14/$B$4-1</x:f>
        <x:v>-0.1953213863897021</x:v>
      </x:c>
    </x:row>
    <x:row r="15">
      <x:c r="A15" s="93" t="str">
        <x:v>Base</x:v>
      </x:c>
      <x:c r="B15" s="152" t="n">
        <x:v>1500</x:v>
      </x:c>
      <x:c r="C15" s="152" t="n">
        <x:v>330</x:v>
      </x:c>
      <x:c r="D15" s="153" t="n">
        <x:v>0.51</x:v>
      </x:c>
      <x:c r="E15" s="154" t="n">
        <x:f>B15+C15*D15</x:f>
        <x:v>1668.3</x:v>
      </x:c>
      <x:c r="F15" s="155" t="n">
        <x:v>18</x:v>
      </x:c>
      <x:c r="G15" s="156" t="n">
        <x:f>E15*F15/$B$5</x:f>
        <x:v>75.83639517637555</x:v>
      </x:c>
      <x:c r="H15" s="95" t="n">
        <x:f>G15/$B$4-1</x:f>
        <x:v>0.25765166129976036</x:v>
      </x:c>
    </x:row>
    <x:row r="16">
      <x:c r="A16" s="16" t="str">
        <x:v>Bull</x:v>
      </x:c>
      <x:c r="B16" s="157" t="n">
        <x:v>1750</x:v>
      </x:c>
      <x:c r="C16" s="157" t="n">
        <x:v>400</x:v>
      </x:c>
      <x:c r="D16" s="158" t="n">
        <x:v>0.51</x:v>
      </x:c>
      <x:c r="E16" s="68" t="n">
        <x:f>B16+C16*D16</x:f>
        <x:v>1954</x:v>
      </x:c>
      <x:c r="F16" s="159" t="n">
        <x:v>23</x:v>
      </x:c>
      <x:c r="G16" s="35" t="n">
        <x:f>E16*F16/$B$5</x:f>
        <x:v>113.49674891994745</x:v>
      </x:c>
      <x:c r="H16" s="101" t="n">
        <x:f>G16/$B$4-1</x:f>
        <x:v>0.8822014746259943</x:v>
      </x:c>
    </x:row>
    <x:row r="19">
      <x:c r="A19" s="19" t="str">
        <x:v>估值解释</x:v>
      </x:c>
      <x:c r="B19" s="20" t="str">
        <x:v>原有业务假设</x:v>
      </x:c>
      <x:c r="C19" s="20" t="str">
        <x:v>花知晓假设</x:v>
      </x:c>
      <x:c r="D19" s="20" t="str">
        <x:v>倍数</x:v>
      </x:c>
      <x:c r="E19" s="20" t="str">
        <x:v>关键验证</x:v>
      </x:c>
      <x:c r="F19" s="20" t="str">
        <x:v>失败情形</x:v>
      </x:c>
      <x:c r="G19" s="20" t="str">
        <x:v>现金处理</x:v>
      </x:c>
      <x:c r="H19" s="21" t="str">
        <x:v>结论</x:v>
      </x:c>
    </x:row>
    <x:row r="20">
      <x:c r="A20" s="117" t="str">
        <x:v>Bear</x:v>
      </x:c>
      <x:c r="B20" s="117" t="str">
        <x:v>主品牌与彩棠继续下滑</x:v>
      </x:c>
      <x:c r="C20" s="117" t="str">
        <x:v>净利低于2025</x:v>
      </x:c>
      <x:c r="D20" s="117" t="str">
        <x:v>14x</x:v>
      </x:c>
      <x:c r="E20" s="117" t="str">
        <x:v>费用率不能回落</x:v>
      </x:c>
      <x:c r="F20" s="117" t="str">
        <x:v>商誉减值/投流加剧</x:v>
      </x:c>
      <x:c r="G20" s="117" t="str">
        <x:v>不额外加回净现金</x:v>
      </x:c>
      <x:c r="H20" s="117" t="str">
        <x:v>48.52元</x:v>
      </x:c>
    </x:row>
    <x:row r="21">
      <x:c r="A21" s="162" t="str">
        <x:v>Base</x:v>
      </x:c>
      <x:c r="B21" s="162" t="str">
        <x:v>2027回到约15亿元归母</x:v>
      </x:c>
      <x:c r="C21" s="162" t="str">
        <x:v>接近评估预测</x:v>
      </x:c>
      <x:c r="D21" s="162" t="str">
        <x:v>18x</x:v>
      </x:c>
      <x:c r="E21" s="162" t="str">
        <x:v>成熟品牌企稳、新品牌增量</x:v>
      </x:c>
      <x:c r="F21" s="162" t="str">
        <x:v>恢复慢于预期</x:v>
      </x:c>
      <x:c r="G21" s="162" t="str">
        <x:v>现金体现在倍数质量</x:v>
      </x:c>
      <x:c r="H21" s="162" t="str">
        <x:v>75.84元</x:v>
      </x:c>
    </x:row>
    <x:row r="22">
      <x:c r="A22" s="163" t="str">
        <x:v>Bull</x:v>
      </x:c>
      <x:c r="B22" s="163" t="str">
        <x:v>多品牌与效率同时改善</x:v>
      </x:c>
      <x:c r="C22" s="163" t="str">
        <x:v>海外和渠道协同兑现</x:v>
      </x:c>
      <x:c r="D22" s="163" t="str">
        <x:v>23x</x:v>
      </x:c>
      <x:c r="E22" s="163" t="str">
        <x:v>收入恢复双位数、费用杠杆</x:v>
      </x:c>
      <x:c r="F22" s="163" t="str">
        <x:v>估值回归失败</x:v>
      </x:c>
      <x:c r="G22" s="163" t="str">
        <x:v>不单独重复计价</x:v>
      </x:c>
      <x:c r="H22" s="163" t="str">
        <x:v>113.50元</x:v>
      </x:c>
    </x:row>
    <x:row r="25">
      <x:c r="A25" s="19" t="str">
        <x:v>Base P/E敏感性（元/股）</x:v>
      </x:c>
      <x:c r="B25" s="20" t="str">
        <x:v>Base P/E敏感性（元/股）</x:v>
      </x:c>
      <x:c r="C25" s="20" t="str">
        <x:v>Base P/E敏感性（元/股）</x:v>
      </x:c>
      <x:c r="D25" s="20" t="str">
        <x:v>Base P/E敏感性（元/股）</x:v>
      </x:c>
      <x:c r="E25" s="20" t="str">
        <x:v>Base P/E敏感性（元/股）</x:v>
      </x:c>
      <x:c r="F25" s="20" t="str">
        <x:v>Base P/E敏感性（元/股）</x:v>
      </x:c>
      <x:c r="G25" s="20" t="str">
        <x:v>Base P/E敏感性（元/股）</x:v>
      </x:c>
      <x:c r="H25" s="21" t="str">
        <x:v>Base P/E敏感性（元/股）</x:v>
      </x:c>
    </x:row>
    <x:row r="26">
      <x:c r="A26" s="41" t="str">
        <x:v>P/E</x:v>
      </x:c>
      <x:c r="B26" s="164" t="n">
        <x:v>14</x:v>
      </x:c>
      <x:c r="C26" s="164" t="n">
        <x:v>16</x:v>
      </x:c>
      <x:c r="D26" s="164" t="n">
        <x:v>18</x:v>
      </x:c>
      <x:c r="E26" s="164" t="n">
        <x:v>20</x:v>
      </x:c>
      <x:c r="F26" s="164" t="n">
        <x:v>22</x:v>
      </x:c>
      <x:c r="G26" s="164" t="n">
        <x:v>24</x:v>
      </x:c>
      <x:c r="H26" s="164" t="n">
        <x:v>26</x:v>
      </x:c>
    </x:row>
    <x:row r="27">
      <x:c r="A27" s="8" t="str">
        <x:v>每股价值</x:v>
      </x:c>
      <x:c r="B27" s="26" t="n">
        <x:f>$E$15*B$26/$B$5</x:f>
        <x:v>58.98386291495876</x:v>
      </x:c>
      <x:c r="C27" s="26" t="n">
        <x:f>$E$15*C$26/$B$5</x:f>
        <x:v>67.41012904566715</x:v>
      </x:c>
      <x:c r="D27" s="26" t="n">
        <x:f>$E$15*D$26/$B$5</x:f>
        <x:v>75.83639517637555</x:v>
      </x:c>
      <x:c r="E27" s="26" t="n">
        <x:f>$E$15*E$26/$B$5</x:f>
        <x:v>84.26266130708395</x:v>
      </x:c>
      <x:c r="F27" s="26" t="n">
        <x:f>$E$15*F$26/$B$5</x:f>
        <x:v>92.68892743779233</x:v>
      </x:c>
      <x:c r="G27" s="26" t="n">
        <x:f>$E$15*G$26/$B$5</x:f>
        <x:v>101.11519356850073</x:v>
      </x:c>
      <x:c r="H27" s="26" t="n">
        <x:f>$E$15*H$26/$B$5</x:f>
        <x:v>109.54145969920911</x:v>
      </x:c>
    </x:row>
    <x:row r="30">
      <x:c r="A30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B30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C30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D30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E30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F30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G30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H30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</x:row>
    <x:row r="31">
      <x:c r="A31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B31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C31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D31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E31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F31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G31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H31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</x:row>
    <x:row r="32">
      <x:c r="A32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B32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C32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D32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E32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F32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G32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H32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</x:row>
    <x:row r="33">
      <x:c r="A33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B33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C33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D33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E33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F33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G33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  <x:c r="H33" s="167" t="str">
        <x:v>估值限制：2027正常化盈利不是公司指引。原有业务利润需要判断成熟品牌何时企稳；花知晓利润参考历史和评估预测，但交易没有业绩承诺，且49%利润归少数股东。本模型不把4.45亿元股权重估收益当作经常性利润，也不把净现金单独加回，以避免与P/E倍数中的资产负债表质量重复计价。</x:v>
      </x:c>
    </x:row>
  </x:sheetData>
  <x:mergeCells>
    <x:mergeCell ref="A1:H1"/>
    <x:mergeCell ref="A25:H25"/>
    <x:mergeCell ref="A30:H33"/>
  </x:mergeCells>
  <x:conditionalFormatting sqref="B27:H2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9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IF(COUNTIF(F5:F16,"FAIL")=0,"OK","FAIL")</x:f>
        <x:v>OK</x:v>
      </x:c>
    </x:row>
    <x:row r="4">
      <x:c r="A4" s="19" t="str">
        <x:v>检查项</x:v>
      </x:c>
      <x:c r="B4" s="20" t="str">
        <x:v>实际值</x:v>
      </x:c>
      <x:c r="C4" s="20" t="str">
        <x:v>预期/阈值</x:v>
      </x:c>
      <x:c r="D4" s="20" t="str">
        <x:v>差异</x:v>
      </x:c>
      <x:c r="E4" s="20" t="str">
        <x:v>容差</x:v>
      </x:c>
      <x:c r="F4" s="20" t="str">
        <x:v>状态</x:v>
      </x:c>
      <x:c r="G4" s="21" t="str">
        <x:v>说明</x:v>
      </x:c>
    </x:row>
    <x:row r="5">
      <x:c r="A5" s="11" t="str">
        <x:v>2026H1毛利润</x:v>
      </x:c>
      <x:c r="B5" s="170" t="n">
        <x:f>'Historical'!E7</x:f>
        <x:v>3994.594</x:v>
      </x:c>
      <x:c r="C5" s="170" t="n">
        <x:f>'Historical'!E4-'Historical'!E6</x:f>
        <x:v>3994.594</x:v>
      </x:c>
      <x:c r="D5" s="170" t="n">
        <x:f>B5-C5</x:f>
        <x:v>0</x:v>
      </x:c>
      <x:c r="E5" s="170" t="n">
        <x:f>0.01</x:f>
        <x:v>0.01</x:v>
      </x:c>
      <x:c r="F5" s="11" t="str">
        <x:f>IF(ABS(D5)&lt;=E5,"OK","FAIL")</x:f>
        <x:v>OK</x:v>
      </x:c>
      <x:c r="G5" s="11" t="str">
        <x:v>收入-成本</x:v>
      </x:c>
    </x:row>
    <x:row r="6">
      <x:c r="A6" s="14" t="str">
        <x:v>2026H1毛利率</x:v>
      </x:c>
      <x:c r="B6" s="171" t="n">
        <x:f>'Historical'!E8</x:f>
        <x:v>0.7432077950420861</x:v>
      </x:c>
      <x:c r="C6" s="171" t="n">
        <x:f>('Historical'!E4-'Historical'!E6)/'Historical'!E4</x:f>
        <x:v>0.7432077950420861</x:v>
      </x:c>
      <x:c r="D6" s="171" t="n">
        <x:f>B6-C6</x:f>
        <x:v>0</x:v>
      </x:c>
      <x:c r="E6" s="171" t="n">
        <x:f>0.0001</x:f>
        <x:v>0.0001</x:v>
      </x:c>
      <x:c r="F6" s="14" t="str">
        <x:f>IF(ABS(D6)&lt;=E6,"OK","FAIL")</x:f>
        <x:v>OK</x:v>
      </x:c>
      <x:c r="G6" s="14" t="str">
        <x:v>毛利/收入</x:v>
      </x:c>
    </x:row>
    <x:row r="7">
      <x:c r="A7" s="14" t="str">
        <x:v>2026H1销售费用率</x:v>
      </x:c>
      <x:c r="B7" s="171" t="n">
        <x:f>'Historical'!E10</x:f>
        <x:v>0.5313225550118041</x:v>
      </x:c>
      <x:c r="C7" s="171" t="n">
        <x:f>'Historical'!E9/'Historical'!E4</x:f>
        <x:v>0.5313225550118041</x:v>
      </x:c>
      <x:c r="D7" s="171" t="n">
        <x:f>B7-C7</x:f>
        <x:v>0</x:v>
      </x:c>
      <x:c r="E7" s="171" t="n">
        <x:f>0.0001</x:f>
        <x:v>0.0001</x:v>
      </x:c>
      <x:c r="F7" s="14" t="str">
        <x:f>IF(ABS(D7)&lt;=E7,"OK","FAIL")</x:f>
        <x:v>OK</x:v>
      </x:c>
      <x:c r="G7" s="14" t="str">
        <x:v>销售费用/收入</x:v>
      </x:c>
    </x:row>
    <x:row r="8">
      <x:c r="A8" s="14" t="str">
        <x:v>TTM归母桥</x:v>
      </x:c>
      <x:c r="B8" s="171" t="n">
        <x:f>'Historical'!F17</x:f>
        <x:v>1867.136</x:v>
      </x:c>
      <x:c r="C8" s="171" t="n">
        <x:f>'Historical'!C17-'Historical'!D17+'Historical'!E17</x:f>
        <x:v>1867.136</x:v>
      </x:c>
      <x:c r="D8" s="171" t="n">
        <x:f>B8-C8</x:f>
        <x:v>0</x:v>
      </x:c>
      <x:c r="E8" s="171" t="n">
        <x:f>0.01</x:f>
        <x:v>0.01</x:v>
      </x:c>
      <x:c r="F8" s="14" t="str">
        <x:f>IF(ABS(D8)&lt;=E8,"OK","FAIL")</x:f>
        <x:v>OK</x:v>
      </x:c>
      <x:c r="G8" s="14" t="str">
        <x:v>2025A-2025H1+2026H1</x:v>
      </x:c>
    </x:row>
    <x:row r="9">
      <x:c r="A9" s="14" t="str">
        <x:v>TTM扣非桥</x:v>
      </x:c>
      <x:c r="B9" s="171" t="n">
        <x:f>'Historical'!F18</x:f>
        <x:v>1366.143</x:v>
      </x:c>
      <x:c r="C9" s="171" t="n">
        <x:f>'Historical'!C18-'Historical'!D18+'Historical'!E18</x:f>
        <x:v>1366.143</x:v>
      </x:c>
      <x:c r="D9" s="171" t="n">
        <x:f>B9-C9</x:f>
        <x:v>0</x:v>
      </x:c>
      <x:c r="E9" s="171" t="n">
        <x:f>0.01</x:f>
        <x:v>0.01</x:v>
      </x:c>
      <x:c r="F9" s="14" t="str">
        <x:f>IF(ABS(D9)&lt;=E9,"OK","FAIL")</x:f>
        <x:v>OK</x:v>
      </x:c>
      <x:c r="G9" s="14" t="str">
        <x:v>同口径滚动</x:v>
      </x:c>
    </x:row>
    <x:row r="10">
      <x:c r="A10" s="14" t="str">
        <x:v>TTM现金流桥</x:v>
      </x:c>
      <x:c r="B10" s="171" t="n">
        <x:f>'Historical'!F19</x:f>
        <x:v>1850.659</x:v>
      </x:c>
      <x:c r="C10" s="171" t="n">
        <x:f>'Historical'!C19-'Historical'!D19+'Historical'!E19</x:f>
        <x:v>1850.659</x:v>
      </x:c>
      <x:c r="D10" s="171" t="n">
        <x:f>B10-C10</x:f>
        <x:v>0</x:v>
      </x:c>
      <x:c r="E10" s="171" t="n">
        <x:f>0.01</x:f>
        <x:v>0.01</x:v>
      </x:c>
      <x:c r="F10" s="14" t="str">
        <x:f>IF(ABS(D10)&lt;=E10,"OK","FAIL")</x:f>
        <x:v>OK</x:v>
      </x:c>
      <x:c r="G10" s="14" t="str">
        <x:v>同口径滚动</x:v>
      </x:c>
    </x:row>
    <x:row r="11">
      <x:c r="A11" s="14" t="str">
        <x:v>品牌收入合计</x:v>
      </x:c>
      <x:c r="B11" s="171" t="n">
        <x:f>'Brands &amp; Channels'!C12</x:f>
        <x:v>53.67000000000001</x:v>
      </x:c>
      <x:c r="C11" s="171" t="n">
        <x:f>SUM('Brands &amp; Channels'!C5:C11)</x:f>
        <x:v>53.67000000000001</x:v>
      </x:c>
      <x:c r="D11" s="171" t="n">
        <x:f>B11-C11</x:f>
        <x:v>0</x:v>
      </x:c>
      <x:c r="E11" s="171" t="n">
        <x:f>0.001</x:f>
        <x:v>0.001</x:v>
      </x:c>
      <x:c r="F11" s="14" t="str">
        <x:f>IF(ABS(D11)&lt;=E11,"OK","FAIL")</x:f>
        <x:v>OK</x:v>
      </x:c>
      <x:c r="G11" s="14" t="str">
        <x:v>分品牌求和</x:v>
      </x:c>
    </x:row>
    <x:row r="12">
      <x:c r="A12" s="14" t="str">
        <x:v>花知晓商誉/权益</x:v>
      </x:c>
      <x:c r="B12" s="171" t="n">
        <x:f>'Cash &amp; Acquisition'!C10/'Cash &amp; Acquisition'!C13</x:f>
        <x:v>0.13767092555077046</x:v>
      </x:c>
      <x:c r="C12" s="171" t="n">
        <x:f>923.54178487/6708.33049549</x:f>
        <x:v>0.13767088331305316</x:v>
      </x:c>
      <x:c r="D12" s="171" t="n">
        <x:f>B12-C12</x:f>
        <x:v>4.223771729594539e-8</x:v>
      </x:c>
      <x:c r="E12" s="171" t="n">
        <x:f>0.0001</x:f>
        <x:v>0.0001</x:v>
      </x:c>
      <x:c r="F12" s="14" t="str">
        <x:f>IF(ABS(D12)&lt;=E12,"OK","FAIL")</x:f>
        <x:v>OK</x:v>
      </x:c>
      <x:c r="G12" s="14" t="str">
        <x:v>923.54/6708.33</x:v>
      </x:c>
    </x:row>
    <x:row r="13">
      <x:c r="A13" s="14" t="str">
        <x:v>H1净现金类</x:v>
      </x:c>
      <x:c r="B13" s="171" t="n">
        <x:f>'Valuation'!B10</x:f>
        <x:v>3821.2740000000003</x:v>
      </x:c>
      <x:c r="C13" s="171" t="n">
        <x:f>'Cash &amp; Acquisition'!C5+'Cash &amp; Acquisition'!C6-'Cash &amp; Acquisition'!C11-'Cash &amp; Acquisition'!C12</x:f>
        <x:v>3821.2740000000003</x:v>
      </x:c>
      <x:c r="D13" s="171" t="n">
        <x:f>B13-C13</x:f>
        <x:v>0</x:v>
      </x:c>
      <x:c r="E13" s="171" t="n">
        <x:f>0.01</x:f>
        <x:v>0.01</x:v>
      </x:c>
      <x:c r="F13" s="14" t="str">
        <x:f>IF(ABS(D13)&lt;=E13,"OK","FAIL")</x:f>
        <x:v>OK</x:v>
      </x:c>
      <x:c r="G13" s="14" t="str">
        <x:v>现金等价物+理财-短借-债券</x:v>
      </x:c>
    </x:row>
    <x:row r="14">
      <x:c r="A14" s="14" t="str">
        <x:v>Base正常化归母</x:v>
      </x:c>
      <x:c r="B14" s="171" t="n">
        <x:f>'Valuation'!E15</x:f>
        <x:v>1668.3</x:v>
      </x:c>
      <x:c r="C14" s="171" t="n">
        <x:f>'Valuation'!B15+'Valuation'!C15*'Valuation'!D15</x:f>
        <x:v>1668.3</x:v>
      </x:c>
      <x:c r="D14" s="171" t="n">
        <x:f>B14-C14</x:f>
        <x:v>0</x:v>
      </x:c>
      <x:c r="E14" s="171" t="n">
        <x:f>0.01</x:f>
        <x:v>0.01</x:v>
      </x:c>
      <x:c r="F14" s="14" t="str">
        <x:f>IF(ABS(D14)&lt;=E14,"OK","FAIL")</x:f>
        <x:v>OK</x:v>
      </x:c>
      <x:c r="G14" s="14" t="str">
        <x:v>原有业务+51%花知晓</x:v>
      </x:c>
    </x:row>
    <x:row r="15">
      <x:c r="A15" s="14" t="str">
        <x:v>Base每股价值</x:v>
      </x:c>
      <x:c r="B15" s="171" t="n">
        <x:f>'Valuation'!G15</x:f>
        <x:v>75.83639517637555</x:v>
      </x:c>
      <x:c r="C15" s="171" t="n">
        <x:f>'Valuation'!E15*'Valuation'!F15/'Valuation'!B5</x:f>
        <x:v>75.83639517637555</x:v>
      </x:c>
      <x:c r="D15" s="171" t="n">
        <x:f>B15-C15</x:f>
        <x:v>0</x:v>
      </x:c>
      <x:c r="E15" s="171" t="n">
        <x:f>0.0001</x:f>
        <x:v>0.0001</x:v>
      </x:c>
      <x:c r="F15" s="14" t="str">
        <x:f>IF(ABS(D15)&lt;=E15,"OK","FAIL")</x:f>
        <x:v>OK</x:v>
      </x:c>
      <x:c r="G15" s="14" t="str">
        <x:v>利润×P/E/股本</x:v>
      </x:c>
    </x:row>
    <x:row r="16">
      <x:c r="A16" s="16" t="str">
        <x:v>情景价值递增</x:v>
      </x:c>
      <x:c r="B16" s="172" t="n">
        <x:f>'Valuation'!G16-'Valuation'!G14</x:f>
        <x:v>64.9746285192465</x:v>
      </x:c>
      <x:c r="C16" s="172" t="n">
        <x:f>0</x:f>
        <x:v>0</x:v>
      </x:c>
      <x:c r="D16" s="172" t="n">
        <x:f>B16-C16</x:f>
        <x:v>64.9746285192465</x:v>
      </x:c>
      <x:c r="E16" s="172" t="n">
        <x:f>0</x:f>
        <x:v>0</x:v>
      </x:c>
      <x:c r="F16" s="16" t="str">
        <x:f>IF(B16&gt;C16,"OK","FAIL")</x:f>
        <x:v>OK</x:v>
      </x:c>
      <x:c r="G16" s="16" t="str">
        <x:v>Bull必须高于Bear</x:v>
      </x:c>
    </x:row>
  </x:sheetData>
  <x:mergeCells>
    <x:mergeCell ref="A1:G1"/>
    <x:mergeCell ref="A2:E2"/>
  </x:mergeCells>
  <x:conditionalFormatting sqref="F2:F16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39" hidden="0" customWidth="1"/>
    <x:col min="3" max="3" width="18" hidden="0" customWidth="1"/>
    <x:col min="4" max="4" width="16" hidden="0" customWidth="1"/>
    <x:col min="5" max="5" width="20" hidden="0" customWidth="1"/>
    <x:col min="6" max="6" width="31" hidden="0" customWidth="1"/>
    <x:col min="7" max="7" width="78" hidden="0" customWidth="1"/>
    <x:col min="8" max="8" width="38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  <x:c r="G1" s="3" t="str">
        <x:v>来源与审计索引</x:v>
      </x:c>
      <x:c r="H1" s="3" t="str">
        <x:v>来源与审计索引</x:v>
      </x:c>
    </x:row>
    <x:row r="3">
      <x:c r="A3" s="19" t="str">
        <x:v>ID</x:v>
      </x:c>
      <x:c r="B3" s="20" t="str">
        <x:v>输入/主题</x:v>
      </x:c>
      <x:c r="C3" s="20" t="str">
        <x:v>数值</x:v>
      </x:c>
      <x:c r="D3" s="20" t="str">
        <x:v>单位</x:v>
      </x:c>
      <x:c r="E3" s="20" t="str">
        <x:v>截至/期间</x:v>
      </x:c>
      <x:c r="F3" s="20" t="str">
        <x:v>来源</x:v>
      </x:c>
      <x:c r="G3" s="20" t="str">
        <x:v>URL</x:v>
      </x:c>
      <x:c r="H3" s="21" t="str">
        <x:v>审计说明</x:v>
      </x:c>
    </x:row>
    <x:row r="4" ht="42" customHeight="1">
      <x:c r="A4" s="11" t="str">
        <x:v>S1</x:v>
      </x:c>
      <x:c r="B4" s="117" t="str">
        <x:v>2024—2025财务、品牌、渠道、现金流</x:v>
      </x:c>
      <x:c r="C4" s="118"/>
      <x:c r="D4" s="117"/>
      <x:c r="E4" s="117" t="str">
        <x:v>FY2025</x:v>
      </x:c>
      <x:c r="F4" s="117" t="str">
        <x:v>珀莱雅2025年年度报告</x:v>
      </x:c>
      <x:c r="G4" s="117" t="str">
        <x:v>https://www.proya-group.com/local_upload/20260423/2047151919877193728.pdf</x:v>
      </x:c>
      <x:c r="H4" s="117" t="str">
        <x:v>天健标准无保留意见</x:v>
      </x:c>
    </x:row>
    <x:row r="5" ht="42" customHeight="1">
      <x:c r="A5" s="14" t="str">
        <x:v>S2</x:v>
      </x:c>
      <x:c r="B5" s="121" t="str">
        <x:v>2026H1财务、品牌、花知晓PPA</x:v>
      </x:c>
      <x:c r="C5" s="122"/>
      <x:c r="D5" s="121"/>
      <x:c r="E5" s="121" t="str">
        <x:v>2026H1</x:v>
      </x:c>
      <x:c r="F5" s="121" t="str">
        <x:v>珀莱雅2026年半年度报告</x:v>
      </x:c>
      <x:c r="G5" s="121" t="str">
        <x:v>https://static.cninfo.com.cn/finalpage/2026-08-25/1225496527.PDF</x:v>
      </x:c>
      <x:c r="H5" s="121" t="str">
        <x:v>未经审计；关键表格本地PDF复核</x:v>
      </x:c>
    </x:row>
    <x:row r="6" ht="42" customHeight="1">
      <x:c r="A6" s="14" t="str">
        <x:v>S3</x:v>
      </x:c>
      <x:c r="B6" s="121" t="str">
        <x:v>2026Q1财务</x:v>
      </x:c>
      <x:c r="C6" s="122"/>
      <x:c r="D6" s="121"/>
      <x:c r="E6" s="121" t="str">
        <x:v>2026Q1</x:v>
      </x:c>
      <x:c r="F6" s="121" t="str">
        <x:v>珀莱雅2026年第一季度报告</x:v>
      </x:c>
      <x:c r="G6" s="121" t="str">
        <x:v>https://money.finance.sina.com.cn/corp/view/vCB_AllBulletinDetail.php?id=12131141&amp;stockid=603605</x:v>
      </x:c>
      <x:c r="H6" s="121" t="str">
        <x:v>公司正式报告公开镜像</x:v>
      </x:c>
    </x:row>
    <x:row r="7" ht="42" customHeight="1">
      <x:c r="A7" s="14" t="str">
        <x:v>S4</x:v>
      </x:c>
      <x:c r="B7" s="121" t="str">
        <x:v>2026Q2产销和均价</x:v>
      </x:c>
      <x:c r="C7" s="122"/>
      <x:c r="D7" s="121"/>
      <x:c r="E7" s="121" t="str">
        <x:v>2026Q2</x:v>
      </x:c>
      <x:c r="F7" s="121" t="str">
        <x:v>第二季度主要经营数据</x:v>
      </x:c>
      <x:c r="G7" s="121" t="str">
        <x:v>https://money.finance.sina.com.cn/corp/view/vCB_AllBulletinDetail.php?id=12523823&amp;stockid=603605</x:v>
      </x:c>
      <x:c r="H7" s="121" t="str">
        <x:v>公司正式公告公开镜像</x:v>
      </x:c>
    </x:row>
    <x:row r="8" ht="42" customHeight="1">
      <x:c r="A8" s="14" t="str">
        <x:v>S5</x:v>
      </x:c>
      <x:c r="B8" s="121" t="str">
        <x:v>花知晓收购价格和财务</x:v>
      </x:c>
      <x:c r="C8" s="122" t="n">
        <x:v>351.143</x:v>
      </x:c>
      <x:c r="D8" s="121" t="str">
        <x:v>RMB mn</x:v>
      </x:c>
      <x:c r="E8" s="121" t="str">
        <x:v>2026-05-21</x:v>
      </x:c>
      <x:c r="F8" s="121" t="str">
        <x:v>收购花知晓12.5479%股权公告</x:v>
      </x:c>
      <x:c r="G8" s="121" t="str">
        <x:v>https://static.cninfo.com.cn/finalpage/2026-05-22/1225322125.PDF</x:v>
      </x:c>
      <x:c r="H8" s="121" t="str">
        <x:v>2025财务经审计；Q1未经审计</x:v>
      </x:c>
    </x:row>
    <x:row r="9" ht="42" customHeight="1">
      <x:c r="A9" s="14" t="str">
        <x:v>S6</x:v>
      </x:c>
      <x:c r="B9" s="121" t="str">
        <x:v>花知晓评估预测、无业绩承诺</x:v>
      </x:c>
      <x:c r="C9" s="122" t="n">
        <x:v>2827</x:v>
      </x:c>
      <x:c r="D9" s="121" t="str">
        <x:v>RMB mn</x:v>
      </x:c>
      <x:c r="E9" s="121" t="str">
        <x:v>2026-06-13</x:v>
      </x:c>
      <x:c r="F9" s="121" t="str">
        <x:v>收购问询函回复</x:v>
      </x:c>
      <x:c r="G9" s="121" t="str">
        <x:v>https://money.finance.sina.com.cn/corp/view/vCB_AllBulletinDetail.php?id=12391493&amp;stockid=603605</x:v>
      </x:c>
      <x:c r="H9" s="121" t="str">
        <x:v>评估预测不等于公司指引</x:v>
      </x:c>
    </x:row>
    <x:row r="10" ht="42" customHeight="1">
      <x:c r="A10" s="14" t="str">
        <x:v>S7</x:v>
      </x:c>
      <x:c r="B10" s="121" t="str">
        <x:v>回购进度</x:v>
      </x:c>
      <x:c r="C10" s="122" t="n">
        <x:v>128.795</x:v>
      </x:c>
      <x:c r="D10" s="121" t="str">
        <x:v>RMB mn</x:v>
      </x:c>
      <x:c r="E10" s="121" t="str">
        <x:v>2026-08-31</x:v>
      </x:c>
      <x:c r="F10" s="121" t="str">
        <x:v>股份回购进展公告</x:v>
      </x:c>
      <x:c r="G10" s="121" t="str">
        <x:v>https://money.finance.sina.com.cn/corp/view/vCB_AllBulletinDetail.php?id=12578915&amp;stockid=603605</x:v>
      </x:c>
      <x:c r="H10" s="121" t="str">
        <x:v>累计回购202.45万股</x:v>
      </x:c>
    </x:row>
    <x:row r="11" ht="42" customHeight="1">
      <x:c r="A11" s="14" t="str">
        <x:v>S8</x:v>
      </x:c>
      <x:c r="B11" s="121" t="str">
        <x:v>员工持股过户</x:v>
      </x:c>
      <x:c r="C11" s="122" t="n">
        <x:v>0.5811</x:v>
      </x:c>
      <x:c r="D11" s="121" t="str">
        <x:v>mn shares</x:v>
      </x:c>
      <x:c r="E11" s="121" t="str">
        <x:v>2026-08-31</x:v>
      </x:c>
      <x:c r="F11" s="121" t="str">
        <x:v>2026员工持股计划过户公告</x:v>
      </x:c>
      <x:c r="G11" s="121" t="str">
        <x:v>https://money.finance.sina.com.cn/corp/view/vCB_AllBulletinDetail.php?id=12578916&amp;stockid=603605</x:v>
      </x:c>
      <x:c r="H11" s="121" t="str">
        <x:v>59.70元/股，12个月锁定</x:v>
      </x:c>
    </x:row>
    <x:row r="12" ht="42" customHeight="1">
      <x:c r="A12" s="14" t="str">
        <x:v>S9</x:v>
      </x:c>
      <x:c r="B12" s="121" t="str">
        <x:v>半年度分红通过</x:v>
      </x:c>
      <x:c r="C12" s="122" t="n">
        <x:v>1.18</x:v>
      </x:c>
      <x:c r="D12" s="121" t="str">
        <x:v>RMB/股</x:v>
      </x:c>
      <x:c r="E12" s="121" t="str">
        <x:v>2026-09-09</x:v>
      </x:c>
      <x:c r="F12" s="121" t="str">
        <x:v>2026第一次临时股东会决议</x:v>
      </x:c>
      <x:c r="G12" s="121" t="str">
        <x:v>https://vip.stock.finance.sina.com.cn/corp/view/vCB_AllBulletinDetail.php?id=12593195&amp;stockid=603605</x:v>
      </x:c>
      <x:c r="H12" s="121" t="str">
        <x:v>方案已获股东会通过</x:v>
      </x:c>
    </x:row>
    <x:row r="13" ht="42" customHeight="1">
      <x:c r="A13" s="14" t="str">
        <x:v>S10</x:v>
      </x:c>
      <x:c r="B13" s="121" t="str">
        <x:v>投资基金认缴</x:v>
      </x:c>
      <x:c r="C13" s="122" t="n">
        <x:v>100</x:v>
      </x:c>
      <x:c r="D13" s="121" t="str">
        <x:v>RMB mn</x:v>
      </x:c>
      <x:c r="E13" s="121" t="str">
        <x:v>2026-09-09</x:v>
      </x:c>
      <x:c r="F13" s="121" t="str">
        <x:v>认购正心谷基金份额公告</x:v>
      </x:c>
      <x:c r="G13" s="121" t="str">
        <x:v>https://money.finance.sina.com.cn/corp/view/vCB_AllBulletinDetail.php?id=12590450&amp;stockid=603605</x:v>
      </x:c>
      <x:c r="H13" s="121" t="str">
        <x:v>基金尚在募集、短期无重大影响</x:v>
      </x:c>
    </x:row>
    <x:row r="14" ht="42" customHeight="1">
      <x:c r="A14" s="14" t="str">
        <x:v>S11</x:v>
      </x:c>
      <x:c r="B14" s="121" t="str">
        <x:v>可转债余额</x:v>
      </x:c>
      <x:c r="C14" s="122" t="n">
        <x:v>750.727</x:v>
      </x:c>
      <x:c r="D14" s="121" t="str">
        <x:v>RMB mn</x:v>
      </x:c>
      <x:c r="E14" s="121" t="str">
        <x:v>2026-06-30</x:v>
      </x:c>
      <x:c r="F14" s="121" t="str">
        <x:v>可转债转股结果公告</x:v>
      </x:c>
      <x:c r="G14" s="121" t="str">
        <x:v>https://static.cninfo.com.cn/finalpage/2026-07-02/1225403299.PDF</x:v>
      </x:c>
      <x:c r="H14" s="121" t="str">
        <x:v>未转股99.8688%</x:v>
      </x:c>
    </x:row>
    <x:row r="15" ht="42" customHeight="1">
      <x:c r="A15" s="14" t="str">
        <x:v>S12</x:v>
      </x:c>
      <x:c r="B15" s="121" t="str">
        <x:v>可转债回售窗口</x:v>
      </x:c>
      <x:c r="C15" s="122" t="n">
        <x:v>101.36</x:v>
      </x:c>
      <x:c r="D15" s="121" t="str">
        <x:v>RMB/张</x:v>
      </x:c>
      <x:c r="E15" s="121" t="str">
        <x:v>2026-09-09至09-15</x:v>
      </x:c>
      <x:c r="F15" s="121" t="str">
        <x:v>可选择回售公告</x:v>
      </x:c>
      <x:c r="G15" s="121" t="str">
        <x:v>https://paper.cnstock.com/html/2026-09/02/content_2264176.htm</x:v>
      </x:c>
      <x:c r="H15" s="121" t="str">
        <x:v>非强制；当时债券市价高于回售价</x:v>
      </x:c>
    </x:row>
    <x:row r="16" ht="42" customHeight="1">
      <x:c r="A16" s="14" t="str">
        <x:v>S13</x:v>
      </x:c>
      <x:c r="B16" s="121" t="str">
        <x:v>方玉友股份冻结/质押</x:v>
      </x:c>
      <x:c r="C16" s="122" t="n">
        <x:v>42.636269</x:v>
      </x:c>
      <x:c r="D16" s="121" t="str">
        <x:v>mn shares</x:v>
      </x:c>
      <x:c r="E16" s="121" t="str">
        <x:v>2026-06-30</x:v>
      </x:c>
      <x:c r="F16" s="121" t="str">
        <x:v>2026H1报告/冻结公告</x:v>
      </x:c>
      <x:c r="G16" s="121" t="str">
        <x:v>https://money.finance.sina.com.cn/corp/view/vCB_AllBulletinDetail.php?id=12063828&amp;stockid=603605</x:v>
      </x:c>
      <x:c r="H16" s="121" t="str">
        <x:v>不等同于上市公司经营负债</x:v>
      </x:c>
    </x:row>
    <x:row r="17" ht="42" customHeight="1">
      <x:c r="A17" s="14" t="str">
        <x:v>M1</x:v>
      </x:c>
      <x:c r="B17" s="121" t="str">
        <x:v>A股收盘价</x:v>
      </x:c>
      <x:c r="C17" s="122" t="n">
        <x:v>60.3</x:v>
      </x:c>
      <x:c r="D17" s="121" t="str">
        <x:v>RMB/股</x:v>
      </x:c>
      <x:c r="E17" s="121" t="str">
        <x:v>2026-09-09</x:v>
      </x:c>
      <x:c r="F17" s="121" t="str">
        <x:v>Investing历史行情</x:v>
      </x:c>
      <x:c r="G17" s="121" t="str">
        <x:v>https://cn.investing.com/equities/proya-cosmetics-a-historical-data</x:v>
      </x:c>
      <x:c r="H17" s="121" t="str">
        <x:v>二级行情源；固定日期</x:v>
      </x:c>
    </x:row>
    <x:row r="18" ht="42" customHeight="1">
      <x:c r="A18" s="14" t="str">
        <x:v>A1</x:v>
      </x:c>
      <x:c r="B18" s="121" t="str">
        <x:v>Bear原有业务归母</x:v>
      </x:c>
      <x:c r="C18" s="122" t="n">
        <x:v>1250</x:v>
      </x:c>
      <x:c r="D18" s="121" t="str">
        <x:v>RMB mn</x:v>
      </x:c>
      <x:c r="E18" s="121" t="str">
        <x:v>2027E</x:v>
      </x:c>
      <x:c r="F18" s="121" t="str">
        <x:v>分析假设</x:v>
      </x:c>
      <x:c r="G18" s="121" t="str"/>
      <x:c r="H18" s="121" t="str">
        <x:v>主品牌继续承压</x:v>
      </x:c>
    </x:row>
    <x:row r="19" ht="42" customHeight="1">
      <x:c r="A19" s="14" t="str">
        <x:v>A2</x:v>
      </x:c>
      <x:c r="B19" s="121" t="str">
        <x:v>Base原有业务归母</x:v>
      </x:c>
      <x:c r="C19" s="122" t="n">
        <x:v>1500</x:v>
      </x:c>
      <x:c r="D19" s="121" t="str">
        <x:v>RMB mn</x:v>
      </x:c>
      <x:c r="E19" s="121" t="str">
        <x:v>2027E</x:v>
      </x:c>
      <x:c r="F19" s="121" t="str">
        <x:v>分析假设</x:v>
      </x:c>
      <x:c r="G19" s="121" t="str"/>
      <x:c r="H19" s="121" t="str">
        <x:v>大致回到2025扣非水平</x:v>
      </x:c>
    </x:row>
    <x:row r="20" ht="42" customHeight="1">
      <x:c r="A20" s="14" t="str">
        <x:v>A3</x:v>
      </x:c>
      <x:c r="B20" s="121" t="str">
        <x:v>Bull原有业务归母</x:v>
      </x:c>
      <x:c r="C20" s="122" t="n">
        <x:v>1750</x:v>
      </x:c>
      <x:c r="D20" s="121" t="str">
        <x:v>RMB mn</x:v>
      </x:c>
      <x:c r="E20" s="121" t="str">
        <x:v>2027E</x:v>
      </x:c>
      <x:c r="F20" s="121" t="str">
        <x:v>分析假设</x:v>
      </x:c>
      <x:c r="G20" s="121" t="str"/>
      <x:c r="H20" s="121" t="str">
        <x:v>品牌矩阵和效率改善</x:v>
      </x:c>
    </x:row>
    <x:row r="21" ht="42" customHeight="1">
      <x:c r="A21" s="14" t="str">
        <x:v>A4</x:v>
      </x:c>
      <x:c r="B21" s="121" t="str">
        <x:v>Bear/Base/Bull花知晓净利</x:v>
      </x:c>
      <x:c r="C21" s="122" t="str">
        <x:v>240/330/400</x:v>
      </x:c>
      <x:c r="D21" s="121" t="str">
        <x:v>RMB mn</x:v>
      </x:c>
      <x:c r="E21" s="121" t="str">
        <x:v>2027E</x:v>
      </x:c>
      <x:c r="F21" s="121" t="str">
        <x:v>分析假设</x:v>
      </x:c>
      <x:c r="G21" s="121" t="str"/>
      <x:c r="H21" s="121" t="str">
        <x:v>Base参考评估预测</x:v>
      </x:c>
    </x:row>
    <x:row r="22" ht="42" customHeight="1">
      <x:c r="A22" s="14" t="str">
        <x:v>A5</x:v>
      </x:c>
      <x:c r="B22" s="121" t="str">
        <x:v>Bear/Base/Bull P/E</x:v>
      </x:c>
      <x:c r="C22" s="122" t="str">
        <x:v>14/18/23</x:v>
      </x:c>
      <x:c r="D22" s="121" t="str">
        <x:v>x</x:v>
      </x:c>
      <x:c r="E22" s="121" t="str">
        <x:v>2027E</x:v>
      </x:c>
      <x:c r="F22" s="121" t="str">
        <x:v>分析假设</x:v>
      </x:c>
      <x:c r="G22" s="121" t="str"/>
      <x:c r="H22" s="121" t="str">
        <x:v>反映增长与执行差异</x:v>
      </x:c>
    </x:row>
    <x:row r="23" ht="42" customHeight="1">
      <x:c r="A23" s="14" t="str">
        <x:v>A6</x:v>
      </x:c>
      <x:c r="B23" s="121" t="str">
        <x:v>花知晓归母比例</x:v>
      </x:c>
      <x:c r="C23" s="122" t="n">
        <x:v>0.51</x:v>
      </x:c>
      <x:c r="D23" s="121" t="str">
        <x:v>%</x:v>
      </x:c>
      <x:c r="E23" s="121" t="str">
        <x:v>并表后</x:v>
      </x:c>
      <x:c r="F23" s="121" t="str">
        <x:v>交易结构</x:v>
      </x:c>
      <x:c r="G23" s="121" t="str"/>
      <x:c r="H23" s="121" t="str">
        <x:v>剩余49%归少数股东</x:v>
      </x:c>
    </x:row>
    <x:row r="24" ht="42" customHeight="1">
      <x:c r="A24" s="14" t="str">
        <x:v>A7</x:v>
      </x:c>
      <x:c r="B24" s="121" t="str">
        <x:v>总股本</x:v>
      </x:c>
      <x:c r="C24" s="122" t="n">
        <x:v>395.9761</x:v>
      </x:c>
      <x:c r="D24" s="121" t="str">
        <x:v>mn shares</x:v>
      </x:c>
      <x:c r="E24" s="121" t="str">
        <x:v>2026-08-31</x:v>
      </x:c>
      <x:c r="F24" s="121" t="str">
        <x:v>回购进展公告</x:v>
      </x:c>
      <x:c r="G24" s="121" t="str"/>
      <x:c r="H24" s="121" t="str">
        <x:v>法定股本；库存股未从法定股本剔除</x:v>
      </x:c>
    </x:row>
    <x:row r="25" ht="42" customHeight="1">
      <x:c r="A25" s="16" t="str">
        <x:v>A8</x:v>
      </x:c>
      <x:c r="B25" s="163" t="str">
        <x:v>模型不加回净现金</x:v>
      </x:c>
      <x:c r="C25" s="175"/>
      <x:c r="D25" s="163"/>
      <x:c r="E25" s="163" t="str">
        <x:v>估值</x:v>
      </x:c>
      <x:c r="F25" s="163" t="str">
        <x:v>分析口径</x:v>
      </x:c>
      <x:c r="G25" s="163" t="str"/>
      <x:c r="H25" s="163" t="str">
        <x:v>避免与P/E质量重复计价</x:v>
      </x:c>
    </x:row>
  </x:sheetData>
  <x:mergeCells>
    <x:mergeCell ref="A1:H1"/>
  </x:mergeCells>
  <x:pageMargins left="0.7" right="0.7" top="0.75" bottom="0.75" header="0.3" footer="0.3"/>
</x:worksheet>
</file>
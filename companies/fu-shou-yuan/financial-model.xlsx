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c00c27864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9e02732a9d24b0c"/>
    <x:sheet xmlns:r="http://schemas.openxmlformats.org/officeDocument/2006/relationships" name="Historical" sheetId="2" r:id="Ra2af7b7bdd9f4433"/>
    <x:sheet xmlns:r="http://schemas.openxmlformats.org/officeDocument/2006/relationships" name="Operations" sheetId="3" r:id="Rb5e046474110404e"/>
    <x:sheet xmlns:r="http://schemas.openxmlformats.org/officeDocument/2006/relationships" name="Balance &amp; Cash" sheetId="4" r:id="R1838f472d2a74d00"/>
    <x:sheet xmlns:r="http://schemas.openxmlformats.org/officeDocument/2006/relationships" name="Valuation" sheetId="5" r:id="R142edd9cbf894f59"/>
    <x:sheet xmlns:r="http://schemas.openxmlformats.org/officeDocument/2006/relationships" name="Checks" sheetId="6" r:id="Redb5ebafd0054246"/>
    <x:sheet xmlns:r="http://schemas.openxmlformats.org/officeDocument/2006/relationships" name="Sources Audit" sheetId="7" r:id="R38c5916ae1a74b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9">
    <x:numFmt numFmtId="200" formatCode="yyyy-mm-dd"/>
    <x:numFmt numFmtId="201" formatCode="&quot;HKD &quot;0.00"/>
    <x:numFmt numFmtId="202" formatCode="0.0%;[Red](0.0%);-"/>
    <x:numFmt numFmtId="203" formatCode="0.0&quot; mn&quot;;[Red](0.0&quot; mn&quot;);-"/>
    <x:numFmt numFmtId="204" formatCode="0.0&quot; mn&quot;"/>
    <x:numFmt numFmtId="205" formatCode="0.0%"/>
    <x:numFmt numFmtId="206" formatCode="0.0&quot; cents&quot;;[Red](0.0&quot; cents&quot;);-"/>
    <x:numFmt numFmtId="207" formatCode="0.0x;[Red](0.0x);-"/>
    <x:numFmt numFmtId="208" formatCode="#,##0"/>
    <x:numFmt numFmtId="209" formatCode="0.0&quot; k&quot;"/>
    <x:numFmt numFmtId="210" formatCode="0.0"/>
    <x:numFmt numFmtId="211" formatCode="0.00x"/>
    <x:numFmt numFmtId="212" formatCode="0.000&quot; mn&quot;"/>
    <x:numFmt numFmtId="213" formatCode="0.000"/>
    <x:numFmt numFmtId="214" formatCode="0%"/>
    <x:numFmt numFmtId="215" formatCode="0&quot; mn&quot;"/>
    <x:numFmt numFmtId="216" formatCode="0x"/>
    <x:numFmt numFmtId="217" formatCode="&quot;HKD &quot;0.00;[Red](&quot;HKD &quot;0.00)"/>
    <x:numFmt numFmtId="218" formatCode="0.0000"/>
  </x:numFmts>
  <x:fonts count="12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i/>
      <x:sz val="11"/>
      <x:name val="Carlito"/>
    </x:font>
    <x:font>
      <x:i/>
      <x:sz val="11"/>
      <x:color rgb="FF000000"/>
      <x:name val="Carlito"/>
    </x:font>
    <x:font>
      <x:sz val="11"/>
      <x:color rgb="FF0000FF"/>
      <x:name val="Carlito"/>
    </x:font>
    <x:font>
      <x:sz val="11"/>
      <x:color rgb="FF0563C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E2F0D9"/>
      </x:patternFill>
    </x:fill>
  </x:fills>
  <x:borders count="11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</x:borders>
  <x:cellStyleXfs count="1">
    <x:xf numFmtId="0" fontId="0" fillId="0" borderId="0"/>
  </x:cellStyleXfs>
  <x:cellXfs count="2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2" xfId="0" applyNumberFormat="1" applyFont="1" applyFill="1" applyBorder="1"/>
    <x:xf numFmtId="201" fontId="5" fillId="0" borderId="3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2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5" borderId="0" xfId="0" applyNumberFormat="1" applyFont="1" applyFill="1" applyBorder="1"/>
    <x:xf numFmtId="205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3" fillId="5" borderId="0" xfId="0" applyNumberFormat="1" applyFont="1" applyFill="1" applyBorder="1"/>
    <x:xf numFmtId="205" fontId="3" fillId="5" borderId="0" xfId="0" applyNumberFormat="1" applyFont="1" applyFill="1" applyBorder="1"/>
    <x:xf numFmtId="202" fontId="3" fillId="5" borderId="0" xfId="0" applyNumberFormat="1" applyFont="1" applyFill="1" applyBorder="1"/>
    <x:xf numFmtId="203" fontId="0" fillId="5" borderId="0" xfId="0" applyNumberFormat="1" applyFont="1" applyFill="1" applyBorder="1"/>
    <x:xf numFmtId="203" fontId="3" fillId="5" borderId="0" xfId="0" applyNumberFormat="1" applyFont="1" applyFill="1" applyBorder="1"/>
    <x:xf numFmtId="207" fontId="0" fillId="5" borderId="0" xfId="0" applyNumberFormat="1" applyFont="1" applyFill="1" applyBorder="1"/>
    <x:xf numFmtId="207" fontId="3" fillId="5" borderId="0" xfId="0" applyNumberFormat="1" applyFont="1" applyFill="1" applyBorder="1"/>
    <x:xf numFmtId="203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3" fillId="3" borderId="0" xfId="0" applyNumberFormat="1" applyFont="1" applyFill="1" applyBorder="1"/>
    <x:xf numFmtId="203" fontId="3" fillId="3" borderId="0" xfId="0" applyNumberFormat="1" applyFont="1" applyFill="1" applyBorder="1"/>
    <x:xf numFmtId="202" fontId="3" fillId="3" borderId="0" xfId="0" applyNumberFormat="1" applyFont="1" applyFill="1" applyBorder="1"/>
    <x:xf numFmtId="0" fontId="8" fillId="3" borderId="0" xfId="0" applyNumberFormat="1" applyFont="1" applyFill="1" applyBorder="1"/>
    <x:xf numFmtId="0" fontId="4" fillId="5" borderId="0" xfId="0" applyNumberFormat="1" applyFont="1" applyFill="1" applyBorder="1"/>
    <x:xf numFmtId="205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5" fillId="3" borderId="0" xfId="0" applyNumberFormat="1" applyFont="1" applyFill="1" applyBorder="1"/>
    <x:xf numFmtId="203" fontId="5" fillId="3" borderId="0" xfId="0" applyNumberFormat="1" applyFont="1" applyFill="1" applyBorder="1"/>
    <x:xf numFmtId="202" fontId="5" fillId="3" borderId="0" xfId="0" applyNumberFormat="1" applyFont="1" applyFill="1" applyBorder="1"/>
    <x:xf numFmtId="0" fontId="4" fillId="3" borderId="0" xfId="0" applyNumberFormat="1" applyFont="1" applyFill="1" applyBorder="1"/>
    <x:xf numFmtId="203" fontId="4" fillId="3" borderId="0" xfId="0" applyNumberFormat="1" applyFont="1" applyFill="1" applyBorder="1"/>
    <x:xf numFmtId="202" fontId="4" fillId="3" borderId="0" xfId="0" applyNumberFormat="1" applyFont="1" applyFill="1" applyBorder="1"/>
    <x:xf numFmtId="206" fontId="5" fillId="0" borderId="0" xfId="0" applyNumberFormat="1" applyFont="1" applyFill="1" applyBorder="1"/>
    <x:xf numFmtId="207" fontId="4" fillId="5" borderId="0" xfId="0" applyNumberFormat="1" applyFont="1" applyFill="1" applyBorder="1"/>
    <x:xf numFmtId="0" fontId="9" fillId="3" borderId="0" xfId="0" applyNumberFormat="1" applyFont="1" applyFill="1" applyBorder="1"/>
    <x:xf numFmtId="204" fontId="5" fillId="0" borderId="2" xfId="0" applyNumberFormat="1" applyFont="1" applyFill="1" applyBorder="1"/>
    <x:xf numFmtId="202" fontId="5" fillId="0" borderId="2" xfId="0" applyNumberFormat="1" applyFont="1" applyFill="1" applyBorder="1"/>
    <x:xf numFmtId="0" fontId="4" fillId="5" borderId="3" xfId="0" applyNumberFormat="1" applyFont="1" applyFill="1" applyBorder="1"/>
    <x:xf numFmtId="205" fontId="4" fillId="5" borderId="3" xfId="0" applyNumberFormat="1" applyFont="1" applyFill="1" applyBorder="1"/>
    <x:xf numFmtId="202" fontId="4" fillId="5" borderId="3" xfId="0" applyNumberFormat="1" applyFont="1" applyFill="1" applyBorder="1"/>
    <x:xf numFmtId="0" fontId="5" fillId="3" borderId="3" xfId="0" applyNumberFormat="1" applyFont="1" applyFill="1" applyBorder="1"/>
    <x:xf numFmtId="203" fontId="5" fillId="3" borderId="3" xfId="0" applyNumberFormat="1" applyFont="1" applyFill="1" applyBorder="1"/>
    <x:xf numFmtId="202" fontId="5" fillId="3" borderId="3" xfId="0" applyNumberFormat="1" applyFont="1" applyFill="1" applyBorder="1"/>
    <x:xf numFmtId="0" fontId="4" fillId="3" borderId="3" xfId="0" applyNumberFormat="1" applyFont="1" applyFill="1" applyBorder="1"/>
    <x:xf numFmtId="203" fontId="4" fillId="3" borderId="3" xfId="0" applyNumberFormat="1" applyFont="1" applyFill="1" applyBorder="1"/>
    <x:xf numFmtId="202" fontId="4" fillId="3" borderId="3" xfId="0" applyNumberFormat="1" applyFont="1" applyFill="1" applyBorder="1"/>
    <x:xf numFmtId="206" fontId="5" fillId="0" borderId="3" xfId="0" applyNumberFormat="1" applyFont="1" applyFill="1" applyBorder="1"/>
    <x:xf numFmtId="207" fontId="4" fillId="5" borderId="3" xfId="0" applyNumberFormat="1" applyFont="1" applyFill="1" applyBorder="1"/>
    <x:xf numFmtId="0" fontId="9" fillId="3" borderId="4" xfId="0" applyNumberFormat="1" applyFont="1" applyFill="1" applyBorder="1"/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09" fontId="0" fillId="5" borderId="0" xfId="0" applyNumberFormat="1" applyFont="1" applyFill="1" applyBorder="1"/>
    <x:xf numFmtId="210" fontId="0" fillId="5" borderId="0" xfId="0" applyNumberFormat="1" applyFont="1" applyFill="1" applyBorder="1"/>
    <x:xf numFmtId="208" fontId="5" fillId="0" borderId="0" xfId="0" applyNumberFormat="1" applyFont="1" applyFill="1" applyBorder="1"/>
    <x:xf numFmtId="0" fontId="5" fillId="5" borderId="0" xfId="0" applyNumberFormat="1" applyFont="1" applyFill="1" applyBorder="1"/>
    <x:xf numFmtId="209" fontId="5" fillId="5" borderId="0" xfId="0" applyNumberFormat="1" applyFont="1" applyFill="1" applyBorder="1"/>
    <x:xf numFmtId="210" fontId="5" fillId="5" borderId="0" xfId="0" applyNumberFormat="1" applyFont="1" applyFill="1" applyBorder="1"/>
    <x:xf numFmtId="209" fontId="5" fillId="0" borderId="0" xfId="0" applyNumberFormat="1" applyFont="1" applyFill="1" applyBorder="1"/>
    <x:xf numFmtId="208" fontId="5" fillId="0" borderId="2" xfId="0" applyNumberFormat="1" applyFont="1" applyFill="1" applyBorder="1"/>
    <x:xf numFmtId="0" fontId="5" fillId="5" borderId="3" xfId="0" applyNumberFormat="1" applyFont="1" applyFill="1" applyBorder="1"/>
    <x:xf numFmtId="209" fontId="5" fillId="5" borderId="3" xfId="0" applyNumberFormat="1" applyFont="1" applyFill="1" applyBorder="1"/>
    <x:xf numFmtId="210" fontId="5" fillId="5" borderId="3" xfId="0" applyNumberFormat="1" applyFont="1" applyFill="1" applyBorder="1"/>
    <x:xf numFmtId="208" fontId="5" fillId="0" borderId="3" xfId="0" applyNumberFormat="1" applyFont="1" applyFill="1" applyBorder="1"/>
    <x:xf numFmtId="209" fontId="5" fillId="0" borderId="4" xfId="0" applyNumberFormat="1" applyFont="1" applyFill="1" applyBorder="1"/>
    <x:xf numFmtId="204" fontId="0" fillId="3" borderId="0" xfId="0" applyNumberFormat="1" applyFont="1" applyFill="1" applyBorder="1"/>
    <x:xf numFmtId="204" fontId="5" fillId="3" borderId="0" xfId="0" applyNumberFormat="1" applyFont="1" applyFill="1" applyBorder="1"/>
    <x:xf numFmtId="0" fontId="5" fillId="3" borderId="2" xfId="0" applyNumberFormat="1" applyFont="1" applyFill="1" applyBorder="1"/>
    <x:xf numFmtId="204" fontId="5" fillId="3" borderId="2" xfId="0" applyNumberFormat="1" applyFont="1" applyFill="1" applyBorder="1"/>
    <x:xf numFmtId="202" fontId="5" fillId="3" borderId="2" xfId="0" applyNumberFormat="1" applyFont="1" applyFill="1" applyBorder="1"/>
    <x:xf numFmtId="204" fontId="5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11" fontId="0" fillId="0" borderId="0" xfId="0" applyNumberFormat="1" applyFont="1" applyFill="1" applyBorder="1"/>
    <x:xf numFmtId="204" fontId="0" fillId="5" borderId="0" xfId="0" applyNumberFormat="1" applyFont="1" applyFill="1" applyBorder="1"/>
    <x:xf numFmtId="204" fontId="3" fillId="5" borderId="0" xfId="0" applyNumberFormat="1" applyFont="1" applyFill="1" applyBorder="1"/>
    <x:xf numFmtId="204" fontId="4" fillId="5" borderId="0" xfId="0" applyNumberFormat="1" applyFont="1" applyFill="1" applyBorder="1"/>
    <x:xf numFmtId="211" fontId="5" fillId="0" borderId="0" xfId="0" applyNumberFormat="1" applyFont="1" applyFill="1" applyBorder="1"/>
    <x:xf numFmtId="204" fontId="5" fillId="5" borderId="0" xfId="0" applyNumberFormat="1" applyFont="1" applyFill="1" applyBorder="1"/>
    <x:xf numFmtId="202" fontId="5" fillId="5" borderId="0" xfId="0" applyNumberFormat="1" applyFont="1" applyFill="1" applyBorder="1"/>
    <x:xf numFmtId="204" fontId="4" fillId="5" borderId="3" xfId="0" applyNumberFormat="1" applyFont="1" applyFill="1" applyBorder="1"/>
    <x:xf numFmtId="204" fontId="5" fillId="3" borderId="3" xfId="0" applyNumberFormat="1" applyFont="1" applyFill="1" applyBorder="1"/>
    <x:xf numFmtId="211" fontId="5" fillId="0" borderId="3" xfId="0" applyNumberFormat="1" applyFont="1" applyFill="1" applyBorder="1"/>
    <x:xf numFmtId="204" fontId="5" fillId="5" borderId="3" xfId="0" applyNumberFormat="1" applyFont="1" applyFill="1" applyBorder="1"/>
    <x:xf numFmtId="202" fontId="5" fillId="5" borderId="3" xfId="0" applyNumberFormat="1" applyFont="1" applyFill="1" applyBorder="1"/>
    <x:xf numFmtId="0" fontId="5" fillId="5" borderId="4" xfId="0" applyNumberFormat="1" applyFont="1" applyFill="1" applyBorder="1"/>
    <x:xf numFmtId="204" fontId="5" fillId="5" borderId="4" xfId="0" applyNumberFormat="1" applyFont="1" applyFill="1" applyBorder="1"/>
    <x:xf numFmtId="202" fontId="5" fillId="5" borderId="4" xfId="0" applyNumberFormat="1" applyFont="1" applyFill="1" applyBorder="1"/>
    <x:xf numFmtId="203" fontId="5" fillId="0" borderId="2" xfId="0" applyNumberFormat="1" applyFont="1" applyFill="1" applyBorder="1"/>
    <x:xf numFmtId="0" fontId="5" fillId="3" borderId="4" xfId="0" applyNumberFormat="1" applyFont="1" applyFill="1" applyBorder="1"/>
    <x:xf numFmtId="203" fontId="5" fillId="3" borderId="4" xfId="0" applyNumberFormat="1" applyFont="1" applyFill="1" applyBorder="1"/>
    <x:xf numFmtId="202" fontId="5" fillId="3" borderId="4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01" fontId="10" fillId="0" borderId="0" xfId="0" applyNumberFormat="1" applyFont="1" applyFill="1" applyBorder="1"/>
    <x:xf numFmtId="212" fontId="10" fillId="0" borderId="0" xfId="0" applyNumberFormat="1" applyFont="1" applyFill="1" applyBorder="1"/>
    <x:xf numFmtId="213" fontId="10" fillId="0" borderId="0" xfId="0" applyNumberFormat="1" applyFont="1" applyFill="1" applyBorder="1"/>
    <x:xf numFmtId="212" fontId="5" fillId="0" borderId="0" xfId="0" applyNumberFormat="1" applyFont="1" applyFill="1" applyBorder="1"/>
    <x:xf numFmtId="213" fontId="5" fillId="0" borderId="0" xfId="0" applyNumberFormat="1" applyFont="1" applyFill="1" applyBorder="1"/>
    <x:xf numFmtId="212" fontId="5" fillId="0" borderId="3" xfId="0" applyNumberFormat="1" applyFont="1" applyFill="1" applyBorder="1"/>
    <x:xf numFmtId="213" fontId="5" fillId="0" borderId="4" xfId="0" applyNumberFormat="1" applyFont="1" applyFill="1" applyBorder="1"/>
    <x:xf numFmtId="214" fontId="0" fillId="0" borderId="0" xfId="0" applyNumberFormat="1" applyFont="1" applyFill="1" applyBorder="1"/>
    <x:xf numFmtId="0" fontId="0" fillId="6" borderId="0" xfId="0" applyNumberFormat="1" applyFont="1" applyFill="1" applyBorder="1"/>
    <x:xf numFmtId="214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4" fontId="0" fillId="6" borderId="0" xfId="0" applyNumberFormat="1" applyFont="1" applyFill="1" applyBorder="1"/>
    <x:xf numFmtId="201" fontId="3" fillId="0" borderId="0" xfId="0" applyNumberFormat="1" applyFont="1" applyFill="1" applyBorder="1"/>
    <x:xf numFmtId="201" fontId="3" fillId="6" borderId="0" xfId="0" applyNumberFormat="1" applyFont="1" applyFill="1" applyBorder="1"/>
    <x:xf numFmtId="214" fontId="5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6" borderId="0" xfId="0" applyNumberFormat="1" applyFont="1" applyFill="1" applyBorder="1"/>
    <x:xf numFmtId="214" fontId="5" fillId="6" borderId="0" xfId="0" applyNumberFormat="1" applyFont="1" applyFill="1" applyBorder="1"/>
    <x:xf numFmtId="201" fontId="4" fillId="6" borderId="0" xfId="0" applyNumberFormat="1" applyFont="1" applyFill="1" applyBorder="1"/>
    <x:xf numFmtId="202" fontId="5" fillId="6" borderId="0" xfId="0" applyNumberFormat="1" applyFont="1" applyFill="1" applyBorder="1"/>
    <x:xf numFmtId="204" fontId="5" fillId="6" borderId="0" xfId="0" applyNumberFormat="1" applyFont="1" applyFill="1" applyBorder="1"/>
    <x:xf numFmtId="214" fontId="5" fillId="0" borderId="2" xfId="0" applyNumberFormat="1" applyFont="1" applyFill="1" applyBorder="1"/>
    <x:xf numFmtId="201" fontId="4" fillId="0" borderId="2" xfId="0" applyNumberFormat="1" applyFont="1" applyFill="1" applyBorder="1"/>
    <x:xf numFmtId="0" fontId="5" fillId="6" borderId="3" xfId="0" applyNumberFormat="1" applyFont="1" applyFill="1" applyBorder="1"/>
    <x:xf numFmtId="214" fontId="5" fillId="6" borderId="3" xfId="0" applyNumberFormat="1" applyFont="1" applyFill="1" applyBorder="1"/>
    <x:xf numFmtId="201" fontId="4" fillId="6" borderId="3" xfId="0" applyNumberFormat="1" applyFont="1" applyFill="1" applyBorder="1"/>
    <x:xf numFmtId="202" fontId="5" fillId="6" borderId="3" xfId="0" applyNumberFormat="1" applyFont="1" applyFill="1" applyBorder="1"/>
    <x:xf numFmtId="204" fontId="5" fillId="6" borderId="3" xfId="0" applyNumberFormat="1" applyFont="1" applyFill="1" applyBorder="1"/>
    <x:xf numFmtId="214" fontId="5" fillId="0" borderId="4" xfId="0" applyNumberFormat="1" applyFont="1" applyFill="1" applyBorder="1"/>
    <x:xf numFmtId="201" fontId="4" fillId="0" borderId="4" xfId="0" applyNumberFormat="1" applyFont="1" applyFill="1" applyBorder="1"/>
    <x:xf numFmtId="215" fontId="0" fillId="0" borderId="0" xfId="0" applyNumberFormat="1" applyFont="1" applyFill="1" applyBorder="1"/>
    <x:xf numFmtId="216" fontId="0" fillId="0" borderId="0" xfId="0" applyNumberFormat="1" applyFont="1" applyFill="1" applyBorder="1"/>
    <x:xf numFmtId="217" fontId="0" fillId="0" borderId="0" xfId="0" applyNumberFormat="1" applyFont="1" applyFill="1" applyBorder="1"/>
    <x:xf numFmtId="215" fontId="10" fillId="0" borderId="0" xfId="0" applyNumberFormat="1" applyFont="1" applyFill="1" applyBorder="1"/>
    <x:xf numFmtId="216" fontId="10" fillId="0" borderId="0" xfId="0" applyNumberFormat="1" applyFont="1" applyFill="1" applyBorder="1"/>
    <x:xf numFmtId="215" fontId="10" fillId="6" borderId="0" xfId="0" applyNumberFormat="1" applyFont="1" applyFill="1" applyBorder="1"/>
    <x:xf numFmtId="216" fontId="10" fillId="6" borderId="0" xfId="0" applyNumberFormat="1" applyFont="1" applyFill="1" applyBorder="1"/>
    <x:xf numFmtId="215" fontId="0" fillId="6" borderId="0" xfId="0" applyNumberFormat="1" applyFont="1" applyFill="1" applyBorder="1"/>
    <x:xf numFmtId="217" fontId="0" fillId="6" borderId="0" xfId="0" applyNumberFormat="1" applyFont="1" applyFill="1" applyBorder="1"/>
    <x:xf numFmtId="215" fontId="5" fillId="0" borderId="0" xfId="0" applyNumberFormat="1" applyFont="1" applyFill="1" applyBorder="1"/>
    <x:xf numFmtId="216" fontId="5" fillId="0" borderId="0" xfId="0" applyNumberFormat="1" applyFont="1" applyFill="1" applyBorder="1"/>
    <x:xf numFmtId="217" fontId="5" fillId="0" borderId="0" xfId="0" applyNumberFormat="1" applyFont="1" applyFill="1" applyBorder="1"/>
    <x:xf numFmtId="215" fontId="5" fillId="6" borderId="0" xfId="0" applyNumberFormat="1" applyFont="1" applyFill="1" applyBorder="1"/>
    <x:xf numFmtId="216" fontId="5" fillId="6" borderId="0" xfId="0" applyNumberFormat="1" applyFont="1" applyFill="1" applyBorder="1"/>
    <x:xf numFmtId="217" fontId="5" fillId="6" borderId="0" xfId="0" applyNumberFormat="1" applyFont="1" applyFill="1" applyBorder="1"/>
    <x:xf numFmtId="215" fontId="5" fillId="0" borderId="2" xfId="0" applyNumberFormat="1" applyFont="1" applyFill="1" applyBorder="1"/>
    <x:xf numFmtId="216" fontId="5" fillId="0" borderId="2" xfId="0" applyNumberFormat="1" applyFont="1" applyFill="1" applyBorder="1"/>
    <x:xf numFmtId="217" fontId="5" fillId="0" borderId="2" xfId="0" applyNumberFormat="1" applyFont="1" applyFill="1" applyBorder="1"/>
    <x:xf numFmtId="215" fontId="5" fillId="6" borderId="3" xfId="0" applyNumberFormat="1" applyFont="1" applyFill="1" applyBorder="1"/>
    <x:xf numFmtId="216" fontId="5" fillId="6" borderId="3" xfId="0" applyNumberFormat="1" applyFont="1" applyFill="1" applyBorder="1"/>
    <x:xf numFmtId="217" fontId="5" fillId="6" borderId="3" xfId="0" applyNumberFormat="1" applyFont="1" applyFill="1" applyBorder="1"/>
    <x:xf numFmtId="215" fontId="5" fillId="0" borderId="4" xfId="0" applyNumberFormat="1" applyFont="1" applyFill="1" applyBorder="1"/>
    <x:xf numFmtId="216" fontId="5" fillId="0" borderId="4" xfId="0" applyNumberFormat="1" applyFont="1" applyFill="1" applyBorder="1"/>
    <x:xf numFmtId="217" fontId="5" fillId="0" borderId="4" xfId="0" applyNumberFormat="1" applyFont="1" applyFill="1" applyBorder="1"/>
    <x:xf numFmtId="214" fontId="4" fillId="4" borderId="9" xfId="0" applyNumberFormat="1" applyFont="1" applyFill="1" applyBorder="1"/>
    <x:xf numFmtId="214" fontId="4" fillId="4" borderId="1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218" fontId="0" fillId="0" borderId="0" xfId="0" applyNumberFormat="1" applyFont="1" applyFill="1" applyBorder="1"/>
    <x:xf numFmtId="218" fontId="5" fillId="0" borderId="0" xfId="0" applyNumberFormat="1" applyFont="1" applyFill="1" applyBorder="1"/>
    <x:xf numFmtId="218" fontId="5" fillId="0" borderId="2" xfId="0" applyNumberFormat="1" applyFont="1" applyFill="1" applyBorder="1"/>
    <x:xf numFmtId="218" fontId="5" fillId="0" borderId="3" xfId="0" applyNumberFormat="1" applyFont="1" applyFill="1" applyBorder="1"/>
    <x:xf numFmtId="218" fontId="5" fillId="0" borderId="4" xfId="0" applyNumberFormat="1" applyFont="1" applyFill="1" applyBorder="1"/>
    <x:xf numFmtId="0" fontId="11" fillId="0" borderId="0" xfId="0" applyNumberFormat="1" applyFont="1" applyFill="1" applyBorder="1"/>
    <x:xf numFmtId="213" fontId="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14" fontId="0" fillId="0" borderId="0" xfId="0" applyNumberFormat="1" applyFont="1" applyFill="1" applyBorder="1" applyAlignment="1">
      <x:alignment wrapText="1"/>
    </x:xf>
    <x:xf numFmtId="213" fontId="5" fillId="0" borderId="0" xfId="0" applyNumberFormat="1" applyFont="1" applyFill="1" applyBorder="1" applyAlignment="1">
      <x:alignment wrapText="1"/>
    </x:xf>
    <x:xf numFmtId="214" fontId="5" fillId="0" borderId="0" xfId="0" applyNumberFormat="1" applyFont="1" applyFill="1" applyBorder="1" applyAlignment="1">
      <x:alignment wrapText="1"/>
    </x:xf>
    <x:xf numFmtId="213" fontId="5" fillId="0" borderId="2" xfId="0" applyNumberFormat="1" applyFont="1" applyFill="1" applyBorder="1" applyAlignment="1">
      <x:alignment wrapText="1"/>
    </x:xf>
    <x:xf numFmtId="213" fontId="5" fillId="0" borderId="3" xfId="0" applyNumberFormat="1" applyFont="1" applyFill="1" applyBorder="1" applyAlignment="1">
      <x:alignment wrapText="1"/>
    </x:xf>
    <x:xf numFmtId="214" fontId="5" fillId="0" borderId="3" xfId="0" applyNumberFormat="1" applyFont="1" applyFill="1" applyBorder="1" applyAlignment="1">
      <x:alignment wrapText="1"/>
    </x:xf>
    <x:xf numFmtId="213" fontId="5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51b111f664a71" /><Relationship Type="http://schemas.openxmlformats.org/officeDocument/2006/relationships/theme" Target="/xl/theme/theme1.xml" Id="Ra46057e89e1246f2" /><Relationship Type="http://schemas.openxmlformats.org/officeDocument/2006/relationships/sharedStrings" Target="/xl/sharedStrings.xml" Id="Rde2106a4d3d24a8f" /><Relationship Type="http://schemas.openxmlformats.org/officeDocument/2006/relationships/worksheet" Target="/xl/worksheets/sheet1.xml" Id="R99e02732a9d24b0c" /><Relationship Type="http://schemas.openxmlformats.org/officeDocument/2006/relationships/worksheet" Target="/xl/worksheets/sheet2.xml" Id="Ra2af7b7bdd9f4433" /><Relationship Type="http://schemas.openxmlformats.org/officeDocument/2006/relationships/worksheet" Target="/xl/worksheets/sheet3.xml" Id="Rb5e046474110404e" /><Relationship Type="http://schemas.openxmlformats.org/officeDocument/2006/relationships/worksheet" Target="/xl/worksheets/sheet4.xml" Id="R1838f472d2a74d00" /><Relationship Type="http://schemas.openxmlformats.org/officeDocument/2006/relationships/worksheet" Target="/xl/worksheets/sheet5.xml" Id="R142edd9cbf894f59" /><Relationship Type="http://schemas.openxmlformats.org/officeDocument/2006/relationships/worksheet" Target="/xl/worksheets/sheet6.xml" Id="Redb5ebafd0054246" /><Relationship Type="http://schemas.openxmlformats.org/officeDocument/2006/relationships/worksheet" Target="/xl/worksheets/sheet7.xml" Id="R38c5916ae1a74b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70bd9bfb6d4844" /><Relationship Type="http://schemas.openxmlformats.org/officeDocument/2006/relationships/chart" Target="/xl/drawings/charts/chart2.xml" Id="Ra4ebe244914349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情景价值与停牌前价格（港元/股）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'Valuation'!$A$10:$A$12</c:f>
              <c:strCache>
                <c:ptCount val="0"/>
              </c:strCache>
            </c:strRef>
          </c:cat>
          <c:val>
            <c:numRef>
              <c:f>'Valuation'!$D$10:$D$12</c:f>
              <c:numCache>
                <c:formatCode>"HKD "0.0</c:formatCode>
                <c:ptCount val="0"/>
              </c:numCache>
            </c:numRef>
          </c:val>
        </c:ser>
        <c:ser>
          <c:idx val="1"/>
          <c:order val="1"/>
          <c:tx>
            <c:v>停牌前价格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'Valuation'!$A$10:$A$12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"HKD "0.0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HKD &quot;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普通经营性墓位：销量与ASP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ASP（千元/座）</c:v>
          </c:tx>
          <c:spPr>
            <a:ln xmlns:a="http://schemas.openxmlformats.org/drawingml/2006/main" w="19050">
              <a:solidFill>
                <a:srgbClr val="1F4E78"/>
              </a:solidFill>
            </a:ln>
          </c:spPr>
          <c:marker>
            <c:symbol val="none"/>
          </c:marker>
          <c:cat>
            <c:strRef>
              <c:f>'Operations'!$B$3:$E$3</c:f>
              <c:strCache>
                <c:ptCount val="0"/>
              </c:strCache>
            </c:strRef>
          </c:cat>
          <c:val>
            <c:numRef>
              <c:f>'Operations'!$B$6:$E$6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销量指数（2023=100）</c:v>
          </c:tx>
          <c:spPr>
            <a:ln xmlns:a="http://schemas.openxmlformats.org/drawingml/2006/main" w="19050">
              <a:solidFill>
                <a:srgbClr val="C9A227"/>
              </a:solidFill>
            </a:ln>
          </c:spPr>
          <c:marker>
            <c:symbol val="none"/>
          </c:marker>
          <c:cat>
            <c:strRef>
              <c:f>'Operations'!$B$3:$E$3</c:f>
              <c:strCache>
                <c:ptCount val="0"/>
              </c:strCache>
            </c:strRef>
          </c:cat>
          <c:val>
            <c:numRef>
              <c:f>'Operations'!$B$8:$E$8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4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70bd9bfb6d4844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ebe244914349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576092c23d42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9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福寿园（01448.HK）停牌治理与价值压力测试模型</x:v>
      </x:c>
      <x:c r="B1" s="3" t="str">
        <x:v>福寿园（01448.HK）停牌治理与价值压力测试模型</x:v>
      </x:c>
      <x:c r="C1" s="3" t="str">
        <x:v>福寿园（01448.HK）停牌治理与价值压力测试模型</x:v>
      </x:c>
      <x:c r="D1" s="3" t="str">
        <x:v>福寿园（01448.HK）停牌治理与价值压力测试模型</x:v>
      </x:c>
      <x:c r="E1" s="3" t="str">
        <x:v>福寿园（01448.HK）停牌治理与价值压力测试模型</x:v>
      </x:c>
      <x:c r="F1" s="3" t="str">
        <x:v>福寿园（01448.HK）停牌治理与价值压力测试模型</x:v>
      </x:c>
      <x:c r="G1" s="3" t="str">
        <x:v>福寿园（01448.HK）停牌治理与价值压力测试模型</x:v>
      </x:c>
      <x:c r="H1" s="3" t="str">
        <x:v>福寿园（01448.HK）停牌治理与价值压力测试模型</x:v>
      </x:c>
    </x:row>
    <x:row r="2">
      <x:c r="J2" t="str">
        <x:v>停牌前价格</x:v>
      </x:c>
    </x:row>
    <x:row r="3">
      <x:c r="A3" s="10" t="str">
        <x:v>公司</x:v>
      </x:c>
      <x:c r="B3" s="11" t="str">
        <x:v>福寿园国际集团有限公司</x:v>
      </x:c>
      <x:c r="J3" t="n">
        <x:f>'Valuation'!B4</x:f>
        <x:v>2.64</x:v>
      </x:c>
    </x:row>
    <x:row r="4">
      <x:c r="A4" s="12" t="str">
        <x:v>价格基准</x:v>
      </x:c>
      <x:c r="B4" s="13" t="n">
        <x:v>46100</x:v>
      </x:c>
      <x:c r="J4" t="n">
        <x:f>'Valuation'!B4</x:f>
        <x:v>2.64</x:v>
      </x:c>
    </x:row>
    <x:row r="5">
      <x:c r="A5" s="12" t="str">
        <x:v>资料截止</x:v>
      </x:c>
      <x:c r="B5" s="14" t="str">
        <x:v>2026-09-07</x:v>
      </x:c>
      <x:c r="J5" t="n">
        <x:f>'Valuation'!B4</x:f>
        <x:v>2.64</x:v>
      </x:c>
    </x:row>
    <x:row r="6">
      <x:c r="A6" s="12" t="str">
        <x:v>报告货币</x:v>
      </x:c>
      <x:c r="B6" s="14" t="str">
        <x:v>人民币百万元；每股价值为港元</x:v>
      </x:c>
    </x:row>
    <x:row r="7">
      <x:c r="A7" s="12" t="str">
        <x:v>市场状态</x:v>
      </x:c>
      <x:c r="B7" s="14" t="str">
        <x:v>2026-03-20起停牌</x:v>
      </x:c>
    </x:row>
    <x:row r="8">
      <x:c r="A8" s="12" t="str">
        <x:v>估值框架</x:v>
      </x:c>
      <x:c r="B8" s="14" t="str">
        <x:v>2025H1归母NAV压力折价；正常化P/E校验</x:v>
      </x:c>
    </x:row>
    <x:row r="9">
      <x:c r="A9" s="12" t="str">
        <x:v>模型状态</x:v>
      </x:c>
      <x:c r="B9" s="12" t="str">
        <x:f>'Checks'!F2</x:f>
        <x:v>OK</x:v>
      </x:c>
    </x:row>
    <x:row r="10">
      <x:c r="A10" s="12" t="str">
        <x:v>研究结论</x:v>
      </x:c>
      <x:c r="B10" s="14" t="str">
        <x:v>回避，等待可验证复牌条件</x:v>
      </x:c>
    </x:row>
    <x:row r="11">
      <x:c r="A11" s="12" t="str">
        <x:v>最重要变量</x:v>
      </x:c>
      <x:c r="B11" s="14" t="str">
        <x:v>法证范围、审计意见、内控整改、复牌时间、墓位ASP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停牌前价格</x:v>
      </x:c>
      <x:c r="B15" s="33" t="n">
        <x:f>'Valuation'!B4</x:f>
        <x:v>2.64</x:v>
      </x:c>
      <x:c r="C15" s="11" t="str">
        <x:v>2026-03-19最后交易日</x:v>
      </x:c>
    </x:row>
    <x:row r="16">
      <x:c r="A16" s="14" t="str">
        <x:v>2025H1每股NAV</x:v>
      </x:c>
      <x:c r="B16" s="34" t="n">
        <x:f>'Valuation'!B5</x:f>
        <x:v>2.18</x:v>
      </x:c>
      <x:c r="C16" s="14" t="str">
        <x:v>未经审计；要约公告换算</x:v>
      </x:c>
    </x:row>
    <x:row r="17">
      <x:c r="A17" s="14" t="str">
        <x:v>2025H1收入同比</x:v>
      </x:c>
      <x:c r="B17" s="35" t="n">
        <x:f>'Historical'!E5</x:f>
        <x:v>-0.4447</x:v>
      </x:c>
      <x:c r="C17" s="14" t="str">
        <x:v>墓园收入为主要拖累</x:v>
      </x:c>
    </x:row>
    <x:row r="18">
      <x:c r="A18" s="14" t="str">
        <x:v>2025H1墓位ASP同比</x:v>
      </x:c>
      <x:c r="B18" s="35" t="n">
        <x:f>'Operations'!E7</x:f>
        <x:v>-0.4748644882079409</x:v>
      </x:c>
      <x:c r="C18" s="14" t="str">
        <x:v>普通经营性墓位</x:v>
      </x:c>
    </x:row>
    <x:row r="19">
      <x:c r="A19" s="14" t="str">
        <x:v>2025H1归母净利润</x:v>
      </x:c>
      <x:c r="B19" s="36" t="n">
        <x:f>'Historical'!E15</x:f>
        <x:v>-261.411</x:v>
      </x:c>
      <x:c r="C19" s="14" t="str">
        <x:v>由盈转亏</x:v>
      </x:c>
    </x:row>
    <x:row r="20">
      <x:c r="A20" s="14" t="str">
        <x:v>2025H1经营现金流</x:v>
      </x:c>
      <x:c r="B20" s="36" t="n">
        <x:f>'Historical'!E17</x:f>
        <x:v>56.94</x:v>
      </x:c>
      <x:c r="C20" s="14" t="str">
        <x:v>IFRS报表口径</x:v>
      </x:c>
    </x:row>
    <x:row r="21">
      <x:c r="A21" s="14" t="str">
        <x:v>2025H1现金类资产</x:v>
      </x:c>
      <x:c r="B21" s="36" t="n">
        <x:f>'Balance &amp; Cash'!C8</x:f>
        <x:v>2316.458</x:v>
      </x:c>
      <x:c r="C21" s="14" t="str">
        <x:v>现金+定存+现金管理产品</x:v>
      </x:c>
    </x:row>
    <x:row r="22">
      <x:c r="A22" s="14" t="str">
        <x:v>存疑交易</x:v>
      </x:c>
      <x:c r="B22" s="37" t="n">
        <x:v>19.7</x:v>
      </x:c>
      <x:c r="C22" s="14" t="str">
        <x:v>RMB mn；47笔，2016—2025</x:v>
      </x:c>
    </x:row>
    <x:row r="23">
      <x:c r="A23" s="14" t="str">
        <x:v>Bear价值</x:v>
      </x:c>
      <x:c r="B23" s="34" t="n">
        <x:f>'Valuation'!D10</x:f>
        <x:v>0.763</x:v>
      </x:c>
      <x:c r="C23" s="14" t="str">
        <x:v>65% NAV折价</x:v>
      </x:c>
    </x:row>
    <x:row r="24">
      <x:c r="A24" s="14" t="str">
        <x:v>Base价值</x:v>
      </x:c>
      <x:c r="B24" s="34" t="n">
        <x:f>'Valuation'!D11</x:f>
        <x:v>1.308</x:v>
      </x:c>
      <x:c r="C24" s="14" t="str">
        <x:v>40% NAV折价</x:v>
      </x:c>
    </x:row>
    <x:row r="25">
      <x:c r="A25" s="14" t="str">
        <x:v>Bull价值</x:v>
      </x:c>
      <x:c r="B25" s="34" t="n">
        <x:f>'Valuation'!D12</x:f>
        <x:v>1.853</x:v>
      </x:c>
      <x:c r="C25" s="14" t="str">
        <x:v>15% NAV折价</x:v>
      </x:c>
    </x:row>
    <x:row r="26">
      <x:c r="A26" s="16" t="str">
        <x:v>Base相对停牌前价</x:v>
      </x:c>
      <x:c r="B26" s="38" t="n">
        <x:f>'Valuation'!E11</x:f>
        <x:v>-0.5045454545454546</x:v>
      </x:c>
      <x:c r="C26" s="16" t="str">
        <x:v>压力测试，不是收益保证</x:v>
      </x:c>
    </x:row>
    <x:row r="29">
      <x:c r="A29" s="19" t="str">
        <x:v>研究结论</x:v>
      </x:c>
      <x:c r="B29" s="20" t="str">
        <x:v>研究结论</x:v>
      </x:c>
      <x:c r="C29" s="20" t="str">
        <x:v>研究结论</x:v>
      </x:c>
      <x:c r="D29" s="20" t="str">
        <x:v>研究结论</x:v>
      </x:c>
      <x:c r="E29" s="20" t="str">
        <x:v>研究结论</x:v>
      </x:c>
      <x:c r="F29" s="20" t="str">
        <x:v>研究结论</x:v>
      </x:c>
      <x:c r="G29" s="20" t="str">
        <x:v>研究结论</x:v>
      </x:c>
      <x:c r="H29" s="21" t="str">
        <x:v>研究结论</x:v>
      </x:c>
    </x:row>
    <x:row r="30">
      <x:c r="A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0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1">
      <x:c r="A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1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2">
      <x:c r="A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2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3">
      <x:c r="A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3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4">
      <x:c r="A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4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5">
      <x:c r="A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5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  <x:row r="36">
      <x:c r="A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B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C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D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E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F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G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  <x:c r="H36" s="41" t="str">
        <x:v>福寿园的存量墓园牌照、品牌与土地仍有价值，新规禁止再新设营利性殡葬机构也强化准入壁垒。但2025H1普通经营性墓位销量仅下降6.7%，ASP却下降47.5%，旧有高价高毛利模型已经受损；更关键的是，法证调查初步识别2016—2025年47笔存疑交易，2025年报和2026年中报均未刊发。Base按2025H1每股NAV折价40%得1.31港元，较停牌前2.64港元低50.5%。在法证结论、审计财报、内控整改和复牌路径明确前，结论为回避。</x:v>
      </x:c>
    </x:row>
  </x:sheetData>
  <x:mergeCells>
    <x:mergeCell ref="A1:H1"/>
    <x:mergeCell ref="A29:H29"/>
    <x:mergeCell ref="A30:H36"/>
  </x:mergeCells>
  <x:pageMargins left="0.7" right="0.7" top="0.75" bottom="0.75" header="0.3" footer="0.3"/>
  <x:drawing xmlns:r="http://schemas.openxmlformats.org/officeDocument/2006/relationships" r:id="Re4576092c23d42e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历史财务与盈利质量</x:v>
      </x:c>
      <x:c r="B1" s="3" t="str">
        <x:v>历史财务与盈利质量</x:v>
      </x:c>
      <x:c r="C1" s="3" t="str">
        <x:v>历史财务与盈利质量</x:v>
      </x:c>
      <x:c r="D1" s="3" t="str">
        <x:v>历史财务与盈利质量</x:v>
      </x:c>
      <x:c r="E1" s="3" t="str">
        <x:v>历史财务与盈利质量</x:v>
      </x:c>
      <x:c r="F1" s="3" t="str">
        <x:v>历史财务与盈利质量</x:v>
      </x:c>
    </x:row>
    <x:row r="3">
      <x:c r="A3" s="44" t="str">
        <x:v>指标（RMB mn，除注明外）</x:v>
      </x:c>
      <x:c r="B3" s="45" t="str">
        <x:v>2023A</x:v>
      </x:c>
      <x:c r="C3" s="45" t="str">
        <x:v>2024A</x:v>
      </x:c>
      <x:c r="D3" s="45" t="str">
        <x:v>2024H1</x:v>
      </x:c>
      <x:c r="E3" s="45" t="str">
        <x:v>2025H1</x:v>
      </x:c>
      <x:c r="F3" s="46" t="str">
        <x:v>2025H1同比</x:v>
      </x:c>
    </x:row>
    <x:row r="4">
      <x:c r="A4" s="11" t="str">
        <x:v>营业收入</x:v>
      </x:c>
      <x:c r="B4" s="78" t="n">
        <x:v>2628.029</x:v>
      </x:c>
      <x:c r="C4" s="78" t="n">
        <x:v>2077.484</x:v>
      </x:c>
      <x:c r="D4" s="78" t="n">
        <x:v>1099.991</x:v>
      </x:c>
      <x:c r="E4" s="78" t="n">
        <x:v>610.85</x:v>
      </x:c>
      <x:c r="F4" s="79" t="n">
        <x:f>IFERROR(E4/D4-1,"")</x:f>
        <x:v>-0.44467727463224693</x:v>
      </x:c>
    </x:row>
    <x:row r="5">
      <x:c r="A5" s="80" t="str">
        <x:v>收入同比</x:v>
      </x:c>
      <x:c r="B5" s="81"/>
      <x:c r="C5" s="81" t="n">
        <x:v>-0.2093</x:v>
      </x:c>
      <x:c r="D5" s="81"/>
      <x:c r="E5" s="81" t="n">
        <x:v>-0.4447</x:v>
      </x:c>
      <x:c r="F5" s="82" t="n">
        <x:f>E5</x:f>
        <x:v>-0.4447</x:v>
      </x:c>
    </x:row>
    <x:row r="6">
      <x:c r="A6" s="14" t="str">
        <x:v>墓园服务收入</x:v>
      </x:c>
      <x:c r="B6" s="36" t="n">
        <x:v>2165.253</x:v>
      </x:c>
      <x:c r="C6" s="36" t="n">
        <x:v>1709.205</x:v>
      </x:c>
      <x:c r="D6" s="36" t="n">
        <x:v>906.082</x:v>
      </x:c>
      <x:c r="E6" s="36" t="n">
        <x:v>477.375</x:v>
      </x:c>
      <x:c r="F6" s="35" t="n">
        <x:f>IFERROR(E6/D6-1,"")</x:f>
        <x:v>-0.4731437110548493</x:v>
      </x:c>
    </x:row>
    <x:row r="7">
      <x:c r="A7" s="14" t="str">
        <x:v>殡仪服务收入</x:v>
      </x:c>
      <x:c r="B7" s="36" t="n">
        <x:v>397.886</x:v>
      </x:c>
      <x:c r="C7" s="36" t="n">
        <x:v>339.191</x:v>
      </x:c>
      <x:c r="D7" s="36" t="n">
        <x:v>184.083</x:v>
      </x:c>
      <x:c r="E7" s="36" t="n">
        <x:v>121.873</x:v>
      </x:c>
      <x:c r="F7" s="35" t="n">
        <x:f>IFERROR(E7/D7-1,"")</x:f>
        <x:v>-0.33794538333251845</x:v>
      </x:c>
    </x:row>
    <x:row r="8">
      <x:c r="A8" s="14" t="str">
        <x:v>其他服务收入</x:v>
      </x:c>
      <x:c r="B8" s="36" t="n">
        <x:v>78.542</x:v>
      </x:c>
      <x:c r="C8" s="36" t="n">
        <x:v>37.436</x:v>
      </x:c>
      <x:c r="D8" s="36" t="n">
        <x:v>15.059</x:v>
      </x:c>
      <x:c r="E8" s="36" t="n">
        <x:v>14.628</x:v>
      </x:c>
      <x:c r="F8" s="35" t="n">
        <x:f>IFERROR(E8/D8-1,"")</x:f>
        <x:v>-0.02862075835048805</x:v>
      </x:c>
    </x:row>
    <x:row r="9">
      <x:c r="A9" s="14" t="str">
        <x:v>经营利润</x:v>
      </x:c>
      <x:c r="B9" s="36" t="n">
        <x:v>1372.199</x:v>
      </x:c>
      <x:c r="C9" s="36" t="n">
        <x:v>709.887</x:v>
      </x:c>
      <x:c r="D9" s="36" t="n">
        <x:v>512.237</x:v>
      </x:c>
      <x:c r="E9" s="36" t="n">
        <x:v>-229.249</x:v>
      </x:c>
      <x:c r="F9" s="35" t="n">
        <x:f>IFERROR(E9/D9-1,"")</x:f>
        <x:v>-1.4475447888379793</x:v>
      </x:c>
    </x:row>
    <x:row r="10">
      <x:c r="A10" s="80" t="str">
        <x:v>经营利润率</x:v>
      </x:c>
      <x:c r="B10" s="82" t="n">
        <x:f>B9/B4</x:f>
        <x:v>0.5221399763853444</x:v>
      </x:c>
      <x:c r="C10" s="82" t="n">
        <x:f>C9/C4</x:f>
        <x:v>0.3417051587400914</x:v>
      </x:c>
      <x:c r="D10" s="82" t="n">
        <x:f>D9/D4</x:f>
        <x:v>0.4656738100584459</x:v>
      </x:c>
      <x:c r="E10" s="82" t="n">
        <x:f>E9/E4</x:f>
        <x:v>-0.3752950806253581</x:v>
      </x:c>
      <x:c r="F10" s="82" t="n">
        <x:f>E10-D10</x:f>
        <x:v>-0.840968890683804</x:v>
      </x:c>
    </x:row>
    <x:row r="11">
      <x:c r="A11" s="83" t="str">
        <x:v>资产及商誉减值</x:v>
      </x:c>
      <x:c r="B11" s="84" t="n">
        <x:v>0</x:v>
      </x:c>
      <x:c r="C11" s="84" t="n">
        <x:v>104.193</x:v>
      </x:c>
      <x:c r="D11" s="84" t="n">
        <x:v>0</x:v>
      </x:c>
      <x:c r="E11" s="84" t="n">
        <x:v>217.638</x:v>
      </x:c>
      <x:c r="F11" s="85" t="str">
        <x:f>IFERROR(E11/D11-1,"")</x:f>
      </x:c>
    </x:row>
    <x:row r="12">
      <x:c r="A12" s="86" t="str">
        <x:v>加回减值后经营利润</x:v>
      </x:c>
      <x:c r="B12" s="87" t="n">
        <x:f>B9+B11</x:f>
        <x:v>1372.199</x:v>
      </x:c>
      <x:c r="C12" s="87" t="n">
        <x:f>C9+C11</x:f>
        <x:v>814.0799999999999</x:v>
      </x:c>
      <x:c r="D12" s="87" t="n">
        <x:f>D9+D11</x:f>
        <x:v>512.237</x:v>
      </x:c>
      <x:c r="E12" s="87" t="n">
        <x:f>E9+E11</x:f>
        <x:v>-11.61099999999999</x:v>
      </x:c>
      <x:c r="F12" s="88" t="n">
        <x:f>IFERROR(E12/D12-1,"")</x:f>
        <x:v>-1.02266724192122</x:v>
      </x:c>
    </x:row>
    <x:row r="13">
      <x:c r="A13" s="14" t="str">
        <x:v>税前利润</x:v>
      </x:c>
      <x:c r="B13" s="36" t="n">
        <x:v>1431.554</x:v>
      </x:c>
      <x:c r="C13" s="36" t="n">
        <x:v>810.509</x:v>
      </x:c>
      <x:c r="D13" s="36" t="n">
        <x:v>542.737</x:v>
      </x:c>
      <x:c r="E13" s="36" t="n">
        <x:v>-232.37</x:v>
      </x:c>
      <x:c r="F13" s="35" t="n">
        <x:f>IFERROR(E13/D13-1,"")</x:f>
        <x:v>-1.4281447551945048</x:v>
      </x:c>
    </x:row>
    <x:row r="14">
      <x:c r="A14" s="14" t="str">
        <x:v>集团净利润</x:v>
      </x:c>
      <x:c r="B14" s="36" t="n">
        <x:v>975.916</x:v>
      </x:c>
      <x:c r="C14" s="36" t="n">
        <x:v>497.328</x:v>
      </x:c>
      <x:c r="D14" s="36" t="n">
        <x:v>363.135</x:v>
      </x:c>
      <x:c r="E14" s="36" t="n">
        <x:v>-263.873</x:v>
      </x:c>
      <x:c r="F14" s="35" t="n">
        <x:f>IFERROR(E14/D14-1,"")</x:f>
        <x:v>-1.7266526223030003</x:v>
      </x:c>
    </x:row>
    <x:row r="15">
      <x:c r="A15" s="14" t="str">
        <x:v>归母净利润</x:v>
      </x:c>
      <x:c r="B15" s="36" t="n">
        <x:v>791.24</x:v>
      </x:c>
      <x:c r="C15" s="36" t="n">
        <x:v>373.134</x:v>
      </x:c>
      <x:c r="D15" s="36" t="n">
        <x:v>298.801</x:v>
      </x:c>
      <x:c r="E15" s="36" t="n">
        <x:v>-261.411</x:v>
      </x:c>
      <x:c r="F15" s="35" t="n">
        <x:f>IFERROR(E15/D15-1,"")</x:f>
        <x:v>-1.874866549978079</x:v>
      </x:c>
    </x:row>
    <x:row r="16">
      <x:c r="A16" s="14" t="str">
        <x:v>基本EPS（RMB cents）</x:v>
      </x:c>
      <x:c r="B16" s="89" t="n">
        <x:v>34.8</x:v>
      </x:c>
      <x:c r="C16" s="89" t="n">
        <x:v>16.4</x:v>
      </x:c>
      <x:c r="D16" s="89" t="n">
        <x:v>13.2</x:v>
      </x:c>
      <x:c r="E16" s="89" t="n">
        <x:v>-11.5</x:v>
      </x:c>
      <x:c r="F16" s="35" t="n">
        <x:f>E16/D16-1</x:f>
        <x:v>-1.871212121212121</x:v>
      </x:c>
    </x:row>
    <x:row r="17">
      <x:c r="A17" s="14" t="str">
        <x:v>IFRS经营现金流</x:v>
      </x:c>
      <x:c r="B17" s="37" t="n">
        <x:v>1102.9</x:v>
      </x:c>
      <x:c r="C17" s="37" t="n">
        <x:v>708.5</x:v>
      </x:c>
      <x:c r="D17" s="37" t="n">
        <x:v>338.55</x:v>
      </x:c>
      <x:c r="E17" s="37" t="n">
        <x:v>56.94</x:v>
      </x:c>
      <x:c r="F17" s="35" t="n">
        <x:f>IFERROR(E17/D17-1,"")</x:f>
        <x:v>-0.8318121400088614</x:v>
      </x:c>
    </x:row>
    <x:row r="18">
      <x:c r="A18" s="80" t="str">
        <x:v>CFO/归母净利润</x:v>
      </x:c>
      <x:c r="B18" s="90" t="n">
        <x:f>B17/B15</x:f>
        <x:v>1.3938880744148425</x:v>
      </x:c>
      <x:c r="C18" s="90" t="n">
        <x:f>C17/C15</x:f>
        <x:v>1.8987816709278704</x:v>
      </x:c>
      <x:c r="D18" s="90" t="n">
        <x:f>D17/D15</x:f>
        <x:v>1.133028336585219</x:v>
      </x:c>
      <x:c r="E18" s="90" t="n">
        <x:f>E17/E15</x:f>
        <x:v>-0.21781791890930374</x:v>
      </x:c>
      <x:c r="F18" s="82" t="n">
        <x:f>E18-D18</x:f>
        <x:v>-1.3508462554945226</x:v>
      </x:c>
    </x:row>
    <x:row r="19">
      <x:c r="A19" s="14" t="str">
        <x:v>归母净资产</x:v>
      </x:c>
      <x:c r="B19" s="37" t="n">
        <x:v>5920.055</x:v>
      </x:c>
      <x:c r="C19" s="37" t="n">
        <x:v>5561.154</x:v>
      </x:c>
      <x:c r="D19" s="37"/>
      <x:c r="E19" s="37" t="n">
        <x:v>4291.235</x:v>
      </x:c>
      <x:c r="F19" s="35" t="str">
        <x:f>IFERROR(E19/D19-1,"")</x:f>
      </x:c>
    </x:row>
    <x:row r="20">
      <x:c r="A20" s="14" t="str">
        <x:v>现金类资产</x:v>
      </x:c>
      <x:c r="B20" s="37" t="n">
        <x:v>3439.714</x:v>
      </x:c>
      <x:c r="C20" s="37" t="n">
        <x:v>3041.81</x:v>
      </x:c>
      <x:c r="D20" s="37"/>
      <x:c r="E20" s="37" t="n">
        <x:v>2316.458</x:v>
      </x:c>
      <x:c r="F20" s="35" t="str">
        <x:f>IFERROR(E20/D20-1,"")</x:f>
      </x:c>
    </x:row>
    <x:row r="21">
      <x:c r="A21" s="91" t="str">
        <x:v>审计/审阅口径</x:v>
      </x:c>
      <x:c r="B21" s="91" t="str">
        <x:v>经审计</x:v>
      </x:c>
      <x:c r="C21" s="91" t="str">
        <x:v>经审计</x:v>
      </x:c>
      <x:c r="D21" s="91" t="str">
        <x:v>经审阅/未经审计</x:v>
      </x:c>
      <x:c r="E21" s="91" t="str">
        <x:v>经审阅/未经审计</x:v>
      </x:c>
      <x:c r="F21" s="9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42" hidden="0" customWidth="1"/>
    <x:col min="8" max="8" width="42" hidden="0" customWidth="1"/>
  </x:cols>
  <x:sheetData>
    <x:row r="1" ht="30" customHeight="1">
      <x:c r="A1" s="3" t="str">
        <x:v>墓位量价、区域与监管</x:v>
      </x:c>
      <x:c r="B1" s="3" t="str">
        <x:v>墓位量价、区域与监管</x:v>
      </x:c>
      <x:c r="C1" s="3" t="str">
        <x:v>墓位量价、区域与监管</x:v>
      </x:c>
      <x:c r="D1" s="3" t="str">
        <x:v>墓位量价、区域与监管</x:v>
      </x:c>
      <x:c r="E1" s="3" t="str">
        <x:v>墓位量价、区域与监管</x:v>
      </x:c>
      <x:c r="F1" s="3" t="str">
        <x:v>墓位量价、区域与监管</x:v>
      </x:c>
      <x:c r="G1" s="3" t="str">
        <x:v>墓位量价、区域与监管</x:v>
      </x:c>
      <x:c r="H1" s="3" t="str">
        <x:v>墓位量价、区域与监管</x:v>
      </x:c>
    </x:row>
    <x:row r="3">
      <x:c r="A3" s="19" t="str">
        <x:v>核心经营指标</x:v>
      </x:c>
      <x:c r="B3" s="20" t="str">
        <x:v>2023A</x:v>
      </x:c>
      <x:c r="C3" s="20" t="str">
        <x:v>2024A</x:v>
      </x:c>
      <x:c r="D3" s="20" t="str">
        <x:v>2024H1</x:v>
      </x:c>
      <x:c r="E3" s="21" t="str">
        <x:v>2025H1</x:v>
      </x:c>
      <x:c r="G3" s="19" t="str">
        <x:v>2026新规关键条款</x:v>
      </x:c>
      <x:c r="H3" s="21" t="str">
        <x:v>价值影响</x:v>
      </x:c>
    </x:row>
    <x:row r="4">
      <x:c r="A4" s="11" t="str">
        <x:v>普通经营性墓位销量（座）</x:v>
      </x:c>
      <x:c r="B4" s="102" t="n">
        <x:v>16385</x:v>
      </x:c>
      <x:c r="C4" s="102" t="n">
        <x:v>12569</x:v>
      </x:c>
      <x:c r="D4" s="102" t="n">
        <x:v>6704</x:v>
      </x:c>
      <x:c r="E4" s="102" t="n">
        <x:v>6253</x:v>
      </x:c>
      <x:c r="G4" s="116" t="str">
        <x:v>新设机构须政府举办、非营利；不得再新设营利机构</x:v>
      </x:c>
      <x:c r="H4" s="116" t="str">
        <x:v>存量合规牌照壁垒增强</x:v>
      </x:c>
    </x:row>
    <x:row r="5">
      <x:c r="A5" s="14" t="str">
        <x:v>普通经营性墓位收入（RMB mn）</x:v>
      </x:c>
      <x:c r="B5" s="37" t="n">
        <x:v>1958.344</x:v>
      </x:c>
      <x:c r="C5" s="37" t="n">
        <x:v>1523.223</x:v>
      </x:c>
      <x:c r="D5" s="37" t="n">
        <x:v>808.815</x:v>
      </x:c>
      <x:c r="E5" s="37" t="n">
        <x:v>396.164</x:v>
      </x:c>
      <x:c r="G5" s="117" t="str">
        <x:v>基础与非基础项目清单；收费严格管理</x:v>
      </x:c>
      <x:c r="H5" s="117" t="str">
        <x:v>定价自由度下降</x:v>
      </x:c>
    </x:row>
    <x:row r="6">
      <x:c r="A6" s="103" t="str">
        <x:v>普通经营性墓位ASP（RMB千元/座）</x:v>
      </x:c>
      <x:c r="B6" s="104" t="n">
        <x:f>B5/B4*1000</x:f>
        <x:v>119.52053707659445</x:v>
      </x:c>
      <x:c r="C6" s="104" t="n">
        <x:f>C5/C4*1000</x:f>
        <x:v>121.18887739676983</x:v>
      </x:c>
      <x:c r="D6" s="104" t="n">
        <x:f>D5/D4*1000</x:f>
        <x:v>120.64662887828163</x:v>
      </x:c>
      <x:c r="E6" s="104" t="n">
        <x:f>E5/E4*1000</x:f>
        <x:v>63.35582920198304</x:v>
      </x:c>
      <x:c r="G6" s="117" t="str">
        <x:v>遏制过高收费，禁止价格欺诈和捆绑</x:v>
      </x:c>
      <x:c r="H6" s="117" t="str">
        <x:v>高端服务扩张受限</x:v>
      </x:c>
    </x:row>
    <x:row r="7">
      <x:c r="A7" s="80" t="str">
        <x:v>ASP同比</x:v>
      </x:c>
      <x:c r="B7" s="82"/>
      <x:c r="C7" s="82" t="n">
        <x:f>C6/B6-1</x:f>
        <x:v>0.013958607959619673</x:v>
      </x:c>
      <x:c r="D7" s="82"/>
      <x:c r="E7" s="82" t="n">
        <x:f>E6/D6-1</x:f>
        <x:v>-0.4748644882079409</x:v>
      </x:c>
      <x:c r="G7" s="117" t="str">
        <x:v>墓位/墓碑小型化，禁止高档材料</x:v>
      </x:c>
      <x:c r="H7" s="117" t="str">
        <x:v>高价墓位产品天花板下降</x:v>
      </x:c>
    </x:row>
    <x:row r="8">
      <x:c r="A8" s="103" t="str">
        <x:v>销量指数（2023=100）</x:v>
      </x:c>
      <x:c r="B8" s="105" t="n">
        <x:f>B4/$B$4*100</x:f>
        <x:v>100</x:v>
      </x:c>
      <x:c r="C8" s="105" t="n">
        <x:f>C4/$B$4*100</x:f>
        <x:v>76.7104058590174</x:v>
      </x:c>
      <x:c r="D8" s="105" t="n">
        <x:f>D4/($B$4/2)*100</x:f>
        <x:v>81.83094293561184</x:v>
      </x:c>
      <x:c r="E8" s="105" t="n">
        <x:f>E4/($B$4/2)*100</x:f>
        <x:v>76.32590784253891</x:v>
      </x:c>
      <x:c r="G8" s="117" t="str">
        <x:v>墓位使用周期不超过20年</x:v>
      </x:c>
      <x:c r="H8" s="117" t="str">
        <x:v>维护义务长期化</x:v>
      </x:c>
    </x:row>
    <x:row r="9">
      <x:c r="A9" s="14" t="str">
        <x:v>总墓位服务数量（座）</x:v>
      </x:c>
      <x:c r="B9" s="106" t="n">
        <x:v>18778</x:v>
      </x:c>
      <x:c r="C9" s="106" t="n">
        <x:v>16504</x:v>
      </x:c>
      <x:c r="D9" s="106" t="n">
        <x:v>9231</x:v>
      </x:c>
      <x:c r="E9" s="106" t="n">
        <x:v>7308</x:v>
      </x:c>
      <x:c r="G9" s="117" t="str">
        <x:v>按规定提取维护基金并专账管理</x:v>
      </x:c>
      <x:c r="H9" s="117" t="str">
        <x:v>部分现金不可自由分配</x:v>
      </x:c>
    </x:row>
    <x:row r="10">
      <x:c r="A10" s="14" t="str">
        <x:v>殡仪服务户数</x:v>
      </x:c>
      <x:c r="B10" s="106" t="n">
        <x:v>72668</x:v>
      </x:c>
      <x:c r="C10" s="106" t="n">
        <x:v>65143</x:v>
      </x:c>
      <x:c r="D10" s="106" t="n">
        <x:v>34891</x:v>
      </x:c>
      <x:c r="E10" s="106" t="n">
        <x:v>26007</x:v>
      </x:c>
      <x:c r="G10" s="118" t="str">
        <x:v>每年报送工作报告和财务审计报告</x:v>
      </x:c>
      <x:c r="H10" s="118" t="str">
        <x:v>监管透明度提高</x:v>
      </x:c>
    </x:row>
    <x:row r="11">
      <x:c r="A11" s="14" t="str">
        <x:v>殡仪服务收入（RMB mn）</x:v>
      </x:c>
      <x:c r="B11" s="37" t="n">
        <x:v>397.886</x:v>
      </x:c>
      <x:c r="C11" s="37" t="n">
        <x:v>339.191</x:v>
      </x:c>
      <x:c r="D11" s="37" t="n">
        <x:v>184.083</x:v>
      </x:c>
      <x:c r="E11" s="37" t="n">
        <x:v>121.873</x:v>
      </x:c>
    </x:row>
    <x:row r="12">
      <x:c r="A12" s="16" t="str">
        <x:v>殡仪ASP（RMB千元/户）</x:v>
      </x:c>
      <x:c r="B12" s="107" t="n">
        <x:f>B11/B10*1000</x:f>
        <x:v>5.475394946881709</x:v>
      </x:c>
      <x:c r="C12" s="107" t="n">
        <x:f>C11/C10*1000</x:f>
        <x:v>5.206867967394808</x:v>
      </x:c>
      <x:c r="D12" s="107" t="n">
        <x:f>D11/D10*1000</x:f>
        <x:v>5.275945086125362</x:v>
      </x:c>
      <x:c r="E12" s="107" t="n">
        <x:f>E11/E10*1000</x:f>
        <x:v>4.686161418079748</x:v>
      </x:c>
    </x:row>
    <x:row r="13">
      <x:c r="G13" s="19" t="str">
        <x:v>治理事件</x:v>
      </x:c>
      <x:c r="H13" s="21" t="str">
        <x:v>状态</x:v>
      </x:c>
    </x:row>
    <x:row r="14">
      <x:c r="G14" s="11" t="str">
        <x:v>2026-03-20停牌</x:v>
      </x:c>
      <x:c r="H14" s="11" t="str">
        <x:v>持续</x:v>
      </x:c>
    </x:row>
    <x:row r="15">
      <x:c r="A15" s="19" t="str">
        <x:v>地区收入（墓园+殡仪，RMB mn）</x:v>
      </x:c>
      <x:c r="B15" s="20" t="str">
        <x:v>2024H1</x:v>
      </x:c>
      <x:c r="C15" s="20" t="str">
        <x:v>2025H1</x:v>
      </x:c>
      <x:c r="D15" s="20" t="str">
        <x:v>同比</x:v>
      </x:c>
      <x:c r="E15" s="21" t="str">
        <x:v>2025H1占比</x:v>
      </x:c>
      <x:c r="G15" s="14" t="str">
        <x:v>初步法证：47笔/19.7mn</x:v>
      </x:c>
      <x:c r="H15" s="14" t="str">
        <x:v>调查中</x:v>
      </x:c>
    </x:row>
    <x:row r="16">
      <x:c r="A16" s="110" t="str">
        <x:v>上海</x:v>
      </x:c>
      <x:c r="B16" s="111" t="n">
        <x:v>526.143</x:v>
      </x:c>
      <x:c r="C16" s="111" t="n">
        <x:v>240.97</x:v>
      </x:c>
      <x:c r="D16" s="112" t="n">
        <x:f>C16/B16-1</x:f>
        <x:v>-0.5420066407801681</x:v>
      </x:c>
      <x:c r="E16" s="112" t="n">
        <x:f>C16/SUM($C$16:$C$22)</x:f>
        <x:v>0.40212065789122364</x:v>
      </x:c>
      <x:c r="G16" s="14" t="str">
        <x:v>安永中国受聘独立调查</x:v>
      </x:c>
      <x:c r="H16" s="14" t="str">
        <x:v>已委任</x:v>
      </x:c>
    </x:row>
    <x:row r="17">
      <x:c r="A17" s="14" t="str">
        <x:v>辽宁</x:v>
      </x:c>
      <x:c r="B17" s="37" t="n">
        <x:v>69.766</x:v>
      </x:c>
      <x:c r="C17" s="37" t="n">
        <x:v>65.607</x:v>
      </x:c>
      <x:c r="D17" s="35" t="n">
        <x:f>C17/B17-1</x:f>
        <x:v>-0.05961356534701723</x:v>
      </x:c>
      <x:c r="E17" s="35" t="n">
        <x:f>C17/SUM($C$16:$C$22)</x:f>
        <x:v>0.10948221771286679</x:v>
      </x:c>
      <x:c r="G17" s="14" t="str">
        <x:v>内控顾问</x:v>
      </x:c>
      <x:c r="H17" s="14" t="str">
        <x:v>遴选/工作中</x:v>
      </x:c>
    </x:row>
    <x:row r="18">
      <x:c r="A18" s="14" t="str">
        <x:v>安徽</x:v>
      </x:c>
      <x:c r="B18" s="37" t="n">
        <x:v>87.739</x:v>
      </x:c>
      <x:c r="C18" s="37" t="n">
        <x:v>63.662</x:v>
      </x:c>
      <x:c r="D18" s="35" t="n">
        <x:f>C18/B18-1</x:f>
        <x:v>-0.2744161661290875</x:v>
      </x:c>
      <x:c r="E18" s="35" t="n">
        <x:f>C18/SUM($C$16:$C$22)</x:f>
        <x:v>0.10623648305876698</x:v>
      </x:c>
      <x:c r="G18" s="14" t="str">
        <x:v>2025年报</x:v>
      </x:c>
      <x:c r="H18" s="14" t="str">
        <x:v>未刊发</x:v>
      </x:c>
    </x:row>
    <x:row r="19">
      <x:c r="A19" s="14" t="str">
        <x:v>河南</x:v>
      </x:c>
      <x:c r="B19" s="37" t="n">
        <x:v>68.805</x:v>
      </x:c>
      <x:c r="C19" s="37" t="n">
        <x:v>33.165</x:v>
      </x:c>
      <x:c r="D19" s="35" t="n">
        <x:f>C19/B19-1</x:f>
        <x:v>-0.5179856115107915</x:v>
      </x:c>
      <x:c r="E19" s="35" t="n">
        <x:f>C19/SUM($C$16:$C$22)</x:f>
        <x:v>0.05534436493738819</x:v>
      </x:c>
      <x:c r="G19" s="14" t="str">
        <x:v>2026年中报</x:v>
      </x:c>
      <x:c r="H19" s="14" t="str">
        <x:v>未刊发</x:v>
      </x:c>
    </x:row>
    <x:row r="20">
      <x:c r="A20" s="14" t="str">
        <x:v>江西</x:v>
      </x:c>
      <x:c r="B20" s="37" t="n">
        <x:v>46.154</x:v>
      </x:c>
      <x:c r="C20" s="37" t="n">
        <x:v>32.489</x:v>
      </x:c>
      <x:c r="D20" s="35" t="n">
        <x:f>C20/B20-1</x:f>
        <x:v>-0.2960740130866232</x:v>
      </x:c>
      <x:c r="E20" s="35" t="n">
        <x:f>C20/SUM($C$16:$C$22)</x:f>
        <x:v>0.0542162844097936</x:v>
      </x:c>
      <x:c r="G20" s="14" t="str">
        <x:v>退市期限</x:v>
      </x:c>
      <x:c r="H20" s="14" t="str">
        <x:v>2027-09-19</x:v>
      </x:c>
    </x:row>
    <x:row r="21">
      <x:c r="A21" s="14" t="str">
        <x:v>江苏</x:v>
      </x:c>
      <x:c r="B21" s="37" t="n">
        <x:v>52.524</x:v>
      </x:c>
      <x:c r="C21" s="37" t="n">
        <x:v>32.059</x:v>
      </x:c>
      <x:c r="D21" s="35" t="n">
        <x:f>C21/B21-1</x:f>
        <x:v>-0.38963140659508044</x:v>
      </x:c>
      <x:c r="E21" s="35" t="n">
        <x:f>C21/SUM($C$16:$C$22)</x:f>
        <x:v>0.05349871839372012</x:v>
      </x:c>
      <x:c r="G21" s="16" t="str">
        <x:v>0.10港元部分要约</x:v>
      </x:c>
      <x:c r="H21" s="16" t="str">
        <x:v>附先决条件；非公平价值</x:v>
      </x:c>
    </x:row>
    <x:row r="22">
      <x:c r="A22" s="16" t="str">
        <x:v>其他</x:v>
      </x:c>
      <x:c r="B22" s="113" t="n">
        <x:v>239.034</x:v>
      </x:c>
      <x:c r="C22" s="113" t="n">
        <x:v>131.296</x:v>
      </x:c>
      <x:c r="D22" s="38" t="n">
        <x:f>C22/B22-1</x:f>
        <x:v>-0.4507224913610616</x:v>
      </x:c>
      <x:c r="E22" s="38" t="n">
        <x:f>C22/SUM($C$16:$C$22)</x:f>
        <x:v>0.2191012735962406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</x:cols>
  <x:sheetData>
    <x:row r="1" ht="30" customHeight="1">
      <x:c r="A1" s="3" t="str">
        <x:v>资产负债、现金与资本配置</x:v>
      </x:c>
      <x:c r="B1" s="3" t="str">
        <x:v>资产负债、现金与资本配置</x:v>
      </x:c>
      <x:c r="C1" s="3" t="str">
        <x:v>资产负债、现金与资本配置</x:v>
      </x:c>
      <x:c r="D1" s="3" t="str">
        <x:v>资产负债、现金与资本配置</x:v>
      </x:c>
      <x:c r="E1" s="3" t="str">
        <x:v>资产负债、现金与资本配置</x:v>
      </x:c>
      <x:c r="F1" s="3" t="str">
        <x:v>资产负债、现金与资本配置</x:v>
      </x:c>
    </x:row>
    <x:row r="3">
      <x:c r="A3" s="19" t="str">
        <x:v>指标（RMB mn）</x:v>
      </x:c>
      <x:c r="B3" s="20" t="str">
        <x:v>2024-12-31</x:v>
      </x:c>
      <x:c r="C3" s="20" t="str">
        <x:v>2025-06-30</x:v>
      </x:c>
      <x:c r="D3" s="21" t="str">
        <x:v>变化</x:v>
      </x:c>
    </x:row>
    <x:row r="4">
      <x:c r="A4" s="11" t="str">
        <x:v>银行结余及现金</x:v>
      </x:c>
      <x:c r="B4" s="78" t="n">
        <x:v>2056.626</x:v>
      </x:c>
      <x:c r="C4" s="78" t="n">
        <x:v>1622.742</x:v>
      </x:c>
      <x:c r="D4" s="79" t="n">
        <x:f>IFERROR(C4/B4-1,"")</x:f>
        <x:v>-0.21096883925419607</x:v>
      </x:c>
    </x:row>
    <x:row r="5">
      <x:c r="A5" s="14" t="str">
        <x:v>流动定期存款</x:v>
      </x:c>
      <x:c r="B5" s="37" t="n">
        <x:v>188.375</x:v>
      </x:c>
      <x:c r="C5" s="37" t="n">
        <x:v>171.238</x:v>
      </x:c>
      <x:c r="D5" s="35" t="n">
        <x:f>IFERROR(C5/B5-1,"")</x:f>
        <x:v>-0.09097279362972799</x:v>
      </x:c>
    </x:row>
    <x:row r="6">
      <x:c r="A6" s="14" t="str">
        <x:v>非流动定期存款</x:v>
      </x:c>
      <x:c r="B6" s="37" t="n">
        <x:v>207.633</x:v>
      </x:c>
      <x:c r="C6" s="37" t="n">
        <x:v>210.586</x:v>
      </x:c>
      <x:c r="D6" s="35" t="n">
        <x:f>IFERROR(C6/B6-1,"")</x:f>
        <x:v>0.014222209379048723</x:v>
      </x:c>
    </x:row>
    <x:row r="7">
      <x:c r="A7" s="14" t="str">
        <x:v>FVTPL现金管理产品</x:v>
      </x:c>
      <x:c r="B7" s="37" t="n">
        <x:v>589.176</x:v>
      </x:c>
      <x:c r="C7" s="37" t="n">
        <x:v>311.892</x:v>
      </x:c>
      <x:c r="D7" s="35" t="n">
        <x:f>IFERROR(C7/B7-1,"")</x:f>
        <x:v>-0.47063016823495873</x:v>
      </x:c>
    </x:row>
    <x:row r="8">
      <x:c r="A8" s="80" t="str">
        <x:v>研究口径现金类资产</x:v>
      </x:c>
      <x:c r="B8" s="126" t="n">
        <x:f>SUM(B4:B7)</x:f>
        <x:v>3041.81</x:v>
      </x:c>
      <x:c r="C8" s="126" t="n">
        <x:f>SUM(C4:C7)</x:f>
        <x:v>2316.458</x:v>
      </x:c>
      <x:c r="D8" s="82" t="n">
        <x:f>IFERROR(C8/B8-1,"")</x:f>
        <x:v>-0.23846065336099231</x:v>
      </x:c>
    </x:row>
    <x:row r="9">
      <x:c r="A9" s="14" t="str">
        <x:v>受限制存款</x:v>
      </x:c>
      <x:c r="B9" s="37" t="n">
        <x:v>96.395</x:v>
      </x:c>
      <x:c r="C9" s="37" t="n">
        <x:v>109.272</x:v>
      </x:c>
      <x:c r="D9" s="35" t="n">
        <x:f>IFERROR(C9/B9-1,"")</x:f>
        <x:v>0.13358576689662338</x:v>
      </x:c>
    </x:row>
    <x:row r="10">
      <x:c r="A10" s="14" t="str">
        <x:v>存货</x:v>
      </x:c>
      <x:c r="B10" s="37" t="n">
        <x:v>576.326</x:v>
      </x:c>
      <x:c r="C10" s="37" t="n">
        <x:v>558.421</x:v>
      </x:c>
      <x:c r="D10" s="35" t="n">
        <x:f>IFERROR(C10/B10-1,"")</x:f>
        <x:v>-0.031067486110291642</x:v>
      </x:c>
    </x:row>
    <x:row r="11">
      <x:c r="A11" s="83" t="str">
        <x:v>商誉</x:v>
      </x:c>
      <x:c r="B11" s="127" t="n">
        <x:v>1106.076</x:v>
      </x:c>
      <x:c r="C11" s="127" t="n">
        <x:v>940.923</x:v>
      </x:c>
      <x:c r="D11" s="85" t="n">
        <x:f>IFERROR(C11/B11-1,"")</x:f>
        <x:v>-0.14931433283065543</x:v>
      </x:c>
    </x:row>
    <x:row r="12">
      <x:c r="A12" s="83" t="str">
        <x:v>墓园资产</x:v>
      </x:c>
      <x:c r="B12" s="127" t="n">
        <x:v>1995.409</x:v>
      </x:c>
      <x:c r="C12" s="127" t="n">
        <x:v>1922.097</x:v>
      </x:c>
      <x:c r="D12" s="85" t="n">
        <x:f>IFERROR(C12/B12-1,"")</x:f>
        <x:v>-0.03674033744460414</x:v>
      </x:c>
    </x:row>
    <x:row r="13">
      <x:c r="A13" s="14" t="str">
        <x:v>流动资产</x:v>
      </x:c>
      <x:c r="B13" s="37" t="n">
        <x:v>3556.984</x:v>
      </x:c>
      <x:c r="C13" s="37" t="n">
        <x:v>2848.119</x:v>
      </x:c>
      <x:c r="D13" s="35" t="n">
        <x:f>IFERROR(C13/B13-1,"")</x:f>
        <x:v>-0.19928821720873635</x:v>
      </x:c>
    </x:row>
    <x:row r="14">
      <x:c r="A14" s="14" t="str">
        <x:v>流动负债</x:v>
      </x:c>
      <x:c r="B14" s="37" t="n">
        <x:v>1163.42</x:v>
      </x:c>
      <x:c r="C14" s="37" t="n">
        <x:v>1557.568</x:v>
      </x:c>
      <x:c r="D14" s="35" t="n">
        <x:f>IFERROR(C14/B14-1,"")</x:f>
        <x:v>0.3387839301370097</x:v>
      </x:c>
    </x:row>
    <x:row r="15">
      <x:c r="A15" s="14" t="str">
        <x:v>流动比率</x:v>
      </x:c>
      <x:c r="B15" s="128" t="n">
        <x:f>B13/B14</x:f>
        <x:v>3.057351601313369</x:v>
      </x:c>
      <x:c r="C15" s="128" t="n">
        <x:f>C13/C14</x:f>
        <x:v>1.8285679983153225</x:v>
      </x:c>
      <x:c r="D15" s="128" t="n">
        <x:f>C15-B15</x:f>
        <x:v>-1.2287836029980466</x:v>
      </x:c>
    </x:row>
    <x:row r="16">
      <x:c r="A16" s="14" t="str">
        <x:v>银行借款</x:v>
      </x:c>
      <x:c r="B16" s="37" t="n">
        <x:v>0</x:v>
      </x:c>
      <x:c r="C16" s="37" t="n">
        <x:v>0</x:v>
      </x:c>
      <x:c r="D16" s="35" t="str">
        <x:f>IFERROR(C16/B16-1,"")</x:f>
      </x:c>
    </x:row>
    <x:row r="17">
      <x:c r="A17" s="14" t="str">
        <x:v>含NCI贷款及租赁负债</x:v>
      </x:c>
      <x:c r="B17" s="37" t="n">
        <x:v>161.762</x:v>
      </x:c>
      <x:c r="C17" s="37" t="n">
        <x:v>134.804</x:v>
      </x:c>
      <x:c r="D17" s="35" t="n">
        <x:f>IFERROR(C17/B17-1,"")</x:f>
        <x:v>-0.16665224218296015</x:v>
      </x:c>
    </x:row>
    <x:row r="18">
      <x:c r="A18" s="103" t="str">
        <x:v>归母净资产</x:v>
      </x:c>
      <x:c r="B18" s="129" t="n">
        <x:v>5561.154</x:v>
      </x:c>
      <x:c r="C18" s="129" t="n">
        <x:v>4291.235</x:v>
      </x:c>
      <x:c r="D18" s="130" t="n">
        <x:f>IFERROR(C18/B18-1,"")</x:f>
        <x:v>-0.22835530179527497</x:v>
      </x:c>
    </x:row>
    <x:row r="19">
      <x:c r="A19" s="103" t="str">
        <x:v>少数股东权益</x:v>
      </x:c>
      <x:c r="B19" s="129" t="n">
        <x:v>594.674</x:v>
      </x:c>
      <x:c r="C19" s="129" t="n">
        <x:v>574.396</x:v>
      </x:c>
      <x:c r="D19" s="130" t="n">
        <x:f>IFERROR(C19/B19-1,"")</x:f>
        <x:v>-0.034099355277008914</x:v>
      </x:c>
    </x:row>
    <x:row r="20">
      <x:c r="A20" s="131" t="str">
        <x:v>总权益</x:v>
      </x:c>
      <x:c r="B20" s="132" t="n">
        <x:v>6155.828</x:v>
      </x:c>
      <x:c r="C20" s="132" t="n">
        <x:v>4865.631</x:v>
      </x:c>
      <x:c r="D20" s="133" t="n">
        <x:f>IFERROR(C20/B20-1,"")</x:f>
        <x:v>-0.20958951419695293</x:v>
      </x:c>
    </x:row>
    <x:row r="23">
      <x:c r="A23" s="19" t="str">
        <x:v>现金流与股息（RMB mn）</x:v>
      </x:c>
      <x:c r="B23" s="20" t="str">
        <x:v>2024A</x:v>
      </x:c>
      <x:c r="C23" s="20" t="str">
        <x:v>2025H1</x:v>
      </x:c>
      <x:c r="D23" s="20" t="str">
        <x:v>同比/变化</x:v>
      </x:c>
      <x:c r="E23" s="20" t="str">
        <x:v>判断</x:v>
      </x:c>
      <x:c r="F23" s="21" t="str">
        <x:v>说明</x:v>
      </x:c>
    </x:row>
    <x:row r="24">
      <x:c r="A24" s="11" t="str">
        <x:v>IFRS经营现金流</x:v>
      </x:c>
      <x:c r="B24" s="134" t="n">
        <x:v>708.5</x:v>
      </x:c>
      <x:c r="C24" s="134" t="n">
        <x:v>56.94</x:v>
      </x:c>
      <x:c r="D24" s="79" t="n">
        <x:v>-0.832</x:v>
      </x:c>
      <x:c r="E24" s="11" t="str">
        <x:v>显著下滑</x:v>
      </x:c>
      <x:c r="F24" s="11" t="str">
        <x:v>收入与回款下降</x:v>
      </x:c>
    </x:row>
    <x:row r="25">
      <x:c r="A25" s="14" t="str">
        <x:v>管理层调整CFO</x:v>
      </x:c>
      <x:c r="B25" s="36" t="n">
        <x:v>731.628</x:v>
      </x:c>
      <x:c r="C25" s="36" t="n">
        <x:v>63.665</x:v>
      </x:c>
      <x:c r="D25" s="35" t="n">
        <x:v>-0.913</x:v>
      </x:c>
      <x:c r="E25" s="14" t="str">
        <x:v>非IFRS</x:v>
      </x:c>
      <x:c r="F25" s="14" t="str">
        <x:v>将墓地取得款重分类</x:v>
      </x:c>
    </x:row>
    <x:row r="26">
      <x:c r="A26" s="14" t="str">
        <x:v>资本支出/设施投入</x:v>
      </x:c>
      <x:c r="B26" s="36" t="n">
        <x:v>78.729</x:v>
      </x:c>
      <x:c r="C26" s="36" t="n">
        <x:v>72.2</x:v>
      </x:c>
      <x:c r="D26" s="35"/>
      <x:c r="E26" s="14" t="str">
        <x:v>仍投入</x:v>
      </x:c>
      <x:c r="F26" s="14" t="str">
        <x:v>不含全部营运墓位开发</x:v>
      </x:c>
    </x:row>
    <x:row r="27">
      <x:c r="A27" s="14" t="str">
        <x:v>简化FCF</x:v>
      </x:c>
      <x:c r="B27" s="36" t="n">
        <x:f>B24-B26</x:f>
        <x:v>629.771</x:v>
      </x:c>
      <x:c r="C27" s="36" t="n">
        <x:f>C24-C26</x:f>
        <x:v>-15.260000000000005</x:v>
      </x:c>
      <x:c r="D27" s="35" t="n">
        <x:f>C27/B27-1</x:f>
        <x:v>-1.024231030009321</x:v>
      </x:c>
      <x:c r="E27" s="14" t="str">
        <x:v>转弱</x:v>
      </x:c>
      <x:c r="F27" s="14" t="str">
        <x:v>IFRS CFO-设施资本支出</x:v>
      </x:c>
    </x:row>
    <x:row r="28">
      <x:c r="A28" s="83" t="str">
        <x:v>2025H1确认股息</x:v>
      </x:c>
      <x:c r="B28" s="84"/>
      <x:c r="C28" s="84" t="n">
        <x:v>1020.397</x:v>
      </x:c>
      <x:c r="D28" s="85"/>
      <x:c r="E28" s="83" t="str">
        <x:v>激进</x:v>
      </x:c>
      <x:c r="F28" s="83" t="str">
        <x:v>末期+特别股息</x:v>
      </x:c>
    </x:row>
    <x:row r="29">
      <x:c r="A29" s="83" t="str">
        <x:v>2025H1已付母公司股息</x:v>
      </x:c>
      <x:c r="B29" s="84"/>
      <x:c r="C29" s="84" t="n">
        <x:v>561.367</x:v>
      </x:c>
      <x:c r="D29" s="85"/>
      <x:c r="E29" s="83" t="str">
        <x:v>现金流出</x:v>
      </x:c>
      <x:c r="F29" s="83" t="str">
        <x:v>尚有应付股息</x:v>
      </x:c>
    </x:row>
    <x:row r="30">
      <x:c r="A30" s="135" t="str">
        <x:v>期末应付股息</x:v>
      </x:c>
      <x:c r="B30" s="136" t="n">
        <x:v>110.124</x:v>
      </x:c>
      <x:c r="C30" s="136" t="n">
        <x:v>448.655</x:v>
      </x:c>
      <x:c r="D30" s="137" t="n">
        <x:v>3.074</x:v>
      </x:c>
      <x:c r="E30" s="135" t="str">
        <x:v>上升</x:v>
      </x:c>
      <x:c r="F30" s="135" t="str">
        <x:v>后续现金约束</x:v>
      </x:c>
    </x:row>
    <x:row r="33">
      <x:c r="A33" s="138" t="str">
        <x:v>注意：现金类资产为研究口径，不等于可自由分配现金。维护基金、应付股息、潜在追偿/罚款、审计调整和停牌治理成本均可能降低实际股东可得价值。</x:v>
      </x:c>
      <x:c r="B33" s="138" t="str">
        <x:v>注意：现金类资产为研究口径，不等于可自由分配现金。维护基金、应付股息、潜在追偿/罚款、审计调整和停牌治理成本均可能降低实际股东可得价值。</x:v>
      </x:c>
      <x:c r="C33" s="138" t="str">
        <x:v>注意：现金类资产为研究口径，不等于可自由分配现金。维护基金、应付股息、潜在追偿/罚款、审计调整和停牌治理成本均可能降低实际股东可得价值。</x:v>
      </x:c>
      <x:c r="D33" s="138" t="str">
        <x:v>注意：现金类资产为研究口径，不等于可自由分配现金。维护基金、应付股息、潜在追偿/罚款、审计调整和停牌治理成本均可能降低实际股东可得价值。</x:v>
      </x:c>
      <x:c r="E33" s="138" t="str">
        <x:v>注意：现金类资产为研究口径，不等于可自由分配现金。维护基金、应付股息、潜在追偿/罚款、审计调整和停牌治理成本均可能降低实际股东可得价值。</x:v>
      </x:c>
      <x:c r="F33" s="138" t="str">
        <x:v>注意：现金类资产为研究口径，不等于可自由分配现金。维护基金、应付股息、潜在追偿/罚款、审计调整和停牌治理成本均可能降低实际股东可得价值。</x:v>
      </x:c>
    </x:row>
  </x:sheetData>
  <x:mergeCells>
    <x:mergeCell ref="A1:F1"/>
    <x:mergeCell ref="A33:F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5" hidden="0" customWidth="1"/>
    <x:col min="8" max="8" width="18" hidden="0" customWidth="1"/>
  </x:cols>
  <x:sheetData>
    <x:row r="1" ht="30" customHeight="1">
      <x:c r="A1" s="3" t="str">
        <x:v>停牌特殊情形估值</x:v>
      </x:c>
      <x:c r="B1" s="3" t="str">
        <x:v>停牌特殊情形估值</x:v>
      </x:c>
      <x:c r="C1" s="3" t="str">
        <x:v>停牌特殊情形估值</x:v>
      </x:c>
      <x:c r="D1" s="3" t="str">
        <x:v>停牌特殊情形估值</x:v>
      </x:c>
      <x:c r="E1" s="3" t="str">
        <x:v>停牌特殊情形估值</x:v>
      </x:c>
      <x:c r="F1" s="3" t="str">
        <x:v>停牌特殊情形估值</x:v>
      </x:c>
      <x:c r="G1" s="3" t="str">
        <x:v>停牌特殊情形估值</x:v>
      </x:c>
      <x:c r="H1" s="3" t="str">
        <x:v>停牌特殊情形估值</x:v>
      </x:c>
    </x:row>
    <x:row r="3">
      <x:c r="A3" s="19" t="str">
        <x:v>核心输入</x:v>
      </x:c>
      <x:c r="B3" s="20" t="str">
        <x:v>数值</x:v>
      </x:c>
      <x:c r="C3" s="21" t="str">
        <x:v>说明</x:v>
      </x:c>
    </x:row>
    <x:row r="4">
      <x:c r="A4" s="11" t="str">
        <x:v>停牌前价格</x:v>
      </x:c>
      <x:c r="B4" s="33" t="n">
        <x:v>2.64</x:v>
      </x:c>
      <x:c r="C4" s="11" t="str">
        <x:v>2026-03-19，HKD/股</x:v>
      </x:c>
    </x:row>
    <x:row r="5">
      <x:c r="A5" s="14" t="str">
        <x:v>2025H1归母NAV/股</x:v>
      </x:c>
      <x:c r="B5" s="34" t="n">
        <x:v>2.18</x:v>
      </x:c>
      <x:c r="C5" s="14" t="str">
        <x:v>未经审计；要约公告换算</x:v>
      </x:c>
    </x:row>
    <x:row r="6">
      <x:c r="A6" s="14" t="str">
        <x:v>已发行股本</x:v>
      </x:c>
      <x:c r="B6" s="146" t="n">
        <x:v>2319.863422</x:v>
      </x:c>
      <x:c r="C6" s="14" t="str">
        <x:v>mn shares，截至2026-09-01</x:v>
      </x:c>
    </x:row>
    <x:row r="7">
      <x:c r="A7" s="16" t="str">
        <x:v>RMB/HKD</x:v>
      </x:c>
      <x:c r="B7" s="147" t="n">
        <x:v>1.175</x:v>
      </x:c>
      <x:c r="C7" s="16" t="str">
        <x:v>要约公告采用</x:v>
      </x:c>
    </x:row>
    <x:row r="9">
      <x:c r="A9" s="19" t="str">
        <x:v>情景</x:v>
      </x:c>
      <x:c r="B9" s="20" t="str">
        <x:v>NAV风险折价</x:v>
      </x:c>
      <x:c r="C9" s="20" t="str">
        <x:v>保留比例</x:v>
      </x:c>
      <x:c r="D9" s="20" t="str">
        <x:v>每股价值</x:v>
      </x:c>
      <x:c r="E9" s="20" t="str">
        <x:v>相对停牌前价</x:v>
      </x:c>
      <x:c r="F9" s="20" t="str">
        <x:v>对应股权价值（HKD mn）</x:v>
      </x:c>
      <x:c r="G9" s="21" t="str">
        <x:v>情景含义</x:v>
      </x:c>
    </x:row>
    <x:row r="10">
      <x:c r="A10" s="11" t="str">
        <x:v>Bear</x:v>
      </x:c>
      <x:c r="B10" s="163" t="n">
        <x:v>0.65</x:v>
      </x:c>
      <x:c r="C10" s="163" t="n">
        <x:f>1-B10</x:f>
        <x:v>0.35</x:v>
      </x:c>
      <x:c r="D10" s="164" t="n">
        <x:f>$B$5*C10</x:f>
        <x:v>0.763</x:v>
      </x:c>
      <x:c r="E10" s="79" t="n">
        <x:f>D10/$B$4-1</x:f>
        <x:v>-0.7109848484848484</x:v>
      </x:c>
      <x:c r="F10" s="78" t="n">
        <x:f>D10*$B$6</x:f>
        <x:v>1770.055790986</x:v>
      </x:c>
      <x:c r="G10" s="11" t="str">
        <x:v>调查扩大、报表重述或长期不能复牌</x:v>
      </x:c>
    </x:row>
    <x:row r="11">
      <x:c r="A11" s="165" t="str">
        <x:v>Base</x:v>
      </x:c>
      <x:c r="B11" s="166" t="n">
        <x:v>0.4</x:v>
      </x:c>
      <x:c r="C11" s="166" t="n">
        <x:f>1-B11</x:f>
        <x:v>0.6</x:v>
      </x:c>
      <x:c r="D11" s="167" t="n">
        <x:f>$B$5*C11</x:f>
        <x:v>1.308</x:v>
      </x:c>
      <x:c r="E11" s="168" t="n">
        <x:f>D11/$B$4-1</x:f>
        <x:v>-0.5045454545454546</x:v>
      </x:c>
      <x:c r="F11" s="169" t="n">
        <x:f>D11*$B$6</x:f>
        <x:v>3034.381355976</x:v>
      </x:c>
      <x:c r="G11" s="165" t="str">
        <x:v>损失可控但治理修复耗时、利润率长期下台阶</x:v>
      </x:c>
    </x:row>
    <x:row r="12">
      <x:c r="A12" s="16" t="str">
        <x:v>Bull</x:v>
      </x:c>
      <x:c r="B12" s="170" t="n">
        <x:v>0.15</x:v>
      </x:c>
      <x:c r="C12" s="170" t="n">
        <x:f>1-B12</x:f>
        <x:v>0.85</x:v>
      </x:c>
      <x:c r="D12" s="171" t="n">
        <x:f>$B$5*C12</x:f>
        <x:v>1.853</x:v>
      </x:c>
      <x:c r="E12" s="38" t="n">
        <x:f>D12/$B$4-1</x:f>
        <x:v>-0.2981060606060606</x:v>
      </x:c>
      <x:c r="F12" s="113" t="n">
        <x:f>D12*$B$6</x:f>
        <x:v>4298.706920965999</x:v>
      </x:c>
      <x:c r="G12" s="16" t="str">
        <x:v>调查范围有限、审计完成并复牌</x:v>
      </x:c>
    </x:row>
    <x:row r="15">
      <x:c r="A15" s="19" t="str">
        <x:v>盈利交叉验证</x:v>
      </x:c>
      <x:c r="B15" s="20" t="str">
        <x:v>正常化归母净利润（RMB mn）</x:v>
      </x:c>
      <x:c r="C15" s="20" t="str">
        <x:v>P/E</x:v>
      </x:c>
      <x:c r="D15" s="20" t="str">
        <x:v>RMB价值（mn）</x:v>
      </x:c>
      <x:c r="E15" s="20" t="str">
        <x:v>HKD每股价值</x:v>
      </x:c>
      <x:c r="F15" s="20" t="str">
        <x:v>与NAV法差异</x:v>
      </x:c>
      <x:c r="G15" s="21" t="str">
        <x:v>说明</x:v>
      </x:c>
    </x:row>
    <x:row r="16">
      <x:c r="A16" s="11" t="str">
        <x:v>Bear</x:v>
      </x:c>
      <x:c r="B16" s="187" t="n">
        <x:v>100</x:v>
      </x:c>
      <x:c r="C16" s="188" t="n">
        <x:v>6</x:v>
      </x:c>
      <x:c r="D16" s="187" t="n">
        <x:f>B16*C16</x:f>
        <x:v>600</x:v>
      </x:c>
      <x:c r="E16" s="189" t="n">
        <x:f>D16*$B$7/$B$6</x:f>
        <x:v>0.30389720072063797</x:v>
      </x:c>
      <x:c r="F16" s="189" t="n">
        <x:f>E16-D10</x:f>
        <x:v>-0.45910279927936204</x:v>
      </x:c>
      <x:c r="G16" s="11" t="str">
        <x:v>利润长期受压</x:v>
      </x:c>
    </x:row>
    <x:row r="17">
      <x:c r="A17" s="165" t="str">
        <x:v>Base</x:v>
      </x:c>
      <x:c r="B17" s="190" t="n">
        <x:v>300</x:v>
      </x:c>
      <x:c r="C17" s="191" t="n">
        <x:v>8</x:v>
      </x:c>
      <x:c r="D17" s="190" t="n">
        <x:f>B17*C17</x:f>
        <x:v>2400</x:v>
      </x:c>
      <x:c r="E17" s="192" t="n">
        <x:f>D17*$B$7/$B$6</x:f>
        <x:v>1.2155888028825519</x:v>
      </x:c>
      <x:c r="F17" s="192" t="n">
        <x:f>E17-D11</x:f>
        <x:v>-0.09241119711744816</x:v>
      </x:c>
      <x:c r="G17" s="165" t="str">
        <x:v>低于2024但恢复盈利</x:v>
      </x:c>
    </x:row>
    <x:row r="18">
      <x:c r="A18" s="16" t="str">
        <x:v>Bull</x:v>
      </x:c>
      <x:c r="B18" s="193" t="n">
        <x:v>450</x:v>
      </x:c>
      <x:c r="C18" s="194" t="n">
        <x:v>12</x:v>
      </x:c>
      <x:c r="D18" s="193" t="n">
        <x:f>B18*C18</x:f>
        <x:v>5400</x:v>
      </x:c>
      <x:c r="E18" s="195" t="n">
        <x:f>D18*$B$7/$B$6</x:f>
        <x:v>2.7350748064857417</x:v>
      </x:c>
      <x:c r="F18" s="195" t="n">
        <x:f>E18-D12</x:f>
        <x:v>0.8820748064857418</x:v>
      </x:c>
      <x:c r="G18" s="16" t="str">
        <x:v>接近历史中枢且治理修复</x:v>
      </x:c>
    </x:row>
    <x:row r="21">
      <x:c r="A21" s="19" t="str">
        <x:v>NAV折价敏感性（HKD/股）</x:v>
      </x:c>
      <x:c r="B21" s="20" t="str">
        <x:v>NAV折价敏感性（HKD/股）</x:v>
      </x:c>
      <x:c r="C21" s="20" t="str">
        <x:v>NAV折价敏感性（HKD/股）</x:v>
      </x:c>
      <x:c r="D21" s="20" t="str">
        <x:v>NAV折价敏感性（HKD/股）</x:v>
      </x:c>
      <x:c r="E21" s="20" t="str">
        <x:v>NAV折价敏感性（HKD/股）</x:v>
      </x:c>
      <x:c r="F21" s="20" t="str">
        <x:v>NAV折价敏感性（HKD/股）</x:v>
      </x:c>
      <x:c r="G21" s="20" t="str">
        <x:v>NAV折价敏感性（HKD/股）</x:v>
      </x:c>
      <x:c r="H21" s="21" t="str">
        <x:v>NAV折价敏感性（HKD/股）</x:v>
      </x:c>
    </x:row>
    <x:row r="22">
      <x:c r="A22" s="44" t="str">
        <x:v>折价</x:v>
      </x:c>
      <x:c r="B22" s="196" t="n">
        <x:v>0.1</x:v>
      </x:c>
      <x:c r="C22" s="196" t="n">
        <x:v>0.2</x:v>
      </x:c>
      <x:c r="D22" s="196" t="n">
        <x:v>0.3</x:v>
      </x:c>
      <x:c r="E22" s="196" t="n">
        <x:v>0.4</x:v>
      </x:c>
      <x:c r="F22" s="196" t="n">
        <x:v>0.5</x:v>
      </x:c>
      <x:c r="G22" s="196" t="n">
        <x:v>0.6</x:v>
      </x:c>
      <x:c r="H22" s="197" t="n">
        <x:v>0.7</x:v>
      </x:c>
    </x:row>
    <x:row r="23">
      <x:c r="A23" s="8" t="str">
        <x:v>每股价值</x:v>
      </x:c>
      <x:c r="B23" s="29" t="n">
        <x:f>$B$5*(1-B$22)</x:f>
        <x:v>1.9620000000000002</x:v>
      </x:c>
      <x:c r="C23" s="29" t="n">
        <x:f>$B$5*(1-C$22)</x:f>
        <x:v>1.7440000000000002</x:v>
      </x:c>
      <x:c r="D23" s="29" t="n">
        <x:f>$B$5*(1-D$22)</x:f>
        <x:v>1.526</x:v>
      </x:c>
      <x:c r="E23" s="29" t="n">
        <x:f>$B$5*(1-E$22)</x:f>
        <x:v>1.308</x:v>
      </x:c>
      <x:c r="F23" s="29" t="n">
        <x:f>$B$5*(1-F$22)</x:f>
        <x:v>1.09</x:v>
      </x:c>
      <x:c r="G23" s="29" t="n">
        <x:f>$B$5*(1-G$22)</x:f>
        <x:v>0.8720000000000001</x:v>
      </x:c>
      <x:c r="H23" s="29" t="n">
        <x:f>$B$5*(1-H$22)</x:f>
        <x:v>0.6540000000000001</x:v>
      </x:c>
    </x:row>
    <x:row r="26">
      <x:c r="A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B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C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D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E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F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G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H26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</x:row>
    <x:row r="27">
      <x:c r="A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B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C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D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E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F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G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H27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</x:row>
    <x:row r="28">
      <x:c r="A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B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C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D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E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F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G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  <x:c r="H28" s="198" t="str">
        <x:v>估值限制：主方法从2025H1未经审计NAV出发，已经包含当时已确认减值和股息影响，但无法反映2025下半年至2026年的真实经营、潜在重述、资金挪用、罚款或进一步减值。折价覆盖治理、会计、资产可回收性、停牌流动性和退市风险；0.10港元部分要约规模小、附先决条件且无控制意图，不作为公平价值锚。</x:v>
      </x:c>
    </x:row>
  </x:sheetData>
  <x:mergeCells>
    <x:mergeCell ref="A1:H1"/>
    <x:mergeCell ref="A21:H21"/>
    <x:mergeCell ref="A26:H28"/>
  </x:mergeCells>
  <x:conditionalFormatting sqref="B23:H2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0" hidden="0" customWidth="1"/>
  </x:cols>
  <x:sheetData>
    <x:row r="1" ht="30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  <x:c r="G1" s="3" t="str">
        <x:v>模型检查</x:v>
      </x:c>
    </x:row>
    <x:row r="2">
      <x:c r="A2" t="str">
        <x:v>总体模型状态</x:v>
      </x:c>
      <x:c r="B2" t="str">
        <x:v>总体模型状态</x:v>
      </x:c>
      <x:c r="C2" t="str">
        <x:v>总体模型状态</x:v>
      </x:c>
      <x:c r="D2" t="str">
        <x:v>总体模型状态</x:v>
      </x:c>
      <x:c r="E2" t="str">
        <x:v>总体模型状态</x:v>
      </x:c>
      <x:c r="F2" t="str">
        <x:f>IF(COUNTIF(F5:F15,"FAIL")=0,"OK","FAIL")</x:f>
        <x:v>OK</x:v>
      </x:c>
    </x:row>
    <x:row r="4">
      <x:c r="A4" s="19" t="str">
        <x:v>检查项</x:v>
      </x:c>
      <x:c r="B4" s="20" t="str">
        <x:v>实际值</x:v>
      </x:c>
      <x:c r="C4" s="20" t="str">
        <x:v>预期/阈值</x:v>
      </x:c>
      <x:c r="D4" s="20" t="str">
        <x:v>差异</x:v>
      </x:c>
      <x:c r="E4" s="20" t="str">
        <x:v>容差</x:v>
      </x:c>
      <x:c r="F4" s="20" t="str">
        <x:v>状态</x:v>
      </x:c>
      <x:c r="G4" s="21" t="str">
        <x:v>说明</x:v>
      </x:c>
    </x:row>
    <x:row r="5">
      <x:c r="A5" s="11" t="str">
        <x:v>2025H1收入同比</x:v>
      </x:c>
      <x:c r="B5" s="201" t="n">
        <x:f>'Historical'!F4</x:f>
        <x:v>-0.44467727463224693</x:v>
      </x:c>
      <x:c r="C5" s="201" t="n">
        <x:f>'Historical'!E4/'Historical'!D4-1</x:f>
        <x:v>-0.44467727463224693</x:v>
      </x:c>
      <x:c r="D5" s="201" t="n">
        <x:f>B5-C5</x:f>
        <x:v>0</x:v>
      </x:c>
      <x:c r="E5" s="201" t="n">
        <x:f>0.0001</x:f>
        <x:v>0.0001</x:v>
      </x:c>
      <x:c r="F5" s="11" t="str">
        <x:f>IF(ABS(D5)&lt;=E5,"OK","FAIL")</x:f>
        <x:v>OK</x:v>
      </x:c>
      <x:c r="G5" s="11" t="str">
        <x:v>半年度同比</x:v>
      </x:c>
    </x:row>
    <x:row r="6">
      <x:c r="A6" s="14" t="str">
        <x:v>2025H1墓位ASP</x:v>
      </x:c>
      <x:c r="B6" s="202" t="n">
        <x:f>'Operations'!E6</x:f>
        <x:v>63.35582920198304</x:v>
      </x:c>
      <x:c r="C6" s="202" t="n">
        <x:f>'Operations'!E5/'Operations'!E4*1000</x:f>
        <x:v>63.35582920198304</x:v>
      </x:c>
      <x:c r="D6" s="202" t="n">
        <x:f>B6-C6</x:f>
        <x:v>0</x:v>
      </x:c>
      <x:c r="E6" s="202" t="n">
        <x:f>0.0001</x:f>
        <x:v>0.0001</x:v>
      </x:c>
      <x:c r="F6" s="14" t="str">
        <x:f>IF(ABS(D6)&lt;=E6,"OK","FAIL")</x:f>
        <x:v>OK</x:v>
      </x:c>
      <x:c r="G6" s="14" t="str">
        <x:v>收入/销量</x:v>
      </x:c>
    </x:row>
    <x:row r="7">
      <x:c r="A7" s="14" t="str">
        <x:v>加回减值经营利润</x:v>
      </x:c>
      <x:c r="B7" s="202" t="n">
        <x:f>'Historical'!E12</x:f>
        <x:v>-11.61099999999999</x:v>
      </x:c>
      <x:c r="C7" s="202" t="n">
        <x:f>'Historical'!E9+'Historical'!E11</x:f>
        <x:v>-11.61099999999999</x:v>
      </x:c>
      <x:c r="D7" s="202" t="n">
        <x:f>B7-C7</x:f>
        <x:v>0</x:v>
      </x:c>
      <x:c r="E7" s="202" t="n">
        <x:f>0.0001</x:f>
        <x:v>0.0001</x:v>
      </x:c>
      <x:c r="F7" s="14" t="str">
        <x:f>IF(ABS(D7)&lt;=E7,"OK","FAIL")</x:f>
        <x:v>OK</x:v>
      </x:c>
      <x:c r="G7" s="14" t="str">
        <x:v>经营利润+减值</x:v>
      </x:c>
    </x:row>
    <x:row r="8">
      <x:c r="A8" s="14" t="str">
        <x:v>现金类资产桥</x:v>
      </x:c>
      <x:c r="B8" s="202" t="n">
        <x:f>'Balance &amp; Cash'!C8</x:f>
        <x:v>2316.458</x:v>
      </x:c>
      <x:c r="C8" s="202" t="n">
        <x:f>SUM('Balance &amp; Cash'!C4:C7)</x:f>
        <x:v>2316.458</x:v>
      </x:c>
      <x:c r="D8" s="202" t="n">
        <x:f>B8-C8</x:f>
        <x:v>0</x:v>
      </x:c>
      <x:c r="E8" s="202" t="n">
        <x:f>0.0001</x:f>
        <x:v>0.0001</x:v>
      </x:c>
      <x:c r="F8" s="14" t="str">
        <x:f>IF(ABS(D8)&lt;=E8,"OK","FAIL")</x:f>
        <x:v>OK</x:v>
      </x:c>
      <x:c r="G8" s="14" t="str">
        <x:v>现金+定存+FVTPL</x:v>
      </x:c>
    </x:row>
    <x:row r="9">
      <x:c r="A9" s="14" t="str">
        <x:v>流动比率桥</x:v>
      </x:c>
      <x:c r="B9" s="202" t="n">
        <x:f>'Balance &amp; Cash'!C15</x:f>
        <x:v>1.8285679983153225</x:v>
      </x:c>
      <x:c r="C9" s="202" t="n">
        <x:f>'Balance &amp; Cash'!C13/'Balance &amp; Cash'!C14</x:f>
        <x:v>1.8285679983153225</x:v>
      </x:c>
      <x:c r="D9" s="202" t="n">
        <x:f>B9-C9</x:f>
        <x:v>0</x:v>
      </x:c>
      <x:c r="E9" s="202" t="n">
        <x:f>0.0001</x:f>
        <x:v>0.0001</x:v>
      </x:c>
      <x:c r="F9" s="14" t="str">
        <x:f>IF(ABS(D9)&lt;=E9,"OK","FAIL")</x:f>
        <x:v>OK</x:v>
      </x:c>
      <x:c r="G9" s="14" t="str">
        <x:v>流动资产/流动负债</x:v>
      </x:c>
    </x:row>
    <x:row r="10">
      <x:c r="A10" s="14" t="str">
        <x:v>归母+NCI=总权益</x:v>
      </x:c>
      <x:c r="B10" s="202" t="n">
        <x:f>'Balance &amp; Cash'!C20</x:f>
        <x:v>4865.631</x:v>
      </x:c>
      <x:c r="C10" s="202" t="n">
        <x:f>'Balance &amp; Cash'!C18+'Balance &amp; Cash'!C19</x:f>
        <x:v>4865.630999999999</x:v>
      </x:c>
      <x:c r="D10" s="202" t="n">
        <x:f>B10-C10</x:f>
        <x:v>9.094947017729282e-13</x:v>
      </x:c>
      <x:c r="E10" s="202" t="n">
        <x:f>0.0001</x:f>
        <x:v>0.0001</x:v>
      </x:c>
      <x:c r="F10" s="14" t="str">
        <x:f>IF(ABS(D10)&lt;=E10,"OK","FAIL")</x:f>
        <x:v>OK</x:v>
      </x:c>
      <x:c r="G10" s="14" t="str">
        <x:v>权益勾稽</x:v>
      </x:c>
    </x:row>
    <x:row r="11">
      <x:c r="A11" s="14" t="str">
        <x:v>Base NAV价值</x:v>
      </x:c>
      <x:c r="B11" s="202" t="n">
        <x:f>'Valuation'!D11</x:f>
        <x:v>1.308</x:v>
      </x:c>
      <x:c r="C11" s="202" t="n">
        <x:f>'Valuation'!B5*(1-'Valuation'!B11)</x:f>
        <x:v>1.308</x:v>
      </x:c>
      <x:c r="D11" s="202" t="n">
        <x:f>B11-C11</x:f>
        <x:v>0</x:v>
      </x:c>
      <x:c r="E11" s="202" t="n">
        <x:f>0.0001</x:f>
        <x:v>0.0001</x:v>
      </x:c>
      <x:c r="F11" s="14" t="str">
        <x:f>IF(ABS(D11)&lt;=E11,"OK","FAIL")</x:f>
        <x:v>OK</x:v>
      </x:c>
      <x:c r="G11" s="14" t="str">
        <x:v>2.18×60%</x:v>
      </x:c>
    </x:row>
    <x:row r="12">
      <x:c r="A12" s="14" t="str">
        <x:v>Base相对价格</x:v>
      </x:c>
      <x:c r="B12" s="202" t="n">
        <x:f>'Valuation'!E11</x:f>
        <x:v>-0.5045454545454546</x:v>
      </x:c>
      <x:c r="C12" s="202" t="n">
        <x:f>'Valuation'!D11/'Valuation'!B4-1</x:f>
        <x:v>-0.5045454545454546</x:v>
      </x:c>
      <x:c r="D12" s="202" t="n">
        <x:f>B12-C12</x:f>
        <x:v>0</x:v>
      </x:c>
      <x:c r="E12" s="202" t="n">
        <x:f>0.0001</x:f>
        <x:v>0.0001</x:v>
      </x:c>
      <x:c r="F12" s="14" t="str">
        <x:f>IF(ABS(D12)&lt;=E12,"OK","FAIL")</x:f>
        <x:v>OK</x:v>
      </x:c>
      <x:c r="G12" s="14" t="str">
        <x:v>目标价/价格-1</x:v>
      </x:c>
    </x:row>
    <x:row r="13">
      <x:c r="A13" s="14" t="str">
        <x:v>Base盈利交叉估值</x:v>
      </x:c>
      <x:c r="B13" s="202" t="n">
        <x:f>'Valuation'!E17</x:f>
        <x:v>1.2155888028825519</x:v>
      </x:c>
      <x:c r="C13" s="202" t="n">
        <x:f>'Valuation'!B17*'Valuation'!C17*'Valuation'!B7/'Valuation'!B6</x:f>
        <x:v>1.2155888028825519</x:v>
      </x:c>
      <x:c r="D13" s="202" t="n">
        <x:f>B13-C13</x:f>
        <x:v>0</x:v>
      </x:c>
      <x:c r="E13" s="202" t="n">
        <x:f>0.0001</x:f>
        <x:v>0.0001</x:v>
      </x:c>
      <x:c r="F13" s="14" t="str">
        <x:f>IF(ABS(D13)&lt;=E13,"OK","FAIL")</x:f>
        <x:v>OK</x:v>
      </x:c>
      <x:c r="G13" s="14" t="str">
        <x:v>利润×倍数×汇率/股本</x:v>
      </x:c>
    </x:row>
    <x:row r="14">
      <x:c r="A14" s="14" t="str">
        <x:v>情景价值递增</x:v>
      </x:c>
      <x:c r="B14" s="202" t="n">
        <x:f>'Valuation'!D12-'Valuation'!D10</x:f>
        <x:v>1.0899999999999999</x:v>
      </x:c>
      <x:c r="C14" s="202" t="n">
        <x:f>0</x:f>
        <x:v>0</x:v>
      </x:c>
      <x:c r="D14" s="202" t="n">
        <x:f>B14-C14</x:f>
        <x:v>1.0899999999999999</x:v>
      </x:c>
      <x:c r="E14" s="202" t="n">
        <x:f>0</x:f>
        <x:v>0</x:v>
      </x:c>
      <x:c r="F14" s="14" t="str">
        <x:f>IF(B14&gt;C14,"OK","FAIL")</x:f>
        <x:v>OK</x:v>
      </x:c>
      <x:c r="G14" s="14" t="str">
        <x:v>Bull必须高于Bear</x:v>
      </x:c>
    </x:row>
    <x:row r="15">
      <x:c r="A15" s="16" t="str">
        <x:v>股本与每股NAV桥</x:v>
      </x:c>
      <x:c r="B15" s="203" t="n">
        <x:f>'Valuation'!B5</x:f>
        <x:v>2.18</x:v>
      </x:c>
      <x:c r="C15" s="203" t="n">
        <x:f>'Balance &amp; Cash'!C18*'Valuation'!B7/'Valuation'!B6</x:f>
        <x:v>2.1734905068907113</x:v>
      </x:c>
      <x:c r="D15" s="203" t="n">
        <x:f>B15-C15</x:f>
        <x:v>0.006509493109288833</x:v>
      </x:c>
      <x:c r="E15" s="203" t="n">
        <x:f>0.05</x:f>
        <x:v>0.05</x:v>
      </x:c>
      <x:c r="F15" s="16" t="str">
        <x:f>IF(ABS(D15)&lt;=E15,"OK","FAIL")</x:f>
        <x:v>OK</x:v>
      </x:c>
      <x:c r="G15" s="16" t="str">
        <x:v>存在股本时点差，允许0.05港元</x:v>
      </x:c>
    </x:row>
  </x:sheetData>
  <x:mergeCells>
    <x:mergeCell ref="A1:G1"/>
    <x:mergeCell ref="A2:E2"/>
  </x:mergeCells>
  <x:conditionalFormatting sqref="F2:F15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  <x:col min="7" max="7" width="76" hidden="0" customWidth="1"/>
    <x:col min="8" max="8" width="36" hidden="0" customWidth="1"/>
  </x:cols>
  <x:sheetData>
    <x:row r="1" ht="30" customHeight="1">
      <x:c r="A1" s="3" t="str">
        <x:v>来源与审计索引</x:v>
      </x:c>
      <x:c r="B1" s="3" t="str">
        <x:v>来源与审计索引</x:v>
      </x:c>
      <x:c r="C1" s="3" t="str">
        <x:v>来源与审计索引</x:v>
      </x:c>
      <x:c r="D1" s="3" t="str">
        <x:v>来源与审计索引</x:v>
      </x:c>
      <x:c r="E1" s="3" t="str">
        <x:v>来源与审计索引</x:v>
      </x:c>
      <x:c r="F1" s="3" t="str">
        <x:v>来源与审计索引</x:v>
      </x:c>
      <x:c r="G1" s="3" t="str">
        <x:v>来源与审计索引</x:v>
      </x:c>
      <x:c r="H1" s="3" t="str">
        <x:v>来源与审计索引</x:v>
      </x:c>
    </x:row>
    <x:row r="3">
      <x:c r="A3" s="19" t="str">
        <x:v>ID</x:v>
      </x:c>
      <x:c r="B3" s="20" t="str">
        <x:v>输入/主题</x:v>
      </x:c>
      <x:c r="C3" s="20" t="str">
        <x:v>数值</x:v>
      </x:c>
      <x:c r="D3" s="20" t="str">
        <x:v>单位</x:v>
      </x:c>
      <x:c r="E3" s="20" t="str">
        <x:v>截至/期间</x:v>
      </x:c>
      <x:c r="F3" s="20" t="str">
        <x:v>来源</x:v>
      </x:c>
      <x:c r="G3" s="20" t="str">
        <x:v>URL</x:v>
      </x:c>
      <x:c r="H3" s="21" t="str">
        <x:v>审计说明</x:v>
      </x:c>
    </x:row>
    <x:row r="4" ht="45" customHeight="1">
      <x:c r="A4" s="11" t="str">
        <x:v>S1</x:v>
      </x:c>
      <x:c r="B4" s="116" t="str">
        <x:v>2023—2024财务、分部、墓位量价</x:v>
      </x:c>
      <x:c r="C4" s="210"/>
      <x:c r="D4" s="116"/>
      <x:c r="E4" s="116" t="str">
        <x:v>FY2024</x:v>
      </x:c>
      <x:c r="F4" s="116" t="str">
        <x:v>福寿园2024年年度报告</x:v>
      </x:c>
      <x:c r="G4" s="116" t="str">
        <x:v>https://www1.hkexnews.hk/listedco/listconews/sehk/2025/0422/2025042201949.pdf</x:v>
      </x:c>
      <x:c r="H4" s="116" t="str">
        <x:v>德勤无保留审计</x:v>
      </x:c>
    </x:row>
    <x:row r="5" ht="45" customHeight="1">
      <x:c r="A5" s="14" t="str">
        <x:v>S2</x:v>
      </x:c>
      <x:c r="B5" s="117" t="str">
        <x:v>2025H1财务、量价、减值、股息</x:v>
      </x:c>
      <x:c r="C5" s="211"/>
      <x:c r="D5" s="117"/>
      <x:c r="E5" s="117" t="str">
        <x:v>2025H1</x:v>
      </x:c>
      <x:c r="F5" s="117" t="str">
        <x:v>福寿园2025年中期报告</x:v>
      </x:c>
      <x:c r="G5" s="117" t="str">
        <x:v>https://www1.hkexnews.hk/listedco/listconews/sehk/2025/0923/2025092300688.pdf</x:v>
      </x:c>
      <x:c r="H5" s="117" t="str">
        <x:v>德勤无保留审阅；未经审计</x:v>
      </x:c>
    </x:row>
    <x:row r="6" ht="45" customHeight="1">
      <x:c r="A6" s="14" t="str">
        <x:v>S3</x:v>
      </x:c>
      <x:c r="B6" s="117" t="str">
        <x:v>初始300万元交易及调查</x:v>
      </x:c>
      <x:c r="C6" s="211" t="n">
        <x:v>3</x:v>
      </x:c>
      <x:c r="D6" s="117" t="str">
        <x:v>RMB mn</x:v>
      </x:c>
      <x:c r="E6" s="117" t="str">
        <x:v>2026-03-19</x:v>
      </x:c>
      <x:c r="F6" s="117" t="str">
        <x:v>公司调查公告</x:v>
      </x:c>
      <x:c r="G6" s="117" t="str">
        <x:v>https://www1.hkexnews.hk/listedco/listconews/sehk/2026/0319/2026031901654.pdf</x:v>
      </x:c>
      <x:c r="H6" s="117" t="str">
        <x:v>港交所正式披露</x:v>
      </x:c>
    </x:row>
    <x:row r="7" ht="45" customHeight="1">
      <x:c r="A7" s="14" t="str">
        <x:v>S4</x:v>
      </x:c>
      <x:c r="B7" s="117" t="str">
        <x:v>47笔存疑交易及复牌指引</x:v>
      </x:c>
      <x:c r="C7" s="211" t="n">
        <x:v>19.7</x:v>
      </x:c>
      <x:c r="D7" s="117" t="str">
        <x:v>RMB mn</x:v>
      </x:c>
      <x:c r="E7" s="117" t="str">
        <x:v>2016—2025</x:v>
      </x:c>
      <x:c r="F7" s="117" t="str">
        <x:v>复牌指引公告</x:v>
      </x:c>
      <x:c r="G7" s="117" t="str">
        <x:v>https://www1.hkexnews.hk/listedco/listconews/sehk/2026/0618/2026061802008.pdf</x:v>
      </x:c>
      <x:c r="H7" s="117" t="str">
        <x:v>初步法证；调查未完成</x:v>
      </x:c>
    </x:row>
    <x:row r="8" ht="45" customHeight="1">
      <x:c r="A8" s="14" t="str">
        <x:v>S5</x:v>
      </x:c>
      <x:c r="B8" s="117" t="str">
        <x:v>安永独立调查与内控顾问</x:v>
      </x:c>
      <x:c r="C8" s="211"/>
      <x:c r="D8" s="117"/>
      <x:c r="E8" s="117" t="str">
        <x:v>2026-07-10</x:v>
      </x:c>
      <x:c r="F8" s="117" t="str">
        <x:v>委任公告</x:v>
      </x:c>
      <x:c r="G8" s="117" t="str">
        <x:v>https://www1.hkexnews.hk/listedco/listconews/sehk/2026/0710/2026071001359.pdf</x:v>
      </x:c>
      <x:c r="H8" s="117" t="str">
        <x:v>港交所正式披露</x:v>
      </x:c>
    </x:row>
    <x:row r="9" ht="45" customHeight="1">
      <x:c r="A9" s="14" t="str">
        <x:v>S6</x:v>
      </x:c>
      <x:c r="B9" s="117" t="str">
        <x:v>2026H1业绩延迟</x:v>
      </x:c>
      <x:c r="C9" s="211"/>
      <x:c r="D9" s="117"/>
      <x:c r="E9" s="117" t="str">
        <x:v>2026-08-14</x:v>
      </x:c>
      <x:c r="F9" s="117" t="str">
        <x:v>延迟公告</x:v>
      </x:c>
      <x:c r="G9" s="117" t="str">
        <x:v>https://www1.hkexnews.hk/listedco/listconews/sehk/2026/0814/2026081401660_c.pdf</x:v>
      </x:c>
      <x:c r="H9" s="117" t="str">
        <x:v>港交所正式披露</x:v>
      </x:c>
    </x:row>
    <x:row r="10" ht="45" customHeight="1">
      <x:c r="A10" s="14" t="str">
        <x:v>S7</x:v>
      </x:c>
      <x:c r="B10" s="117" t="str">
        <x:v>前总裁/董事被罢免</x:v>
      </x:c>
      <x:c r="C10" s="211"/>
      <x:c r="D10" s="117"/>
      <x:c r="E10" s="117" t="str">
        <x:v>2026-08-31</x:v>
      </x:c>
      <x:c r="F10" s="117" t="str">
        <x:v>董事变动公告</x:v>
      </x:c>
      <x:c r="G10" s="117" t="str">
        <x:v>https://www1.hkexnews.hk/listedco/listconews/sehk/2026/0831/2026083101827_c.pdf</x:v>
      </x:c>
      <x:c r="H10" s="117" t="str">
        <x:v>港交所正式披露</x:v>
      </x:c>
    </x:row>
    <x:row r="11" ht="45" customHeight="1">
      <x:c r="A11" s="14" t="str">
        <x:v>S8</x:v>
      </x:c>
      <x:c r="B11" s="117" t="str">
        <x:v>0.10港元附先决条件部分要约</x:v>
      </x:c>
      <x:c r="C11" s="211" t="n">
        <x:v>0.1</x:v>
      </x:c>
      <x:c r="D11" s="117" t="str">
        <x:v>HKD/股</x:v>
      </x:c>
      <x:c r="E11" s="117" t="str">
        <x:v>2026-09-01</x:v>
      </x:c>
      <x:c r="F11" s="117" t="str">
        <x:v>要约人公告</x:v>
      </x:c>
      <x:c r="G11" s="117" t="str">
        <x:v>https://www1.hkexnews.hk/listedco/listconews/sehk/2026/0901/2026090103610_c.pdf</x:v>
      </x:c>
      <x:c r="H11" s="117" t="str">
        <x:v>非控制性、小比例；非公平价值</x:v>
      </x:c>
    </x:row>
    <x:row r="12" ht="45" customHeight="1">
      <x:c r="A12" s="14" t="str">
        <x:v>G1</x:v>
      </x:c>
      <x:c r="B12" s="117" t="str">
        <x:v>新修订殡葬管理条例</x:v>
      </x:c>
      <x:c r="C12" s="211"/>
      <x:c r="D12" s="117"/>
      <x:c r="E12" s="117" t="str">
        <x:v>2026-03-30施行</x:v>
      </x:c>
      <x:c r="F12" s="117" t="str">
        <x:v>国家行政法规库</x:v>
      </x:c>
      <x:c r="G12" s="117" t="str">
        <x:v>https://xzfg.moj.gov.cn/front/law/detail?LawID=1788</x:v>
      </x:c>
      <x:c r="H12" s="117" t="str">
        <x:v>一级政府来源</x:v>
      </x:c>
    </x:row>
    <x:row r="13" ht="45" customHeight="1">
      <x:c r="A13" s="14" t="str">
        <x:v>G2</x:v>
      </x:c>
      <x:c r="B13" s="117" t="str">
        <x:v>2024死亡人口/老龄化</x:v>
      </x:c>
      <x:c r="C13" s="211" t="n">
        <x:v>1093</x:v>
      </x:c>
      <x:c r="D13" s="117" t="str">
        <x:v>万人</x:v>
      </x:c>
      <x:c r="E13" s="117" t="str">
        <x:v>2024</x:v>
      </x:c>
      <x:c r="F13" s="117" t="str">
        <x:v>国家统计局</x:v>
      </x:c>
      <x:c r="G13" s="117" t="str">
        <x:v>https://www.stats.gov.cn/xxgk/sjfb/zxfb2020/202502/t20250228_1958817.html</x:v>
      </x:c>
      <x:c r="H13" s="117" t="str">
        <x:v>一级政府来源</x:v>
      </x:c>
    </x:row>
    <x:row r="14" ht="45" customHeight="1">
      <x:c r="A14" s="14" t="str">
        <x:v>M1</x:v>
      </x:c>
      <x:c r="B14" s="117" t="str">
        <x:v>停牌前收盘价</x:v>
      </x:c>
      <x:c r="C14" s="211" t="n">
        <x:v>2.64</x:v>
      </x:c>
      <x:c r="D14" s="117" t="str">
        <x:v>HKD/股</x:v>
      </x:c>
      <x:c r="E14" s="117" t="str">
        <x:v>2026-03-19</x:v>
      </x:c>
      <x:c r="F14" s="117" t="str">
        <x:v>StockAnalysis / S&amp;P Global</x:v>
      </x:c>
      <x:c r="G14" s="117" t="str">
        <x:v>https://stockanalysis.com/quote/hkg/1448/history/</x:v>
      </x:c>
      <x:c r="H14" s="117" t="str">
        <x:v>二级市场数据</x:v>
      </x:c>
    </x:row>
    <x:row r="15" ht="45" customHeight="1">
      <x:c r="A15" s="14" t="str">
        <x:v>A1</x:v>
      </x:c>
      <x:c r="B15" s="117" t="str">
        <x:v>Bear NAV折价</x:v>
      </x:c>
      <x:c r="C15" s="212" t="n">
        <x:v>0.65</x:v>
      </x:c>
      <x:c r="D15" s="117" t="str">
        <x:v>折价率</x:v>
      </x:c>
      <x:c r="E15" s="117" t="str">
        <x:v>估值</x:v>
      </x:c>
      <x:c r="F15" s="117" t="str">
        <x:v>分析假设</x:v>
      </x:c>
      <x:c r="G15" s="117" t="str"/>
      <x:c r="H15" s="117" t="str">
        <x:v>治理、会计、流动性压力</x:v>
      </x:c>
    </x:row>
    <x:row r="16" ht="45" customHeight="1">
      <x:c r="A16" s="14" t="str">
        <x:v>A2</x:v>
      </x:c>
      <x:c r="B16" s="117" t="str">
        <x:v>Base NAV折价</x:v>
      </x:c>
      <x:c r="C16" s="212" t="n">
        <x:v>0.4</x:v>
      </x:c>
      <x:c r="D16" s="117" t="str">
        <x:v>折价率</x:v>
      </x:c>
      <x:c r="E16" s="117" t="str">
        <x:v>估值</x:v>
      </x:c>
      <x:c r="F16" s="117" t="str">
        <x:v>分析假设</x:v>
      </x:c>
      <x:c r="G16" s="117" t="str"/>
      <x:c r="H16" s="117" t="str">
        <x:v>治理修复但耗时</x:v>
      </x:c>
    </x:row>
    <x:row r="17" ht="45" customHeight="1">
      <x:c r="A17" s="14" t="str">
        <x:v>A3</x:v>
      </x:c>
      <x:c r="B17" s="117" t="str">
        <x:v>Bull NAV折价</x:v>
      </x:c>
      <x:c r="C17" s="212" t="n">
        <x:v>0.15</x:v>
      </x:c>
      <x:c r="D17" s="117" t="str">
        <x:v>折价率</x:v>
      </x:c>
      <x:c r="E17" s="117" t="str">
        <x:v>估值</x:v>
      </x:c>
      <x:c r="F17" s="117" t="str">
        <x:v>分析假设</x:v>
      </x:c>
      <x:c r="G17" s="117" t="str"/>
      <x:c r="H17" s="117" t="str">
        <x:v>调查有限并复牌</x:v>
      </x:c>
    </x:row>
    <x:row r="18" ht="45" customHeight="1">
      <x:c r="A18" s="14" t="str">
        <x:v>A4</x:v>
      </x:c>
      <x:c r="B18" s="117" t="str">
        <x:v>正常化归母利润</x:v>
      </x:c>
      <x:c r="C18" s="211" t="n">
        <x:v>300</x:v>
      </x:c>
      <x:c r="D18" s="117" t="str">
        <x:v>RMB mn</x:v>
      </x:c>
      <x:c r="E18" s="117" t="str">
        <x:v>Base</x:v>
      </x:c>
      <x:c r="F18" s="117" t="str">
        <x:v>分析假设</x:v>
      </x:c>
      <x:c r="G18" s="117" t="str"/>
      <x:c r="H18" s="117" t="str">
        <x:v>低于2024A</x:v>
      </x:c>
    </x:row>
    <x:row r="19" ht="45" customHeight="1">
      <x:c r="A19" s="16" t="str">
        <x:v>A5</x:v>
      </x:c>
      <x:c r="B19" s="118" t="str">
        <x:v>正常化P/E</x:v>
      </x:c>
      <x:c r="C19" s="213" t="n">
        <x:v>8</x:v>
      </x:c>
      <x:c r="D19" s="118" t="str">
        <x:v>x</x:v>
      </x:c>
      <x:c r="E19" s="118" t="str">
        <x:v>Base</x:v>
      </x:c>
      <x:c r="F19" s="118" t="str">
        <x:v>分析假设</x:v>
      </x:c>
      <x:c r="G19" s="118" t="str"/>
      <x:c r="H19" s="118" t="str">
        <x:v>停牌修复后仍折价</x:v>
      </x:c>
    </x:row>
  </x:sheetData>
  <x:mergeCells>
    <x:mergeCell ref="A1:H1"/>
  </x:mergeCells>
  <x:pageMargins left="0.7" right="0.7" top="0.75" bottom="0.75" header="0.3" footer="0.3"/>
</x:worksheet>
</file>
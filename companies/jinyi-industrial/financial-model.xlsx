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f2ee1e653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7bfcafc8734471e"/>
    <x:sheet xmlns:r="http://schemas.openxmlformats.org/officeDocument/2006/relationships" name="Historical" sheetId="2" r:id="R2c3704d086354a6d"/>
    <x:sheet xmlns:r="http://schemas.openxmlformats.org/officeDocument/2006/relationships" name="Operating Drivers" sheetId="3" r:id="R06d5a10f674f47de"/>
    <x:sheet xmlns:r="http://schemas.openxmlformats.org/officeDocument/2006/relationships" name="Assumptions" sheetId="4" r:id="R23d368d7161b4275"/>
    <x:sheet xmlns:r="http://schemas.openxmlformats.org/officeDocument/2006/relationships" name="Valuation" sheetId="5" r:id="R45bf307950964ce7"/>
    <x:sheet xmlns:r="http://schemas.openxmlformats.org/officeDocument/2006/relationships" name="Checks" sheetId="6" r:id="Re172417dadea4ae7"/>
    <x:sheet xmlns:r="http://schemas.openxmlformats.org/officeDocument/2006/relationships" name="Sources Audit" sheetId="7" r:id="Rc20844a618534122"/>
  </x:sheets>
</x:workbook>
</file>

<file path=xl/comments1.xml><?xml version="1.0" encoding="utf-8"?>
<x:comments xmlns:x="http://schemas.openxmlformats.org/spreadsheetml/2006/main">
  <x:authors>
    <x:author>tc={30EA5B29-1227-FD6B-5AE9-6CDA6696C8A3}</x:author>
    <x:author>tc={64E8546B-6F82-E28F-D1FE-0E69442ACB2E}</x:author>
  </x:authors>
  <x:commentList>
    <x:comment ref="D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FY2025 audited consolidated revenue.</x:t>
        </x:r>
      </x:text>
    </x:comment>
    <x:comment ref="F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S3: 1Q26 unaudited consolidated revenue.</x:t>
        </x:r>
      </x:text>
    </x:comment>
  </x:commentList>
</x:comments>
</file>

<file path=xl/comments2.xml><?xml version="1.0" encoding="utf-8"?>
<x:comments xmlns:x="http://schemas.openxmlformats.org/spreadsheetml/2006/main">
  <x:authors>
    <x:author>tc={D06FFDDF-CCB9-9950-73C8-2EDE33443E97}</x:author>
    <x:author>tc={F35491DC-DF09-54DF-49D1-630778E35ADE}</x:author>
  </x:authors>
  <x:commentList>
    <x:comment ref="C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S4: midpoint of the company's 1H26 deducted-profit guidance range; not yet audited.</x:t>
        </x:r>
      </x:text>
    </x:comment>
    <x:comment ref="G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inventory write-down reserve, an audit key matter.</x:t>
        </x:r>
      </x:text>
    </x:comment>
  </x:commentList>
</x:comments>
</file>

<file path=xl/comments3.xml><?xml version="1.0" encoding="utf-8"?>
<x:comments xmlns:x="http://schemas.openxmlformats.org/spreadsheetml/2006/main">
  <x:authors>
    <x:author>tc={FF525672-E189-B92A-348A-90352EEB5A02}</x:author>
    <x:author>tc={16D1A399-77BB-0288-A5C8-BA0600AAB689}</x:author>
    <x:author>tc={BCCC4F8A-9FAA-6915-DAD5-D33859C73194}</x:author>
    <x:author>tc={FA035E73-9DA4-54F7-1637-D226DA352D48}</x:author>
    <x:author>tc={FAC022A8-EB78-D59F-31F1-5217A742902A}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S8: Yahoo Finance chart API, 601002.SS close on 2026-08-12.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S5: 7.21 million restricted shares registered; post-grant share capital 961,650,720 shares.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S3: attributable equity at 2026-03-31, unaudited and before the August restricted-share issuance.</x:t>
        </x:r>
      </x:text>
    </x:comment>
    <x:comment ref="C1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normalized attributable profit broadly aligned with the incentive plan's implied 2027 standalone target; not consensus.</x:t>
        </x:r>
      </x:text>
    </x:comment>
    <x:comment ref="C1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multiple reflects net cash and rail certification advantages, offset by order cyclicality, inventory and governance risk.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yyyy-mm-dd"/>
    <x:numFmt numFmtId="201" formatCode="&quot;RMB &quot;0.00"/>
    <x:numFmt numFmtId="202" formatCode="0.000&quot; bn shares&quot;"/>
    <x:numFmt numFmtId="203" formatCode="0.0&quot; bn&quot;"/>
    <x:numFmt numFmtId="204" formatCode="0.00x"/>
    <x:numFmt numFmtId="205" formatCode="0.0%;[Red](0.0%);-"/>
    <x:numFmt numFmtId="206" formatCode="0.0&quot; bn&quot;;[Red](0.0&quot; bn&quot;);-"/>
    <x:numFmt numFmtId="207" formatCode="0.000"/>
    <x:numFmt numFmtId="208" formatCode="0.0x;[Red](0.0x);-"/>
    <x:numFmt numFmtId="209" formatCode="0.0%"/>
    <x:numFmt numFmtId="210" formatCode="0.000&quot; bn&quot;;[Red](0.000&quot; bn&quot;);-"/>
    <x:numFmt numFmtId="211" formatCode="0.000&quot; bn&quot;"/>
    <x:numFmt numFmtId="212" formatCode="0%"/>
    <x:numFmt numFmtId="213" formatCode="0.00&quot; bn&quot;"/>
    <x:numFmt numFmtId="214" formatCode="0.0x"/>
    <x:numFmt numFmtId="215" formatCode="0x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top style="thin">
        <x:color rgb="FF17365D"/>
      </x:top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2" xfId="0" applyNumberFormat="1" applyFont="1" applyFill="1" applyBorder="1"/>
    <x:xf numFmtId="202" fontId="6" fillId="0" borderId="2" xfId="0" applyNumberFormat="1" applyFont="1" applyFill="1" applyBorder="1"/>
    <x:xf numFmtId="203" fontId="6" fillId="0" borderId="2" xfId="0" applyNumberFormat="1" applyFont="1" applyFill="1" applyBorder="1"/>
    <x:xf numFmtId="204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6" fillId="0" borderId="3" xfId="0" applyNumberFormat="1" applyFont="1" applyFill="1" applyBorder="1"/>
    <x:xf numFmtId="205" fontId="6" fillId="0" borderId="3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6" fontId="0" fillId="4" borderId="0" xfId="0" applyNumberFormat="1" applyFont="1" applyFill="1" applyBorder="1"/>
    <x:xf numFmtId="205" fontId="0" fillId="4" borderId="0" xfId="0" applyNumberFormat="1" applyFont="1" applyFill="1" applyBorder="1"/>
    <x:xf numFmtId="0" fontId="7" fillId="4" borderId="0" xfId="0" applyNumberFormat="1" applyFont="1" applyFill="1" applyBorder="1"/>
    <x:xf numFmtId="206" fontId="7" fillId="4" borderId="0" xfId="0" applyNumberFormat="1" applyFont="1" applyFill="1" applyBorder="1"/>
    <x:xf numFmtId="205" fontId="7" fillId="4" borderId="0" xfId="0" applyNumberFormat="1" applyFont="1" applyFill="1" applyBorder="1"/>
    <x:xf numFmtId="0" fontId="7" fillId="4" borderId="10" xfId="0" applyNumberFormat="1" applyFont="1" applyFill="1" applyBorder="1"/>
    <x:xf numFmtId="206" fontId="7" fillId="4" borderId="10" xfId="0" applyNumberFormat="1" applyFont="1" applyFill="1" applyBorder="1"/>
    <x:xf numFmtId="201" fontId="0" fillId="4" borderId="0" xfId="0" applyNumberFormat="1" applyFont="1" applyFill="1" applyBorder="1"/>
    <x:xf numFmtId="201" fontId="7" fillId="4" borderId="0" xfId="0" applyNumberFormat="1" applyFont="1" applyFill="1" applyBorder="1"/>
    <x:xf numFmtId="201" fontId="7" fillId="4" borderId="10" xfId="0" applyNumberFormat="1" applyFont="1" applyFill="1" applyBorder="1"/>
    <x:xf numFmtId="206" fontId="6" fillId="0" borderId="0" xfId="0" applyNumberFormat="1" applyFont="1" applyFill="1" applyBorder="1"/>
    <x:xf numFmtId="207" fontId="6" fillId="0" borderId="0" xfId="0" applyNumberFormat="1" applyFont="1" applyFill="1" applyBorder="1"/>
    <x:xf numFmtId="206" fontId="6" fillId="0" borderId="1" xfId="0" applyNumberFormat="1" applyFont="1" applyFill="1" applyBorder="1"/>
    <x:xf numFmtId="206" fontId="6" fillId="0" borderId="2" xfId="0" applyNumberFormat="1" applyFont="1" applyFill="1" applyBorder="1"/>
    <x:xf numFmtId="0" fontId="7" fillId="4" borderId="2" xfId="0" applyNumberFormat="1" applyFont="1" applyFill="1" applyBorder="1"/>
    <x:xf numFmtId="206" fontId="7" fillId="4" borderId="2" xfId="0" applyNumberFormat="1" applyFont="1" applyFill="1" applyBorder="1"/>
    <x:xf numFmtId="205" fontId="7" fillId="4" borderId="2" xfId="0" applyNumberFormat="1" applyFont="1" applyFill="1" applyBorder="1"/>
    <x:xf numFmtId="205" fontId="6" fillId="0" borderId="2" xfId="0" applyNumberFormat="1" applyFont="1" applyFill="1" applyBorder="1"/>
    <x:xf numFmtId="207" fontId="6" fillId="0" borderId="2" xfId="0" applyNumberFormat="1" applyFont="1" applyFill="1" applyBorder="1"/>
    <x:xf numFmtId="0" fontId="7" fillId="4" borderId="3" xfId="0" applyNumberFormat="1" applyFont="1" applyFill="1" applyBorder="1"/>
    <x:xf numFmtId="201" fontId="7" fillId="4" borderId="3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08" fontId="6" fillId="0" borderId="0" xfId="0" applyNumberFormat="1" applyFont="1" applyFill="1" applyBorder="1"/>
    <x:xf numFmtId="209" fontId="6" fillId="0" borderId="0" xfId="0" applyNumberFormat="1" applyFont="1" applyFill="1" applyBorder="1"/>
    <x:xf numFmtId="208" fontId="6" fillId="0" borderId="1" xfId="0" applyNumberFormat="1" applyFont="1" applyFill="1" applyBorder="1"/>
    <x:xf numFmtId="208" fontId="6" fillId="0" borderId="2" xfId="0" applyNumberFormat="1" applyFont="1" applyFill="1" applyBorder="1"/>
    <x:xf numFmtId="209" fontId="6" fillId="0" borderId="3" xfId="0" applyNumberFormat="1" applyFont="1" applyFill="1" applyBorder="1"/>
    <x:xf numFmtId="203" fontId="0" fillId="4" borderId="0" xfId="0" applyNumberFormat="1" applyFont="1" applyFill="1" applyBorder="1"/>
    <x:xf numFmtId="0" fontId="3" fillId="4" borderId="0" xfId="0" applyNumberFormat="1" applyFont="1" applyFill="1" applyBorder="1"/>
    <x:xf numFmtId="203" fontId="3" fillId="4" borderId="0" xfId="0" applyNumberFormat="1" applyFont="1" applyFill="1" applyBorder="1"/>
    <x:xf numFmtId="205" fontId="3" fillId="4" borderId="0" xfId="0" applyNumberFormat="1" applyFont="1" applyFill="1" applyBorder="1"/>
    <x:xf numFmtId="0" fontId="3" fillId="4" borderId="10" xfId="0" applyNumberFormat="1" applyFont="1" applyFill="1" applyBorder="1"/>
    <x:xf numFmtId="203" fontId="3" fillId="4" borderId="10" xfId="0" applyNumberFormat="1" applyFont="1" applyFill="1" applyBorder="1"/>
    <x:xf numFmtId="205" fontId="3" fillId="4" borderId="10" xfId="0" applyNumberFormat="1" applyFont="1" applyFill="1" applyBorder="1"/>
    <x:xf numFmtId="203" fontId="7" fillId="4" borderId="10" xfId="0" applyNumberFormat="1" applyFont="1" applyFill="1" applyBorder="1"/>
    <x:xf numFmtId="205" fontId="7" fillId="4" borderId="10" xfId="0" applyNumberFormat="1" applyFont="1" applyFill="1" applyBorder="1"/>
    <x:xf numFmtId="203" fontId="6" fillId="0" borderId="1" xfId="0" applyNumberFormat="1" applyFont="1" applyFill="1" applyBorder="1"/>
    <x:xf numFmtId="205" fontId="6" fillId="0" borderId="1" xfId="0" applyNumberFormat="1" applyFont="1" applyFill="1" applyBorder="1"/>
    <x:xf numFmtId="203" fontId="7" fillId="4" borderId="3" xfId="0" applyNumberFormat="1" applyFont="1" applyFill="1" applyBorder="1"/>
    <x:xf numFmtId="205" fontId="7" fillId="4" borderId="3" xfId="0" applyNumberFormat="1" applyFont="1" applyFill="1" applyBorder="1"/>
    <x:xf numFmtId="209" fontId="0" fillId="4" borderId="0" xfId="0" applyNumberFormat="1" applyFont="1" applyFill="1" applyBorder="1"/>
    <x:xf numFmtId="209" fontId="3" fillId="4" borderId="0" xfId="0" applyNumberFormat="1" applyFont="1" applyFill="1" applyBorder="1"/>
    <x:xf numFmtId="209" fontId="3" fillId="4" borderId="10" xfId="0" applyNumberFormat="1" applyFont="1" applyFill="1" applyBorder="1"/>
    <x:xf numFmtId="209" fontId="7" fillId="4" borderId="10" xfId="0" applyNumberFormat="1" applyFont="1" applyFill="1" applyBorder="1"/>
    <x:xf numFmtId="209" fontId="6" fillId="0" borderId="1" xfId="0" applyNumberFormat="1" applyFont="1" applyFill="1" applyBorder="1"/>
    <x:xf numFmtId="209" fontId="6" fillId="0" borderId="2" xfId="0" applyNumberFormat="1" applyFont="1" applyFill="1" applyBorder="1"/>
    <x:xf numFmtId="209" fontId="7" fillId="4" borderId="3" xfId="0" applyNumberFormat="1" applyFont="1" applyFill="1" applyBorder="1"/>
    <x:xf numFmtId="210" fontId="0" fillId="0" borderId="0" xfId="0" applyNumberFormat="1" applyFont="1" applyFill="1" applyBorder="1"/>
    <x:xf numFmtId="210" fontId="6" fillId="0" borderId="0" xfId="0" applyNumberFormat="1" applyFont="1" applyFill="1" applyBorder="1"/>
    <x:xf numFmtId="210" fontId="6" fillId="0" borderId="1" xfId="0" applyNumberFormat="1" applyFont="1" applyFill="1" applyBorder="1"/>
    <x:xf numFmtId="210" fontId="6" fillId="0" borderId="2" xfId="0" applyNumberFormat="1" applyFont="1" applyFill="1" applyBorder="1"/>
    <x:xf numFmtId="210" fontId="6" fillId="0" borderId="3" xfId="0" applyNumberFormat="1" applyFont="1" applyFill="1" applyBorder="1"/>
    <x:xf numFmtId="211" fontId="0" fillId="0" borderId="0" xfId="0" applyNumberFormat="1" applyFont="1" applyFill="1" applyBorder="1"/>
    <x:xf numFmtId="211" fontId="6" fillId="0" borderId="0" xfId="0" applyNumberFormat="1" applyFont="1" applyFill="1" applyBorder="1"/>
    <x:xf numFmtId="211" fontId="6" fillId="0" borderId="1" xfId="0" applyNumberFormat="1" applyFont="1" applyFill="1" applyBorder="1"/>
    <x:xf numFmtId="211" fontId="6" fillId="0" borderId="2" xfId="0" applyNumberFormat="1" applyFont="1" applyFill="1" applyBorder="1"/>
    <x:xf numFmtId="211" fontId="6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11" fontId="6" fillId="0" borderId="0" xfId="0" applyNumberFormat="1" applyFont="1" applyFill="1" applyBorder="1" applyAlignment="1">
      <x:alignment wrapText="1"/>
    </x:xf>
    <x:xf numFmtId="209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11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211" fontId="6" fillId="0" borderId="2" xfId="0" applyNumberFormat="1" applyFont="1" applyFill="1" applyBorder="1" applyAlignment="1">
      <x:alignment wrapText="1"/>
    </x:xf>
    <x:xf numFmtId="209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209" fontId="6" fillId="0" borderId="3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7" fontId="8" fillId="0" borderId="0" xfId="0" applyNumberFormat="1" applyFont="1" applyFill="1" applyBorder="1"/>
    <x:xf numFmtId="203" fontId="8" fillId="0" borderId="0" xfId="0" applyNumberFormat="1" applyFont="1" applyFill="1" applyBorder="1"/>
    <x:xf numFmtId="212" fontId="0" fillId="0" borderId="0" xfId="0" applyNumberFormat="1" applyFont="1" applyFill="1" applyBorder="1"/>
    <x:xf numFmtId="212" fontId="6" fillId="0" borderId="0" xfId="0" applyNumberFormat="1" applyFont="1" applyFill="1" applyBorder="1"/>
    <x:xf numFmtId="212" fontId="6" fillId="0" borderId="3" xfId="0" applyNumberFormat="1" applyFont="1" applyFill="1" applyBorder="1"/>
    <x:xf numFmtId="213" fontId="8" fillId="0" borderId="0" xfId="0" applyNumberFormat="1" applyFont="1" applyFill="1" applyBorder="1"/>
    <x:xf numFmtId="204" fontId="8" fillId="0" borderId="0" xfId="0" applyNumberFormat="1" applyFont="1" applyFill="1" applyBorder="1"/>
    <x:xf numFmtId="212" fontId="8" fillId="0" borderId="0" xfId="0" applyNumberFormat="1" applyFont="1" applyFill="1" applyBorder="1"/>
    <x:xf numFmtId="213" fontId="6" fillId="0" borderId="0" xfId="0" applyNumberFormat="1" applyFont="1" applyFill="1" applyBorder="1"/>
    <x:xf numFmtId="213" fontId="6" fillId="0" borderId="1" xfId="0" applyNumberFormat="1" applyFont="1" applyFill="1" applyBorder="1"/>
    <x:xf numFmtId="212" fontId="6" fillId="0" borderId="2" xfId="0" applyNumberFormat="1" applyFont="1" applyFill="1" applyBorder="1"/>
    <x:xf numFmtId="0" fontId="9" fillId="5" borderId="8" xfId="0" applyNumberFormat="1" applyFont="1" applyFill="1" applyBorder="1"/>
    <x:xf numFmtId="0" fontId="2" fillId="5" borderId="8" xfId="0" applyNumberFormat="1" applyFont="1" applyFill="1" applyBorder="1"/>
    <x:xf numFmtId="213" fontId="0" fillId="0" borderId="0" xfId="0" applyNumberFormat="1" applyFont="1" applyFill="1" applyBorder="1"/>
    <x:xf numFmtId="214" fontId="0" fillId="0" borderId="0" xfId="0" applyNumberFormat="1" applyFont="1" applyFill="1" applyBorder="1"/>
    <x:xf numFmtId="213" fontId="5" fillId="0" borderId="0" xfId="0" applyNumberFormat="1" applyFont="1" applyFill="1" applyBorder="1"/>
    <x:xf numFmtId="214" fontId="5" fillId="0" borderId="0" xfId="0" applyNumberFormat="1" applyFont="1" applyFill="1" applyBorder="1"/>
    <x:xf numFmtId="212" fontId="5" fillId="0" borderId="0" xfId="0" applyNumberFormat="1" applyFont="1" applyFill="1" applyBorder="1"/>
    <x:xf numFmtId="0" fontId="0" fillId="6" borderId="0" xfId="0" applyNumberFormat="1" applyFont="1" applyFill="1" applyBorder="1"/>
    <x:xf numFmtId="213" fontId="5" fillId="6" borderId="0" xfId="0" applyNumberFormat="1" applyFont="1" applyFill="1" applyBorder="1"/>
    <x:xf numFmtId="214" fontId="5" fillId="6" borderId="0" xfId="0" applyNumberFormat="1" applyFont="1" applyFill="1" applyBorder="1"/>
    <x:xf numFmtId="201" fontId="5" fillId="6" borderId="0" xfId="0" applyNumberFormat="1" applyFont="1" applyFill="1" applyBorder="1"/>
    <x:xf numFmtId="204" fontId="5" fillId="6" borderId="0" xfId="0" applyNumberFormat="1" applyFont="1" applyFill="1" applyBorder="1"/>
    <x:xf numFmtId="212" fontId="5" fillId="6" borderId="0" xfId="0" applyNumberFormat="1" applyFont="1" applyFill="1" applyBorder="1"/>
    <x:xf numFmtId="201" fontId="0" fillId="6" borderId="0" xfId="0" applyNumberFormat="1" applyFont="1" applyFill="1" applyBorder="1"/>
    <x:xf numFmtId="205" fontId="0" fillId="6" borderId="0" xfId="0" applyNumberFormat="1" applyFont="1" applyFill="1" applyBorder="1"/>
    <x:xf numFmtId="201" fontId="3" fillId="0" borderId="0" xfId="0" applyNumberFormat="1" applyFont="1" applyFill="1" applyBorder="1"/>
    <x:xf numFmtId="201" fontId="3" fillId="6" borderId="0" xfId="0" applyNumberFormat="1" applyFont="1" applyFill="1" applyBorder="1"/>
    <x:xf numFmtId="214" fontId="6" fillId="0" borderId="0" xfId="0" applyNumberFormat="1" applyFont="1" applyFill="1" applyBorder="1"/>
    <x:xf numFmtId="201" fontId="7" fillId="0" borderId="0" xfId="0" applyNumberFormat="1" applyFont="1" applyFill="1" applyBorder="1"/>
    <x:xf numFmtId="0" fontId="6" fillId="6" borderId="0" xfId="0" applyNumberFormat="1" applyFont="1" applyFill="1" applyBorder="1"/>
    <x:xf numFmtId="213" fontId="6" fillId="6" borderId="0" xfId="0" applyNumberFormat="1" applyFont="1" applyFill="1" applyBorder="1"/>
    <x:xf numFmtId="214" fontId="6" fillId="6" borderId="0" xfId="0" applyNumberFormat="1" applyFont="1" applyFill="1" applyBorder="1"/>
    <x:xf numFmtId="201" fontId="6" fillId="6" borderId="0" xfId="0" applyNumberFormat="1" applyFont="1" applyFill="1" applyBorder="1"/>
    <x:xf numFmtId="204" fontId="6" fillId="6" borderId="0" xfId="0" applyNumberFormat="1" applyFont="1" applyFill="1" applyBorder="1"/>
    <x:xf numFmtId="212" fontId="6" fillId="6" borderId="0" xfId="0" applyNumberFormat="1" applyFont="1" applyFill="1" applyBorder="1"/>
    <x:xf numFmtId="201" fontId="7" fillId="6" borderId="0" xfId="0" applyNumberFormat="1" applyFont="1" applyFill="1" applyBorder="1"/>
    <x:xf numFmtId="205" fontId="6" fillId="6" borderId="0" xfId="0" applyNumberFormat="1" applyFont="1" applyFill="1" applyBorder="1"/>
    <x:xf numFmtId="214" fontId="6" fillId="0" borderId="1" xfId="0" applyNumberFormat="1" applyFont="1" applyFill="1" applyBorder="1"/>
    <x:xf numFmtId="204" fontId="6" fillId="0" borderId="1" xfId="0" applyNumberFormat="1" applyFont="1" applyFill="1" applyBorder="1"/>
    <x:xf numFmtId="212" fontId="6" fillId="0" borderId="1" xfId="0" applyNumberFormat="1" applyFont="1" applyFill="1" applyBorder="1"/>
    <x:xf numFmtId="201" fontId="7" fillId="0" borderId="1" xfId="0" applyNumberFormat="1" applyFont="1" applyFill="1" applyBorder="1"/>
    <x:xf numFmtId="0" fontId="6" fillId="6" borderId="2" xfId="0" applyNumberFormat="1" applyFont="1" applyFill="1" applyBorder="1"/>
    <x:xf numFmtId="213" fontId="6" fillId="6" borderId="2" xfId="0" applyNumberFormat="1" applyFont="1" applyFill="1" applyBorder="1"/>
    <x:xf numFmtId="214" fontId="6" fillId="6" borderId="2" xfId="0" applyNumberFormat="1" applyFont="1" applyFill="1" applyBorder="1"/>
    <x:xf numFmtId="201" fontId="6" fillId="6" borderId="2" xfId="0" applyNumberFormat="1" applyFont="1" applyFill="1" applyBorder="1"/>
    <x:xf numFmtId="204" fontId="6" fillId="6" borderId="2" xfId="0" applyNumberFormat="1" applyFont="1" applyFill="1" applyBorder="1"/>
    <x:xf numFmtId="212" fontId="6" fillId="6" borderId="2" xfId="0" applyNumberFormat="1" applyFont="1" applyFill="1" applyBorder="1"/>
    <x:xf numFmtId="201" fontId="7" fillId="6" borderId="2" xfId="0" applyNumberFormat="1" applyFont="1" applyFill="1" applyBorder="1"/>
    <x:xf numFmtId="205" fontId="6" fillId="6" borderId="2" xfId="0" applyNumberFormat="1" applyFont="1" applyFill="1" applyBorder="1"/>
    <x:xf numFmtId="213" fontId="6" fillId="0" borderId="3" xfId="0" applyNumberFormat="1" applyFont="1" applyFill="1" applyBorder="1"/>
    <x:xf numFmtId="214" fontId="6" fillId="0" borderId="3" xfId="0" applyNumberFormat="1" applyFont="1" applyFill="1" applyBorder="1"/>
    <x:xf numFmtId="201" fontId="6" fillId="0" borderId="3" xfId="0" applyNumberFormat="1" applyFont="1" applyFill="1" applyBorder="1"/>
    <x:xf numFmtId="204" fontId="6" fillId="0" borderId="3" xfId="0" applyNumberFormat="1" applyFont="1" applyFill="1" applyBorder="1"/>
    <x:xf numFmtId="201" fontId="7" fillId="0" borderId="3" xfId="0" applyNumberFormat="1" applyFont="1" applyFill="1" applyBorder="1"/>
    <x:xf numFmtId="215" fontId="7" fillId="5" borderId="8" xfId="0" applyNumberFormat="1" applyFont="1" applyFill="1" applyBorder="1"/>
    <x:xf numFmtId="213" fontId="6" fillId="0" borderId="2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207" fontId="6" fillId="0" borderId="1" xfId="0" applyNumberFormat="1" applyFont="1" applyFill="1" applyBorder="1"/>
    <x:xf numFmtId="207" fontId="6" fillId="0" borderId="3" xfId="0" applyNumberFormat="1" applyFont="1" applyFill="1" applyBorder="1"/>
    <x:xf numFmtId="0" fontId="10" fillId="0" borderId="0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07" fontId="6" fillId="0" borderId="0" xfId="0" applyNumberFormat="1" applyFont="1" applyFill="1" applyBorder="1" applyAlignment="1">
      <x:alignment wrapText="1"/>
    </x:xf>
    <x:xf numFmtId="207" fontId="6" fillId="0" borderId="1" xfId="0" applyNumberFormat="1" applyFont="1" applyFill="1" applyBorder="1" applyAlignment="1">
      <x:alignment wrapText="1"/>
    </x:xf>
    <x:xf numFmtId="207" fontId="6" fillId="0" borderId="2" xfId="0" applyNumberFormat="1" applyFont="1" applyFill="1" applyBorder="1" applyAlignment="1">
      <x:alignment wrapText="1"/>
    </x:xf>
    <x:xf numFmtId="207" fontId="6" fillId="0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11" fontId="3" fillId="0" borderId="0" xfId="0" applyNumberFormat="1" applyFont="1" applyFill="1" applyBorder="1"/>
    <x:xf numFmtId="209" fontId="3" fillId="0" borderId="0" xfId="0" applyNumberFormat="1" applyFont="1" applyFill="1" applyBorder="1"/>
  </x:cellXfs>
  <x:cellStyles count="1">
    <x:cellStyle name="Normal" xfId="0"/>
  </x:cellStyles>
  <x:dxfs count="2"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d22a27d07454d" /><Relationship Type="http://schemas.openxmlformats.org/officeDocument/2006/relationships/theme" Target="/xl/theme/theme1.xml" Id="R646fecdba5844ee6" /><Relationship Type="http://schemas.openxmlformats.org/officeDocument/2006/relationships/sharedStrings" Target="/xl/sharedStrings.xml" Id="R6c2e8a172a9c48a1" /><Relationship Type="http://schemas.openxmlformats.org/officeDocument/2006/relationships/worksheet" Target="/xl/worksheets/sheet1.xml" Id="R17bfcafc8734471e" /><Relationship Type="http://schemas.openxmlformats.org/officeDocument/2006/relationships/worksheet" Target="/xl/worksheets/sheet2.xml" Id="R2c3704d086354a6d" /><Relationship Type="http://schemas.openxmlformats.org/officeDocument/2006/relationships/worksheet" Target="/xl/worksheets/sheet3.xml" Id="R06d5a10f674f47de" /><Relationship Type="http://schemas.openxmlformats.org/officeDocument/2006/relationships/worksheet" Target="/xl/worksheets/sheet4.xml" Id="R23d368d7161b4275" /><Relationship Type="http://schemas.openxmlformats.org/officeDocument/2006/relationships/worksheet" Target="/xl/worksheets/sheet5.xml" Id="R45bf307950964ce7" /><Relationship Type="http://schemas.openxmlformats.org/officeDocument/2006/relationships/worksheet" Target="/xl/worksheets/sheet6.xml" Id="Re172417dadea4ae7" /><Relationship Type="http://schemas.openxmlformats.org/officeDocument/2006/relationships/worksheet" Target="/xl/worksheets/sheet7.xml" Id="Rc20844a618534122" /><Relationship Type="http://schemas.microsoft.com/office/2017/10/relationships/person" Target="/xl/persons/person.xml" Id="R1ae46a4ba1674e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31b052d47a4142" /><Relationship Type="http://schemas.openxmlformats.org/officeDocument/2006/relationships/chart" Target="/xl/drawings/charts/chart2.xml" Id="R4286f7bba07f43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毛利率趋势（全年与半年度）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毛利率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'Historical'!$B$3:$F$3</c:f>
              <c:strCache>
                <c:ptCount val="0"/>
              </c:strCache>
            </c:strRef>
          </c:cat>
          <c:val>
            <c:numRef>
              <c:f>'Historical'!$B$7:$F$7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3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情景价值与当前股价（元/股）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"RMB "0.0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D9A300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9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31b052d47a4142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86f7bba07f438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F78B9AA-FA9C-4AEB-A70C-7533C0B36ED0}"/>
  <xltc:person displayName="User" id="{38DDA572-B262-407C-95F2-6D0C8DF4D0E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4" dT="2026-08-12T15:40:36.61" personId="{1F78B9AA-FA9C-4AEB-A70C-7533C0B36ED0}" id="{30EA5B29-1227-FD6B-5AE9-6CDA6696C8A3}">
    <xltc:text>Source S1: FY2025 audited consolidated revenue.</xltc:text>
  </xltc:threadedComment>
  <xltc:threadedComment ref="F4" dT="2026-08-12T15:40:36.61" personId="{1F78B9AA-FA9C-4AEB-A70C-7533C0B36ED0}" id="{64E8546B-6F82-E28F-D1FE-0E69442ACB2E}">
    <xltc:text>Source S3: 1Q26 unaudited consolidated revenue.</xltc:text>
  </xltc:threadedComment>
  <xltc:threadedComment ref="F4" dT="2026-08-27T03:19:13.898" personId="{38DDA572-B262-407C-95F2-6D0C8DF4D0E9}" id="{0DEFD1B0-1499-18C6-023C-1BB5CD6940FB}">
    <xltc:text>Source: 2026年半年度报告，第5页及合并利润表。URL: https://big5.sse.com.cn/site/cht/www.sse.com.cn/disclosure/listedinfo/announcement/c/new/2026-08-27/601002_20260827_SFN6.pdf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19" dT="2026-08-12T15:40:36.61" personId="{1F78B9AA-FA9C-4AEB-A70C-7533C0B36ED0}" id="{D06FFDDF-CCB9-9950-73C8-2EDE33443E97}">
    <xltc:text>Source S4: midpoint of the company's 1H26 deducted-profit guidance range; not yet audited.</xltc:text>
  </xltc:threadedComment>
  <xltc:threadedComment ref="G5" dT="2026-08-12T15:40:36.61" personId="{1F78B9AA-FA9C-4AEB-A70C-7533C0B36ED0}" id="{F35491DC-DF09-54DF-49D1-630778E35ADE}">
    <xltc:text>Source S1: inventory write-down reserve, an audit key matter.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08-12T15:40:36.608" personId="{1F78B9AA-FA9C-4AEB-A70C-7533C0B36ED0}" id="{FF525672-E189-B92A-348A-90352EEB5A02}">
    <xltc:text>Source S8: Yahoo Finance chart API, 601002.SS close on 2026-08-12.</xltc:text>
  </xltc:threadedComment>
  <xltc:threadedComment ref="B5" dT="2026-08-12T15:40:36.609" personId="{1F78B9AA-FA9C-4AEB-A70C-7533C0B36ED0}" id="{16D1A399-77BB-0288-A5C8-BA0600AAB689}">
    <xltc:text>Source S5: 7.21 million restricted shares registered; post-grant share capital 961,650,720 shares.</xltc:text>
  </xltc:threadedComment>
  <xltc:threadedComment ref="B6" dT="2026-08-12T15:40:36.61" personId="{1F78B9AA-FA9C-4AEB-A70C-7533C0B36ED0}" id="{BCCC4F8A-9FAA-6915-DAD5-D33859C73194}">
    <xltc:text>Source S3: attributable equity at 2026-03-31, unaudited and before the August restricted-share issuance.</xltc:text>
  </xltc:threadedComment>
  <xltc:threadedComment ref="C17" dT="2026-08-12T15:40:36.61" personId="{1F78B9AA-FA9C-4AEB-A70C-7533C0B36ED0}" id="{FA035E73-9DA4-54F7-1637-D226DA352D48}">
    <xltc:text>Analyst assumption: normalized attributable profit broadly aligned with the incentive plan's implied 2027 standalone target; not consensus.</xltc:text>
  </xltc:threadedComment>
  <xltc:threadedComment ref="C18" dT="2026-08-12T15:40:36.61" personId="{1F78B9AA-FA9C-4AEB-A70C-7533C0B36ED0}" id="{FAC022A8-EB78-D59F-31F1-5217A742902A}">
    <xltc:text>Analyst assumption: multiple reflects net cash and rail certification advantages, offset by order cyclicality, inventory and governance risk.</xltc:text>
  </xltc:threadedComment>
  <xltc:threadedComment ref="B4" dT="2026-08-27T03:19:13.899" personId="{38DDA572-B262-407C-95F2-6D0C8DF4D0E9}" id="{62C3B7F7-D962-0551-E6F6-DB5199592FDA}">
    <xltc:text>Source: 东方财富601002行情，2026-08-27 10:56盘中快照。URL: https://quote.eastmoney.com/sh601002.html</xltc:text>
  </xltc:threadedComment>
  <xltc:threadedComment ref="B6" dT="2026-08-27T03:19:13.899" personId="{38DDA572-B262-407C-95F2-6D0C8DF4D0E9}" id="{4AA863EF-5511-ABD7-0A17-7CA24AACB1ED}">
    <xltc:text>Calculation: 2026-06-30归母净资产4.444003bn + 限制性股票认购资金0.017376bn - 拟议中期分红0.048083bn。中期分红尚未实施。</xltc:text>
  </xltc:threadedComment>
  <xltc:threadedComment ref="C17" dT="2026-08-27T03:19:13.899" personId="{38DDA572-B262-407C-95F2-6D0C8DF4D0E9}" id="{38689F03-979D-DEE7-C649-ECD612511ED8}">
    <xltc:text>Analyst assumption: Base normalized profit increased from RMB0.31bn to RMB0.32bn after 1H26 revenue, margin and cash-flow confirmation; not consensus.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c642ce43d548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067a82b96fd4463" /><Relationship Type="http://schemas.openxmlformats.org/officeDocument/2006/relationships/vmlDrawing" Target="/xl/drawings/vmldrawing.vml" Id="R3c56183d8f4c400d" /><Relationship Type="http://schemas.microsoft.com/office/2017/10/relationships/threadedComment" Target="/xl/threadedcomments/threadedcomment.xml" Id="R8f309cb6087645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3e3e38415e1e4e91" /><Relationship Type="http://schemas.openxmlformats.org/officeDocument/2006/relationships/vmlDrawing" Target="/xl/drawings/vmldrawing2.vml" Id="R97cfb0b019904c8d" /><Relationship Type="http://schemas.microsoft.com/office/2017/10/relationships/threadedComment" Target="/xl/threadedcomments/threadedcomment2.xml" Id="R312b4293699042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3cf05cc695414623" /><Relationship Type="http://schemas.openxmlformats.org/officeDocument/2006/relationships/vmlDrawing" Target="/xl/drawings/vmldrawing3.vml" Id="Rdcc9e8ac85a4483f" /><Relationship Type="http://schemas.microsoft.com/office/2017/10/relationships/threadedComment" Target="/xl/threadedcomments/threadedcomment3.xml" Id="Rddc9ff356d4b4b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4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晋亿实业（601002.SH）基本面与估值模型</x:v>
      </x:c>
      <x:c r="B1" s="3" t="str">
        <x:v>晋亿实业（601002.SH）基本面与估值模型</x:v>
      </x:c>
      <x:c r="C1" s="3" t="str">
        <x:v>晋亿实业（601002.SH）基本面与估值模型</x:v>
      </x:c>
      <x:c r="D1" s="3" t="str">
        <x:v>晋亿实业（601002.SH）基本面与估值模型</x:v>
      </x:c>
      <x:c r="E1" s="3" t="str">
        <x:v>晋亿实业（601002.SH）基本面与估值模型</x:v>
      </x:c>
      <x:c r="F1" s="3" t="str">
        <x:v>晋亿实业（601002.SH）基本面与估值模型</x:v>
      </x:c>
      <x:c r="G1" s="3" t="str">
        <x:v>晋亿实业（601002.SH）基本面与估值模型</x:v>
      </x:c>
      <x:c r="H1" s="3" t="str">
        <x:v>晋亿实业（601002.SH）基本面与估值模型</x:v>
      </x:c>
    </x:row>
    <x:row r="2">
      <x:c r="J2" s="45" t="str">
        <x:v>当前价格</x:v>
      </x:c>
    </x:row>
    <x:row r="3">
      <x:c r="A3" s="7" t="str">
        <x:v>公司</x:v>
      </x:c>
      <x:c r="B3" s="8" t="str">
        <x:v>晋亿实业股份有限公司</x:v>
      </x:c>
      <x:c r="J3" s="25" t="n">
        <x:f>'Assumptions'!$B$4</x:f>
        <x:v>5.24</x:v>
      </x:c>
    </x:row>
    <x:row r="4">
      <x:c r="A4" s="9" t="str">
        <x:v>估值日期</x:v>
      </x:c>
      <x:c r="B4" s="10" t="n">
        <x:v>46261</x:v>
      </x:c>
      <x:c r="J4" s="25" t="n">
        <x:f>'Assumptions'!$B$4</x:f>
        <x:v>5.24</x:v>
      </x:c>
    </x:row>
    <x:row r="5">
      <x:c r="A5" s="9" t="str">
        <x:v>资料截止</x:v>
      </x:c>
      <x:c r="B5" s="11" t="str">
        <x:v>2026-08-27 10:56（盘中）</x:v>
      </x:c>
      <x:c r="J5" s="25" t="n">
        <x:f>'Assumptions'!$B$4</x:f>
        <x:v>5.24</x:v>
      </x:c>
    </x:row>
    <x:row r="6">
      <x:c r="A6" s="9" t="str">
        <x:v>报告货币</x:v>
      </x:c>
      <x:c r="B6" s="11" t="str">
        <x:v>人民币十亿元；每股价值为人民币</x:v>
      </x:c>
    </x:row>
    <x:row r="7">
      <x:c r="A7" s="9" t="str">
        <x:v>模型版本</x:v>
      </x:c>
      <x:c r="B7" s="11" t="str">
        <x:v>2026中报更新 v2.0</x:v>
      </x:c>
    </x:row>
    <x:row r="8">
      <x:c r="A8" s="9" t="str">
        <x:v>估值框架</x:v>
      </x:c>
      <x:c r="B8" s="11" t="str">
        <x:v>70%正常化P/E + 30% P/B交叉验证</x:v>
      </x:c>
    </x:row>
    <x:row r="9">
      <x:c r="A9" s="9" t="str">
        <x:v>模型状态</x:v>
      </x:c>
      <x:c r="B9" s="12" t="str">
        <x:f>'Checks'!F2</x:f>
        <x:v>OK</x:v>
      </x:c>
    </x:row>
    <x:row r="10">
      <x:c r="A10" s="13" t="str">
        <x:v>用途</x:v>
      </x:c>
      <x:c r="B10" s="14" t="str">
        <x:v>研究与情景分析；不构成个性化投资建议</x:v>
      </x:c>
    </x:row>
    <x:row r="12">
      <x:c r="A12" s="17" t="str">
        <x:v>关键估值输出</x:v>
      </x:c>
      <x:c r="B12" s="18" t="str">
        <x:v>数值</x:v>
      </x:c>
      <x:c r="C12" s="19" t="str">
        <x:v>说明</x:v>
      </x:c>
    </x:row>
    <x:row r="13">
      <x:c r="A13" s="36" t="str">
        <x:v>当前价格</x:v>
      </x:c>
      <x:c r="B13" s="37" t="n">
        <x:f>'Assumptions'!B4</x:f>
        <x:v>5.24</x:v>
      </x:c>
      <x:c r="C13" s="36" t="str">
        <x:v>2026-08-27 10:56盘中快照</x:v>
      </x:c>
    </x:row>
    <x:row r="14">
      <x:c r="A14" s="38" t="str">
        <x:v>摊薄后总股本</x:v>
      </x:c>
      <x:c r="B14" s="39" t="n">
        <x:f>'Assumptions'!B5</x:f>
        <x:v>0.96165072</x:v>
      </x:c>
      <x:c r="C14" s="38" t="str">
        <x:v>2026-08限制性股票登记后</x:v>
      </x:c>
    </x:row>
    <x:row r="15">
      <x:c r="A15" s="38" t="str">
        <x:v>当前市值</x:v>
      </x:c>
      <x:c r="B15" s="40" t="n">
        <x:f>'Assumptions'!B7</x:f>
        <x:v>5.0390497728</x:v>
      </x:c>
      <x:c r="C15" s="38" t="str">
        <x:v>按摊薄后总股本</x:v>
      </x:c>
    </x:row>
    <x:row r="16">
      <x:c r="A16" s="38" t="str">
        <x:v>当前市净率</x:v>
      </x:c>
      <x:c r="B16" s="41" t="n">
        <x:f>'Assumptions'!B9</x:f>
        <x:v>1.141788181070268</x:v>
      </x:c>
      <x:c r="C16" s="38" t="str">
        <x:v>按中报后备考净资产计算</x:v>
      </x:c>
    </x:row>
    <x:row r="17">
      <x:c r="A17" s="38" t="str">
        <x:v>净金融现金</x:v>
      </x:c>
      <x:c r="B17" s="40" t="n">
        <x:f>'Assumptions'!B12</x:f>
        <x:v>1.2134271927000002</x:v>
      </x:c>
      <x:c r="C17" s="38" t="str">
        <x:v>1H26现金+交易性金融资产；无有息借款</x:v>
      </x:c>
    </x:row>
    <x:row r="18">
      <x:c r="A18" s="38" t="str">
        <x:v>熊市综合价值</x:v>
      </x:c>
      <x:c r="B18" s="42" t="n">
        <x:f>'Valuation'!H5</x:f>
        <x:v>3.535993406383765</x:v>
      </x:c>
      <x:c r="C18" s="38" t="str">
        <x:v>利润回落、毛利降至25%附近</x:v>
      </x:c>
    </x:row>
    <x:row r="19">
      <x:c r="A19" s="38" t="str">
        <x:v>基准综合价值</x:v>
      </x:c>
      <x:c r="B19" s="42" t="n">
        <x:f>'Valuation'!H6</x:f>
        <x:v>5.612003011553301</x:v>
      </x:c>
      <x:c r="C19" s="38" t="str">
        <x:v>收入正增、正常化利润3.2亿元</x:v>
      </x:c>
    </x:row>
    <x:row r="20">
      <x:c r="A20" s="38" t="str">
        <x:v>牛市综合价值</x:v>
      </x:c>
      <x:c r="B20" s="42" t="n">
        <x:f>'Valuation'!H7</x:f>
        <x:v>7.88850178459597</x:v>
      </x:c>
      <x:c r="C20" s="38" t="str">
        <x:v>铁路、汽车和订单连续性共振</x:v>
      </x:c>
    </x:row>
    <x:row r="21">
      <x:c r="A21" s="43" t="str">
        <x:v>基准相对当前价格</x:v>
      </x:c>
      <x:c r="B21" s="44" t="n">
        <x:f>'Valuation'!I6</x:f>
        <x:v>0.07099294113612609</x:v>
      </x:c>
      <x:c r="C21" s="43" t="str">
        <x:v>情景差异，不是收益保证</x:v>
      </x:c>
    </x:row>
    <x:row r="24">
      <x:c r="A24" s="17" t="str">
        <x:v>研究结论</x:v>
      </x:c>
      <x:c r="B24" s="18" t="str">
        <x:v>研究结论</x:v>
      </x:c>
      <x:c r="C24" s="18" t="str">
        <x:v>研究结论</x:v>
      </x:c>
      <x:c r="D24" s="18" t="str">
        <x:v>研究结论</x:v>
      </x:c>
      <x:c r="E24" s="18" t="str">
        <x:v>研究结论</x:v>
      </x:c>
      <x:c r="F24" s="18" t="str">
        <x:v>研究结论</x:v>
      </x:c>
      <x:c r="G24" s="18" t="str">
        <x:v>研究结论</x:v>
      </x:c>
      <x:c r="H24" s="19" t="str">
        <x:v>研究结论</x:v>
      </x:c>
    </x:row>
    <x:row r="25" ht="25" customHeight="1">
      <x:c r="A25" s="49" t="str">
        <x:v>2026年中报确认收入、毛利和扣非利润同步改善，二季度收入同比约增13.3%，经营修复可信度提高；但经营现金流仍受应付票据增长支持，存货升至13.90亿元，30%以上毛利率能否跨铁路交付周期维持仍待验证。5.24元盘中价格略低于5.61元基准价值，观点由中性上调为中性偏积极，但安全边际仍不充足。</x:v>
      </x:c>
      <x:c r="B25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C25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D25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E25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F25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G25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H25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</x:row>
    <x:row r="26" ht="25" customHeight="1">
      <x:c r="A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B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C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D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E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F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G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H26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</x:row>
    <x:row r="27" ht="25" customHeight="1">
      <x:c r="A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B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C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D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E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F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G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H27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</x:row>
    <x:row r="28" ht="25" customHeight="1">
      <x:c r="A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B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C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D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E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F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G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H28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</x:row>
    <x:row r="29" ht="25" customHeight="1">
      <x:c r="A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B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C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D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E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F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G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  <x:c r="H29" s="49" t="str">
        <x:v>晋亿实业已从2023年亏损低谷恢复。2025年扣非利润与现金流同步改善，2026年铁路集中供货和新能源汽车紧固件继续推升利润；但收入尚未恢复增长，毛利改善对钢价和产品组合存在依赖。高存货、铁路回款和关联交易限制估值扩张，当前价格接近基准价值。</x:v>
      </x:c>
    </x:row>
  </x:sheetData>
  <x:mergeCells>
    <x:mergeCell ref="A1:H1"/>
    <x:mergeCell ref="A24:H24"/>
    <x:mergeCell ref="A25:H29"/>
  </x:mergeCells>
  <x:pageMargins left="0.7" right="0.7" top="0.75" bottom="0.75" header="0.3" footer="0.3"/>
  <x:drawing xmlns:r="http://schemas.openxmlformats.org/officeDocument/2006/relationships" r:id="R2dc642ce43d5480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历史财务与经营质量</x:v>
      </x:c>
      <x:c r="B1" s="3" t="str">
        <x:v>历史财务与经营质量</x:v>
      </x:c>
      <x:c r="C1" s="3" t="str">
        <x:v>历史财务与经营质量</x:v>
      </x:c>
      <x:c r="D1" s="3" t="str">
        <x:v>历史财务与经营质量</x:v>
      </x:c>
      <x:c r="E1" s="3" t="str">
        <x:v>历史财务与经营质量</x:v>
      </x:c>
      <x:c r="F1" s="3" t="str">
        <x:v>历史财务与经营质量</x:v>
      </x:c>
    </x:row>
    <x:row r="3">
      <x:c r="A3" s="52" t="str">
        <x:v>指标（人民币十亿元，除注明外）</x:v>
      </x:c>
      <x:c r="B3" s="53" t="str">
        <x:v>2023A</x:v>
      </x:c>
      <x:c r="C3" s="53" t="str">
        <x:v>2024A</x:v>
      </x:c>
      <x:c r="D3" s="53" t="str">
        <x:v>2025A</x:v>
      </x:c>
      <x:c r="E3" s="53" t="str">
        <x:v>1H25</x:v>
      </x:c>
      <x:c r="F3" s="54" t="str">
        <x:v>1H26</x:v>
      </x:c>
    </x:row>
    <x:row r="4">
      <x:c r="A4" s="36" t="str">
        <x:v>营业收入</x:v>
      </x:c>
      <x:c r="B4" s="69" t="n">
        <x:v>2.3141825311</x:v>
      </x:c>
      <x:c r="C4" s="69" t="n">
        <x:v>2.36971120015</x:v>
      </x:c>
      <x:c r="D4" s="69" t="n">
        <x:v>2.33642065018</x:v>
      </x:c>
      <x:c r="E4" s="69" t="n">
        <x:v>1.18365722971</x:v>
      </x:c>
      <x:c r="F4" s="69" t="n">
        <x:v>1.23635867813</x:v>
      </x:c>
    </x:row>
    <x:row r="5">
      <x:c r="A5" s="38" t="str">
        <x:v>营业成本</x:v>
      </x:c>
      <x:c r="B5" s="70" t="n">
        <x:v>2.03198944066</x:v>
      </x:c>
      <x:c r="C5" s="70" t="n">
        <x:v>1.88724530777</x:v>
      </x:c>
      <x:c r="D5" s="70" t="n">
        <x:v>1.74476314131</x:v>
      </x:c>
      <x:c r="E5" s="70" t="n">
        <x:v>0.91101137695</x:v>
      </x:c>
      <x:c r="F5" s="70" t="n">
        <x:v>0.85653173842</x:v>
      </x:c>
    </x:row>
    <x:row r="6">
      <x:c r="A6" s="71" t="str">
        <x:v>毛利</x:v>
      </x:c>
      <x:c r="B6" s="72" t="n">
        <x:f>B4-B5</x:f>
        <x:v>0.2821930904400003</x:v>
      </x:c>
      <x:c r="C6" s="72" t="n">
        <x:f>C4-C5</x:f>
        <x:v>0.4824658923799998</x:v>
      </x:c>
      <x:c r="D6" s="72" t="n">
        <x:f>D4-D5</x:f>
        <x:v>0.59165750887</x:v>
      </x:c>
      <x:c r="E6" s="72" t="n">
        <x:v>0.27264585276</x:v>
      </x:c>
      <x:c r="F6" s="72" t="n">
        <x:v>0.37982693971</x:v>
      </x:c>
    </x:row>
    <x:row r="7">
      <x:c r="A7" s="71" t="str">
        <x:v>毛利率</x:v>
      </x:c>
      <x:c r="B7" s="73" t="n">
        <x:f>B6/B4</x:f>
        <x:v>0.12194072275961114</x:v>
      </x:c>
      <x:c r="C7" s="73" t="n">
        <x:f>C6/C4</x:f>
        <x:v>0.2035969160923324</x:v>
      </x:c>
      <x:c r="D7" s="73" t="n">
        <x:f>D6/D4</x:f>
        <x:v>0.25323244289268637</x:v>
      </x:c>
      <x:c r="E7" s="73" t="n">
        <x:f>E6/E4</x:f>
        <x:v>0.23034189790468235</x:v>
      </x:c>
      <x:c r="F7" s="73" t="n">
        <x:f>F6/F4</x:f>
        <x:v>0.3072141979740786</x:v>
      </x:c>
    </x:row>
    <x:row r="8">
      <x:c r="A8" s="38" t="str">
        <x:v>归母净利润</x:v>
      </x:c>
      <x:c r="B8" s="70" t="n">
        <x:v>-0.01928555496</x:v>
      </x:c>
      <x:c r="C8" s="70" t="n">
        <x:v>0.13014127036</x:v>
      </x:c>
      <x:c r="D8" s="70" t="n">
        <x:v>0.2422150777</x:v>
      </x:c>
      <x:c r="E8" s="70" t="n">
        <x:v>0.11733273718</x:v>
      </x:c>
      <x:c r="F8" s="70" t="n">
        <x:v>0.20746699138</x:v>
      </x:c>
    </x:row>
    <x:row r="9">
      <x:c r="A9" s="38" t="str">
        <x:v>扣非归母净利润</x:v>
      </x:c>
      <x:c r="B9" s="70" t="n">
        <x:v>-0.01943809278</x:v>
      </x:c>
      <x:c r="C9" s="70" t="n">
        <x:v>0.13092439844</x:v>
      </x:c>
      <x:c r="D9" s="70" t="n">
        <x:v>0.23541592027</x:v>
      </x:c>
      <x:c r="E9" s="70" t="n">
        <x:v>0.11399483838</x:v>
      </x:c>
      <x:c r="F9" s="70" t="n">
        <x:v>0.17533620694</x:v>
      </x:c>
    </x:row>
    <x:row r="10">
      <x:c r="A10" s="38" t="str">
        <x:v>扣非ROE</x:v>
      </x:c>
      <x:c r="B10" s="74" t="n">
        <x:v>-0.0046</x:v>
      </x:c>
      <x:c r="C10" s="74" t="n">
        <x:v>0.0316</x:v>
      </x:c>
      <x:c r="D10" s="74" t="n">
        <x:v>0.0557</x:v>
      </x:c>
      <x:c r="E10" s="74" t="n">
        <x:v>0.027</x:v>
      </x:c>
      <x:c r="F10" s="74" t="n">
        <x:v>0.0399</x:v>
      </x:c>
    </x:row>
    <x:row r="11">
      <x:c r="A11" s="38" t="str">
        <x:v>经营现金流</x:v>
      </x:c>
      <x:c r="B11" s="70" t="n">
        <x:v>0.35744223452</x:v>
      </x:c>
      <x:c r="C11" s="70" t="n">
        <x:v>0.6261025139</x:v>
      </x:c>
      <x:c r="D11" s="70" t="n">
        <x:v>0.37382854826</x:v>
      </x:c>
      <x:c r="E11" s="70" t="n">
        <x:v>0.13633518338</x:v>
      </x:c>
      <x:c r="F11" s="70" t="n">
        <x:v>0.29720226644</x:v>
      </x:c>
    </x:row>
    <x:row r="12">
      <x:c r="A12" s="38" t="str">
        <x:v>长期资产现金支出</x:v>
      </x:c>
      <x:c r="B12" s="70" t="n">
        <x:v>0.02961722591</x:v>
      </x:c>
      <x:c r="C12" s="70" t="n">
        <x:v>0.03769281644</x:v>
      </x:c>
      <x:c r="D12" s="70" t="n">
        <x:v>0.09091841703</x:v>
      </x:c>
      <x:c r="E12" s="70" t="n">
        <x:v>0.03323689828</x:v>
      </x:c>
      <x:c r="F12" s="70" t="n">
        <x:v>0.00823856116</x:v>
      </x:c>
    </x:row>
    <x:row r="13">
      <x:c r="A13" s="71" t="str">
        <x:v>简化自由现金流</x:v>
      </x:c>
      <x:c r="B13" s="72" t="n">
        <x:f>B11-B12</x:f>
        <x:v>0.32782500861</x:v>
      </x:c>
      <x:c r="C13" s="72" t="n">
        <x:f>C11-C12</x:f>
        <x:v>0.58840969746</x:v>
      </x:c>
      <x:c r="D13" s="72" t="n">
        <x:f>D11-D12</x:f>
        <x:v>0.28291013123</x:v>
      </x:c>
      <x:c r="E13" s="72" t="n">
        <x:f>E11-E12</x:f>
        <x:v>0.10309828509999999</x:v>
      </x:c>
      <x:c r="F13" s="72" t="n">
        <x:f>F11-F12</x:f>
        <x:v>0.28896370528</x:v>
      </x:c>
    </x:row>
    <x:row r="14">
      <x:c r="A14" s="38" t="str">
        <x:v>归母净资产</x:v>
      </x:c>
      <x:c r="B14" s="70" t="n">
        <x:v>4.15130033979</x:v>
      </x:c>
      <x:c r="C14" s="70" t="n">
        <x:v>4.17508545346</x:v>
      </x:c>
      <x:c r="D14" s="70" t="n">
        <x:v>4.32975773717</x:v>
      </x:c>
      <x:c r="E14" s="70"/>
      <x:c r="F14" s="70" t="n">
        <x:v>4.44400292684</x:v>
      </x:c>
    </x:row>
    <x:row r="15">
      <x:c r="A15" s="38" t="str">
        <x:v>总资产</x:v>
      </x:c>
      <x:c r="B15" s="70" t="n">
        <x:v>5.21963921468</x:v>
      </x:c>
      <x:c r="C15" s="70" t="n">
        <x:v>5.1814708755</x:v>
      </x:c>
      <x:c r="D15" s="70" t="n">
        <x:v>5.25643813179</x:v>
      </x:c>
      <x:c r="E15" s="70"/>
      <x:c r="F15" s="70" t="n">
        <x:v>5.54256162064</x:v>
      </x:c>
    </x:row>
    <x:row r="16">
      <x:c r="A16" s="38" t="str">
        <x:v>货币资金</x:v>
      </x:c>
      <x:c r="B16" s="70" t="n">
        <x:v>0.15415245169</x:v>
      </x:c>
      <x:c r="C16" s="70" t="n">
        <x:v>0.52657037901</x:v>
      </x:c>
      <x:c r="D16" s="70" t="n">
        <x:v>0.61645485583</x:v>
      </x:c>
      <x:c r="E16" s="70" t="n">
        <x:v>0.69286500373</x:v>
      </x:c>
      <x:c r="F16" s="70" t="n">
        <x:v>0.6904571927</x:v>
      </x:c>
    </x:row>
    <x:row r="17">
      <x:c r="A17" s="38" t="str">
        <x:v>交易性金融资产</x:v>
      </x:c>
      <x:c r="B17" s="70" t="n">
        <x:v>0.210875</x:v>
      </x:c>
      <x:c r="C17" s="70" t="n">
        <x:v>0.25138</x:v>
      </x:c>
      <x:c r="D17" s="70" t="n">
        <x:v>0.34877000001</x:v>
      </x:c>
      <x:c r="E17" s="70"/>
      <x:c r="F17" s="70" t="n">
        <x:v>0.52297</x:v>
      </x:c>
    </x:row>
    <x:row r="18">
      <x:c r="A18" s="38" t="str">
        <x:v>应收账款</x:v>
      </x:c>
      <x:c r="B18" s="70" t="n">
        <x:v>0.83797444299</x:v>
      </x:c>
      <x:c r="C18" s="70" t="n">
        <x:v>0.62699756982</x:v>
      </x:c>
      <x:c r="D18" s="70" t="n">
        <x:v>0.74601383863</x:v>
      </x:c>
      <x:c r="E18" s="70"/>
      <x:c r="F18" s="70" t="n">
        <x:v>0.69942144191</x:v>
      </x:c>
    </x:row>
    <x:row r="19">
      <x:c r="A19" s="38" t="str">
        <x:v>存货</x:v>
      </x:c>
      <x:c r="B19" s="70" t="n">
        <x:v>1.37855931762</x:v>
      </x:c>
      <x:c r="C19" s="70" t="n">
        <x:v>1.40955804282</x:v>
      </x:c>
      <x:c r="D19" s="70" t="n">
        <x:v>1.25016911859</x:v>
      </x:c>
      <x:c r="E19" s="70"/>
      <x:c r="F19" s="70" t="n">
        <x:v>1.38967341804</x:v>
      </x:c>
    </x:row>
    <x:row r="20">
      <x:c r="A20" s="38" t="str">
        <x:v>固定资产</x:v>
      </x:c>
      <x:c r="B20" s="70" t="n">
        <x:v>1.32733635677</x:v>
      </x:c>
      <x:c r="C20" s="70" t="n">
        <x:v>1.2453106492</x:v>
      </x:c>
      <x:c r="D20" s="70" t="n">
        <x:v>1.14131107798</x:v>
      </x:c>
      <x:c r="E20" s="70"/>
      <x:c r="F20" s="70" t="n">
        <x:v>1.07783353236</x:v>
      </x:c>
    </x:row>
    <x:row r="21">
      <x:c r="A21" s="38" t="str">
        <x:v>报告期股本（十亿股）</x:v>
      </x:c>
      <x:c r="B21" s="75" t="n">
        <x:v>0.95444072</x:v>
      </x:c>
      <x:c r="C21" s="75" t="n">
        <x:v>0.95444072</x:v>
      </x:c>
      <x:c r="D21" s="75" t="n">
        <x:v>0.95444072</x:v>
      </x:c>
      <x:c r="E21" s="75" t="n">
        <x:v>0.95444072</x:v>
      </x:c>
      <x:c r="F21" s="75" t="n">
        <x:v>0.95444072</x:v>
      </x:c>
    </x:row>
    <x:row r="22">
      <x:c r="A22" s="76" t="str">
        <x:v>每股净资产（元）</x:v>
      </x:c>
      <x:c r="B22" s="77" t="n">
        <x:f>B14/B21</x:f>
        <x:v>4.349458539227035</x:v>
      </x:c>
      <x:c r="C22" s="77" t="n">
        <x:f>C14/C21</x:f>
        <x:v>4.374379011679217</x:v>
      </x:c>
      <x:c r="D22" s="77" t="n">
        <x:f>D14/D21</x:f>
        <x:v>4.536434423260985</x:v>
      </x:c>
      <x:c r="E22" s="77"/>
      <x:c r="F22" s="77" t="n">
        <x:f>F14/F21</x:f>
        <x:v>4.656132993613264</x:v>
      </x:c>
    </x:row>
    <x:row r="25">
      <x:c r="A25" s="17" t="str">
        <x:v>关键质量指标</x:v>
      </x:c>
      <x:c r="B25" s="18" t="str">
        <x:v>2023A</x:v>
      </x:c>
      <x:c r="C25" s="18" t="str">
        <x:v>2024A</x:v>
      </x:c>
      <x:c r="D25" s="18" t="str">
        <x:v>2025A</x:v>
      </x:c>
      <x:c r="E25" s="18" t="str">
        <x:v>1H25</x:v>
      </x:c>
      <x:c r="F25" s="19" t="str">
        <x:v>1H26</x:v>
      </x:c>
    </x:row>
    <x:row r="26">
      <x:c r="A26" s="36" t="str">
        <x:v>现金转换（CFO/归母利润）</x:v>
      </x:c>
      <x:c r="B26" s="82" t="n">
        <x:f>IF(B8=0,0,B11/B8)</x:f>
        <x:v>-18.534194907088118</x:v>
      </x:c>
      <x:c r="C26" s="82" t="n">
        <x:f>IF(C8=0,0,C11/C8)</x:f>
        <x:v>4.810945153432572</x:v>
      </x:c>
      <x:c r="D26" s="82" t="n">
        <x:f>IF(D8=0,0,D11/D8)</x:f>
        <x:v>1.5433743919237444</x:v>
      </x:c>
      <x:c r="E26" s="82" t="n">
        <x:f>E11/E8</x:f>
        <x:v>1.161953489339027</x:v>
      </x:c>
      <x:c r="F26" s="82" t="n">
        <x:f>F11/F8</x:f>
        <x:v>1.4325279624633847</x:v>
      </x:c>
    </x:row>
    <x:row r="27">
      <x:c r="A27" s="38" t="str">
        <x:v>自由现金流/归母利润</x:v>
      </x:c>
      <x:c r="B27" s="83" t="n">
        <x:f>IF(B8=0,0,B13/B8)</x:f>
        <x:v>-16.998474209839387</x:v>
      </x:c>
      <x:c r="C27" s="83" t="n">
        <x:f>IF(C8=0,0,C13/C8)</x:f>
        <x:v>4.521315151084099</x:v>
      </x:c>
      <x:c r="D27" s="83" t="n">
        <x:f>IF(D8=0,0,D13/D8)</x:f>
        <x:v>1.1680120573683013</x:v>
      </x:c>
      <x:c r="E27" s="83" t="n">
        <x:f>E13/E8</x:f>
        <x:v>0.878683030651855</x:v>
      </x:c>
      <x:c r="F27" s="83" t="n">
        <x:f>F13/F8</x:f>
        <x:v>1.3928177362476388</x:v>
      </x:c>
    </x:row>
    <x:row r="28">
      <x:c r="A28" s="38" t="str">
        <x:v>应收账款/收入</x:v>
      </x:c>
      <x:c r="B28" s="83" t="n">
        <x:f>B18/B4</x:f>
        <x:v>0.3621038667989969</x:v>
      </x:c>
      <x:c r="C28" s="83" t="n">
        <x:f>C18/C4</x:f>
        <x:v>0.26458817841613436</x:v>
      </x:c>
      <x:c r="D28" s="83" t="n">
        <x:f>D18/D4</x:f>
        <x:v>0.319297742284775</x:v>
      </x:c>
      <x:c r="E28" s="83"/>
      <x:c r="F28" s="83"/>
    </x:row>
    <x:row r="29">
      <x:c r="A29" s="38" t="str">
        <x:v>存货/收入</x:v>
      </x:c>
      <x:c r="B29" s="83" t="n">
        <x:f>B19/B4</x:f>
        <x:v>0.5957003387130095</x:v>
      </x:c>
      <x:c r="C29" s="83" t="n">
        <x:f>C19/C4</x:f>
        <x:v>0.5948227120379803</x:v>
      </x:c>
      <x:c r="D29" s="83" t="n">
        <x:f>D19/D4</x:f>
        <x:v>0.5350787832206866</x:v>
      </x:c>
      <x:c r="E29" s="83"/>
      <x:c r="F29" s="83"/>
    </x:row>
    <x:row r="30">
      <x:c r="A30" s="38" t="str">
        <x:v>净金融现金</x:v>
      </x:c>
      <x:c r="B30" s="40" t="n">
        <x:f>B16+B17</x:f>
        <x:v>0.36502745169</x:v>
      </x:c>
      <x:c r="C30" s="40" t="n">
        <x:f>C16+C17</x:f>
        <x:v>0.77795037901</x:v>
      </x:c>
      <x:c r="D30" s="40" t="n">
        <x:f>D16+D17</x:f>
        <x:v>0.9652248558400001</x:v>
      </x:c>
      <x:c r="E30" s="40"/>
      <x:c r="F30" s="40" t="n">
        <x:f>F16+F17</x:f>
        <x:v>1.2134271927000002</x:v>
      </x:c>
    </x:row>
    <x:row r="31">
      <x:c r="A31" s="43" t="str">
        <x:v>净金融现金/归母净资产</x:v>
      </x:c>
      <x:c r="B31" s="84" t="n">
        <x:f>B30/B14</x:f>
        <x:v>0.08793087028448188</x:v>
      </x:c>
      <x:c r="C31" s="84" t="n">
        <x:f>C30/C14</x:f>
        <x:v>0.18633160630647513</x:v>
      </x:c>
      <x:c r="D31" s="84" t="n">
        <x:f>D30/D14</x:f>
        <x:v>0.22292814388984425</x:v>
      </x:c>
      <x:c r="E31" s="84"/>
      <x:c r="F31" s="84" t="n">
        <x:f>F30/F14</x:f>
        <x:v>0.2730482433689198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3c56183d8f4c400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24" hidden="0" customWidth="1"/>
  </x:cols>
  <x:sheetData>
    <x:row r="1" ht="30" customHeight="1">
      <x:c r="A1" s="3" t="str">
        <x:v>经营驱动、半年度预告与资产质量</x:v>
      </x:c>
      <x:c r="B1" s="3" t="str">
        <x:v>经营驱动、半年度预告与资产质量</x:v>
      </x:c>
      <x:c r="C1" s="3" t="str">
        <x:v>经营驱动、半年度预告与资产质量</x:v>
      </x:c>
      <x:c r="D1" s="3" t="str">
        <x:v>经营驱动、半年度预告与资产质量</x:v>
      </x:c>
      <x:c r="E1" s="3" t="str">
        <x:v>经营驱动、半年度预告与资产质量</x:v>
      </x:c>
      <x:c r="F1" s="3" t="str">
        <x:v>经营驱动、半年度预告与资产质量</x:v>
      </x:c>
      <x:c r="G1" s="3" t="str">
        <x:v>经营驱动、半年度预告与资产质量</x:v>
      </x:c>
      <x:c r="H1" s="3" t="str">
        <x:v>经营驱动、半年度预告与资产质量</x:v>
      </x:c>
    </x:row>
    <x:row r="3">
      <x:c r="A3" s="17" t="str">
        <x:v>2025主营业务（RMB bn）</x:v>
      </x:c>
      <x:c r="B3" s="18" t="str">
        <x:v>收入</x:v>
      </x:c>
      <x:c r="C3" s="18" t="str">
        <x:v>成本</x:v>
      </x:c>
      <x:c r="D3" s="18" t="str">
        <x:v>毛利率</x:v>
      </x:c>
      <x:c r="E3" s="19" t="str">
        <x:v>同比收入</x:v>
      </x:c>
      <x:c r="F3" s="17" t="str">
        <x:v>资产质量（2025A）</x:v>
      </x:c>
      <x:c r="G3" s="18" t="str">
        <x:v>数值</x:v>
      </x:c>
      <x:c r="H3" s="19" t="str">
        <x:v>说明</x:v>
      </x:c>
    </x:row>
    <x:row r="4">
      <x:c r="A4" s="36" t="str">
        <x:v>紧固件</x:v>
      </x:c>
      <x:c r="B4" s="94" t="n">
        <x:v>1.98432075903</x:v>
      </x:c>
      <x:c r="C4" s="94" t="n">
        <x:v>1.43011046968</x:v>
      </x:c>
      <x:c r="D4" s="95" t="n">
        <x:v>0.2793</x:v>
      </x:c>
      <x:c r="E4" s="95" t="n">
        <x:v>0.0116</x:v>
      </x:c>
      <x:c r="F4" s="121" t="str">
        <x:v>存货账面余额</x:v>
      </x:c>
      <x:c r="G4" s="122" t="n">
        <x:v>1.37683908361</x:v>
      </x:c>
      <x:c r="H4" s="121" t="str">
        <x:v>审计关键事项</x:v>
      </x:c>
    </x:row>
    <x:row r="5">
      <x:c r="A5" s="38" t="str">
        <x:v>精线</x:v>
      </x:c>
      <x:c r="B5" s="40" t="n">
        <x:v>0.17783927503</x:v>
      </x:c>
      <x:c r="C5" s="40" t="n">
        <x:v>0.17394788958</x:v>
      </x:c>
      <x:c r="D5" s="74" t="n">
        <x:v>0.0219</x:v>
      </x:c>
      <x:c r="E5" s="74" t="n">
        <x:v>-0.2324</x:v>
      </x:c>
      <x:c r="F5" s="123" t="str">
        <x:v>存货跌价准备</x:v>
      </x:c>
      <x:c r="G5" s="124" t="n">
        <x:v>0.12666996502</x:v>
      </x:c>
      <x:c r="H5" s="123" t="str">
        <x:v>余额</x:v>
      </x:c>
    </x:row>
    <x:row r="6">
      <x:c r="A6" s="38" t="str">
        <x:v>五金工具</x:v>
      </x:c>
      <x:c r="B6" s="40" t="n">
        <x:v>0.01045047076</x:v>
      </x:c>
      <x:c r="C6" s="40" t="n">
        <x:v>0.0110089594</x:v>
      </x:c>
      <x:c r="D6" s="74" t="n">
        <x:v>-0.0534</x:v>
      </x:c>
      <x:c r="E6" s="74" t="n">
        <x:v>-0.4617</x:v>
      </x:c>
      <x:c r="F6" s="123" t="str">
        <x:v>存货账面价值</x:v>
      </x:c>
      <x:c r="G6" s="124" t="n">
        <x:f>G4-G5</x:f>
        <x:v>1.25016911859</x:v>
      </x:c>
      <x:c r="H6" s="123" t="str">
        <x:v>余额减准备</x:v>
      </x:c>
    </x:row>
    <x:row r="7">
      <x:c r="A7" s="38" t="str">
        <x:v>自动仓储设备</x:v>
      </x:c>
      <x:c r="B7" s="40" t="n">
        <x:v>0.03098318142</x:v>
      </x:c>
      <x:c r="C7" s="40" t="n">
        <x:v>0.01772951352</x:v>
      </x:c>
      <x:c r="D7" s="74" t="n">
        <x:v>0.4278</x:v>
      </x:c>
      <x:c r="E7" s="74" t="n">
        <x:v>-0.2269</x:v>
      </x:c>
      <x:c r="F7" s="123" t="str">
        <x:v>本年存货跌价计提</x:v>
      </x:c>
      <x:c r="G7" s="124" t="n">
        <x:v>0.06186781962</x:v>
      </x:c>
      <x:c r="H7" s="123" t="str">
        <x:v>当年增加</x:v>
      </x:c>
    </x:row>
    <x:row r="8">
      <x:c r="A8" s="76" t="str">
        <x:v>合计</x:v>
      </x:c>
      <x:c r="B8" s="96" t="n">
        <x:f>SUM(B4:B7)</x:f>
        <x:v>2.20359368624</x:v>
      </x:c>
      <x:c r="C8" s="96" t="n">
        <x:f>SUM(C4:C7)</x:f>
        <x:v>1.63279683218</x:v>
      </x:c>
      <x:c r="D8" s="97" t="n">
        <x:f>(B8-C8)/B8</x:f>
        <x:v>0.2590299916106371</x:v>
      </x:c>
      <x:c r="E8" s="97"/>
      <x:c r="F8" s="123" t="str">
        <x:v>一般紧固件/自动仓储应收</x:v>
      </x:c>
      <x:c r="G8" s="124" t="n">
        <x:v>0.30307368836</x:v>
      </x:c>
      <x:c r="H8" s="123" t="str">
        <x:v>账面余额</x:v>
      </x:c>
    </x:row>
    <x:row r="9">
      <x:c r="F9" s="123" t="str">
        <x:v>铁路扣件货款应收</x:v>
      </x:c>
      <x:c r="G9" s="124" t="n">
        <x:v>0.45482498324</x:v>
      </x:c>
      <x:c r="H9" s="123" t="str">
        <x:v>账面余额</x:v>
      </x:c>
    </x:row>
    <x:row r="10">
      <x:c r="F10" s="123" t="str">
        <x:v>铁路扣件质保金</x:v>
      </x:c>
      <x:c r="G10" s="124" t="n">
        <x:v>0.0187029362</x:v>
      </x:c>
      <x:c r="H10" s="123" t="str">
        <x:v>账面余额</x:v>
      </x:c>
    </x:row>
    <x:row r="11">
      <x:c r="A11" s="17" t="str">
        <x:v>2025销售模式</x:v>
      </x:c>
      <x:c r="B11" s="18" t="str">
        <x:v>收入</x:v>
      </x:c>
      <x:c r="C11" s="18" t="str">
        <x:v>成本</x:v>
      </x:c>
      <x:c r="D11" s="19" t="str">
        <x:v>毛利率</x:v>
      </x:c>
      <x:c r="F11" s="123" t="str">
        <x:v>前五客户收入占比</x:v>
      </x:c>
      <x:c r="G11" s="125" t="n">
        <x:v>0.4403</x:v>
      </x:c>
      <x:c r="H11" s="123" t="str">
        <x:v>客户集中</x:v>
      </x:c>
    </x:row>
    <x:row r="12">
      <x:c r="A12" s="36" t="str">
        <x:v>直销</x:v>
      </x:c>
      <x:c r="B12" s="94" t="n">
        <x:v>1.36365300191</x:v>
      </x:c>
      <x:c r="C12" s="94" t="n">
        <x:v>0.79926987152</x:v>
      </x:c>
      <x:c r="D12" s="102" t="n">
        <x:v>0.4139</x:v>
      </x:c>
      <x:c r="F12" s="126" t="str">
        <x:v>关联方销售占比</x:v>
      </x:c>
      <x:c r="G12" s="127" t="n">
        <x:v>0.2146</x:v>
      </x:c>
      <x:c r="H12" s="126" t="str">
        <x:v>治理关注</x:v>
      </x:c>
    </x:row>
    <x:row r="13">
      <x:c r="A13" s="38" t="str">
        <x:v>经销</x:v>
      </x:c>
      <x:c r="B13" s="40" t="n">
        <x:v>0.83994068433</x:v>
      </x:c>
      <x:c r="C13" s="40" t="n">
        <x:v>0.83352696066</x:v>
      </x:c>
      <x:c r="D13" s="103" t="n">
        <x:v>0.0076</x:v>
      </x:c>
    </x:row>
    <x:row r="14">
      <x:c r="A14" s="76" t="str">
        <x:v>合计</x:v>
      </x:c>
      <x:c r="B14" s="96" t="n">
        <x:f>SUM(B12:B13)</x:f>
        <x:v>2.20359368624</x:v>
      </x:c>
      <x:c r="C14" s="96" t="n">
        <x:f>SUM(C12:C13)</x:f>
        <x:v>1.63279683218</x:v>
      </x:c>
      <x:c r="D14" s="104" t="n">
        <x:f>(B14-C14)/B14</x:f>
        <x:v>0.2590299916106371</x:v>
      </x:c>
    </x:row>
    <x:row r="17">
      <x:c r="A17" s="17" t="str">
        <x:v>2026H1正式业绩（RMB bn）</x:v>
      </x:c>
      <x:c r="B17" s="18" t="str">
        <x:v>实际</x:v>
      </x:c>
      <x:c r="C17" s="18" t="str">
        <x:v>2025H1</x:v>
      </x:c>
      <x:c r="D17" s="18" t="str">
        <x:v>同比</x:v>
      </x:c>
      <x:c r="E17" s="19" t="str">
        <x:v>预告中点</x:v>
      </x:c>
      <x:c r="F17" s="199" t="str">
        <x:v>2026H1财务质量</x:v>
      </x:c>
      <x:c r="G17" s="199" t="str">
        <x:v>数值</x:v>
      </x:c>
      <x:c r="H17" s="199" t="str">
        <x:v>说明</x:v>
      </x:c>
    </x:row>
    <x:row r="18">
      <x:c r="A18" s="36" t="str">
        <x:v>归母净利润</x:v>
      </x:c>
      <x:c r="B18" s="107" t="n">
        <x:v>0.20746699138</x:v>
      </x:c>
      <x:c r="C18" s="107" t="n">
        <x:v>0.11733273718</x:v>
      </x:c>
      <x:c r="D18" s="102" t="n">
        <x:f>B18/C18-1</x:f>
        <x:v>0.7681935695553166</x:v>
      </x:c>
      <x:c r="E18" s="107" t="n">
        <x:v>0.2025</x:v>
      </x:c>
      <x:c r="F18" t="str">
        <x:v>收入同比</x:v>
      </x:c>
      <x:c r="G18" s="79" t="n">
        <x:v>0.0445</x:v>
      </x:c>
      <x:c r="H18" t="str">
        <x:v>二季度收入同比约+13.3%</x:v>
      </x:c>
    </x:row>
    <x:row r="19">
      <x:c r="A19" s="38" t="str">
        <x:v>扣非归母净利润</x:v>
      </x:c>
      <x:c r="B19" s="108" t="n">
        <x:v>0.17533620694</x:v>
      </x:c>
      <x:c r="C19" s="108" t="n">
        <x:v>0.11399483838</x:v>
      </x:c>
      <x:c r="D19" s="103" t="n">
        <x:f>B19/C19-1</x:f>
        <x:v>0.5381065443991375</x:v>
      </x:c>
      <x:c r="E19" s="108" t="n">
        <x:v>0.175</x:v>
      </x:c>
      <x:c r="F19" t="str">
        <x:v>综合毛利率</x:v>
      </x:c>
      <x:c r="G19" s="79" t="n">
        <x:v>0.30721419797</x:v>
      </x:c>
      <x:c r="H19" t="str">
        <x:v>同比+7.68个百分点</x:v>
      </x:c>
    </x:row>
    <x:row r="20">
      <x:c r="A20" s="43" t="str">
        <x:v>非经常性差额</x:v>
      </x:c>
      <x:c r="B20" s="109" t="n">
        <x:v>0.03213078444</x:v>
      </x:c>
      <x:c r="C20" s="109" t="n">
        <x:v>0.0033378988</x:v>
      </x:c>
      <x:c r="D20" s="84" t="n">
        <x:f>B20/C20-1</x:f>
        <x:v>8.626051107361313</x:v>
      </x:c>
      <x:c r="E20" s="109" t="n">
        <x:v>0.0275</x:v>
      </x:c>
      <x:c r="F20" t="str">
        <x:v>CFO/归母净利润</x:v>
      </x:c>
      <x:c r="G20" s="144" t="n">
        <x:v>1.43252796246</x:v>
      </x:c>
      <x:c r="H20" t="str">
        <x:v>现金转换表面较强</x:v>
      </x:c>
    </x:row>
    <x:row r="21">
      <x:c r="F21" t="str">
        <x:v>简化自由现金流</x:v>
      </x:c>
      <x:c r="G21" s="22" t="n">
        <x:v>0.28896370528</x:v>
      </x:c>
      <x:c r="H21" t="str">
        <x:v>CFO-长期资产现金支出</x:v>
      </x:c>
    </x:row>
    <x:row r="22">
      <x:c r="F22" t="str">
        <x:v>净金融现金</x:v>
      </x:c>
      <x:c r="G22" s="22" t="n">
        <x:v>1.2134271927</x:v>
      </x:c>
      <x:c r="H22" t="str">
        <x:v>无有息借款</x:v>
      </x:c>
    </x:row>
    <x:row r="23">
      <x:c r="A23" s="17" t="str">
        <x:v>限制性股票考核（RMB bn）</x:v>
      </x:c>
      <x:c r="B23" s="18" t="str">
        <x:v>触发值</x:v>
      </x:c>
      <x:c r="C23" s="18" t="str">
        <x:v>目标值</x:v>
      </x:c>
      <x:c r="D23" s="19" t="str">
        <x:v>说明</x:v>
      </x:c>
      <x:c r="F23" t="str">
        <x:v>存货账面价值</x:v>
      </x:c>
      <x:c r="G23" s="22" t="n">
        <x:v>1.38967341804</x:v>
      </x:c>
      <x:c r="H23" t="str">
        <x:v>较年末+11.2%</x:v>
      </x:c>
    </x:row>
    <x:row r="24">
      <x:c r="A24" s="36" t="str">
        <x:v>2026扣非净利润</x:v>
      </x:c>
      <x:c r="B24" s="112" t="n">
        <x:v>0.259</x:v>
      </x:c>
      <x:c r="C24" s="112" t="n">
        <x:v>0.27</x:v>
      </x:c>
      <x:c r="D24" s="36" t="str">
        <x:v>剔除股份支付费用</x:v>
      </x:c>
      <x:c r="F24" t="str">
        <x:v>存货较年末</x:v>
      </x:c>
      <x:c r="G24" s="79" t="n">
        <x:v>0.11158727846</x:v>
      </x:c>
      <x:c r="H24" t="str">
        <x:v>原材料余额约+44.6%</x:v>
      </x:c>
    </x:row>
    <x:row r="25">
      <x:c r="A25" s="38" t="str">
        <x:v>2026-2027累计扣非净利润</x:v>
      </x:c>
      <x:c r="B25" s="113" t="n">
        <x:v>0.544</x:v>
      </x:c>
      <x:c r="C25" s="113" t="n">
        <x:v>0.58</x:v>
      </x:c>
      <x:c r="D25" s="38" t="str">
        <x:v>剔除股份支付费用</x:v>
      </x:c>
      <x:c r="F25" t="str">
        <x:v>应付票据</x:v>
      </x:c>
      <x:c r="G25" s="22" t="n">
        <x:v>0.58940874325</x:v>
      </x:c>
      <x:c r="H25" t="str">
        <x:v>供应链融资</x:v>
      </x:c>
    </x:row>
    <x:row r="26">
      <x:c r="A26" s="43" t="str">
        <x:v>隐含2027单年利润</x:v>
      </x:c>
      <x:c r="B26" s="114" t="n">
        <x:f>B25-B24</x:f>
        <x:v>0.28500000000000003</x:v>
      </x:c>
      <x:c r="C26" s="114" t="n">
        <x:f>C25-C24</x:f>
        <x:v>0.30999999999999994</x:v>
      </x:c>
      <x:c r="D26" s="43" t="str">
        <x:v>累计值减2026值</x:v>
      </x:c>
      <x:c r="F26" t="str">
        <x:v>应付票据较年末</x:v>
      </x:c>
      <x:c r="G26" s="79" t="n">
        <x:v>0.69158409027</x:v>
      </x:c>
      <x:c r="H26" t="str">
        <x:v>现金流改善的反向信号</x:v>
      </x:c>
    </x:row>
    <x:row r="29">
      <x:c r="A29" s="199" t="str">
        <x:v>2026H1产品与地区（RMB bn）</x:v>
      </x:c>
      <x:c r="B29" s="199" t="str">
        <x:v>收入</x:v>
      </x:c>
      <x:c r="C29" s="199" t="str">
        <x:v>成本</x:v>
      </x:c>
      <x:c r="D29" s="199" t="str">
        <x:v>毛利率</x:v>
      </x:c>
    </x:row>
    <x:row r="30">
      <x:c r="A30" t="str">
        <x:v>紧固件</x:v>
      </x:c>
      <x:c r="B30" s="110" t="n">
        <x:v>1.10540891346</x:v>
      </x:c>
      <x:c r="C30" s="110" t="n">
        <x:v>0.75331862616</x:v>
      </x:c>
      <x:c r="D30" s="79" t="n">
        <x:f>1-C30/B30</x:f>
        <x:v>0.31851587499682366</x:v>
      </x:c>
    </x:row>
    <x:row r="31">
      <x:c r="A31" t="str">
        <x:v>精线</x:v>
      </x:c>
      <x:c r="B31" s="110" t="n">
        <x:v>0.06912541335</x:v>
      </x:c>
      <x:c r="C31" s="110" t="n">
        <x:v>0.05136417937</x:v>
      </x:c>
      <x:c r="D31" s="79" t="n">
        <x:f>1-C31/B31</x:f>
        <x:v>0.2569421739305954</x:v>
      </x:c>
    </x:row>
    <x:row r="32">
      <x:c r="A32" t="str">
        <x:v>盘元</x:v>
      </x:c>
      <x:c r="B32" s="110" t="n">
        <x:v>0.01810086003</x:v>
      </x:c>
      <x:c r="C32" s="110" t="n">
        <x:v>0.01775863437</x:v>
      </x:c>
      <x:c r="D32" s="79" t="n">
        <x:f>1-C32/B32</x:f>
        <x:v>0.0189065966718045</x:v>
      </x:c>
    </x:row>
    <x:row r="33">
      <x:c r="A33" t="str">
        <x:v>自动仓储</x:v>
      </x:c>
      <x:c r="B33" s="110" t="n">
        <x:v>0.00749811093</x:v>
      </x:c>
      <x:c r="C33" s="110" t="n">
        <x:v>0.00814946426</x:v>
      </x:c>
      <x:c r="D33" s="79" t="n">
        <x:f>1-C33/B33</x:f>
        <x:v>-0.0868689908806135</x:v>
      </x:c>
    </x:row>
    <x:row r="34">
      <x:c r="A34" t="str">
        <x:v>五金工具</x:v>
      </x:c>
      <x:c r="B34" s="110" t="n">
        <x:v>0.00694908858</x:v>
      </x:c>
      <x:c r="C34" s="110" t="n">
        <x:v>0.00959598132</x:v>
      </x:c>
      <x:c r="D34" s="79" t="n">
        <x:f>1-C34/B34</x:f>
        <x:v>-0.38089782703561403</x:v>
      </x:c>
    </x:row>
    <x:row r="35">
      <x:c r="A35" t="str">
        <x:v>其他</x:v>
      </x:c>
      <x:c r="B35" s="110" t="n">
        <x:v>0.02927629178</x:v>
      </x:c>
      <x:c r="C35" s="110" t="n">
        <x:v>0.01634485294</x:v>
      </x:c>
      <x:c r="D35" s="79" t="n">
        <x:f>1-C35/B35</x:f>
        <x:v>0.4417034417191479</x:v>
      </x:c>
    </x:row>
    <x:row r="36">
      <x:c r="A36" t="str">
        <x:v>境内</x:v>
      </x:c>
      <x:c r="B36" s="110" t="n">
        <x:v>1.17159063265</x:v>
      </x:c>
      <x:c r="C36" s="110" t="n">
        <x:v>0.79614680279</x:v>
      </x:c>
      <x:c r="D36" s="79" t="n">
        <x:f>1-C36/B36</x:f>
        <x:v>0.32045649683182453</x:v>
      </x:c>
    </x:row>
    <x:row r="37">
      <x:c r="A37" t="str">
        <x:v>境外</x:v>
      </x:c>
      <x:c r="B37" s="110" t="n">
        <x:v>0.06476804548</x:v>
      </x:c>
      <x:c r="C37" s="110" t="n">
        <x:v>0.06038493563</x:v>
      </x:c>
      <x:c r="D37" s="79" t="n">
        <x:f>1-C37/B37</x:f>
        <x:v>0.06767395584530145</x:v>
      </x:c>
    </x:row>
    <x:row r="38">
      <x:c r="A38" s="6" t="str">
        <x:v>合计</x:v>
      </x:c>
      <x:c r="B38" s="200" t="n">
        <x:v>1.23635867813</x:v>
      </x:c>
      <x:c r="C38" s="200" t="n">
        <x:v>0.85653173842</x:v>
      </x:c>
      <x:c r="D38" s="201" t="n">
        <x:f>1-C38/B38</x:f>
        <x:v>0.3072141979740787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97cfb0b019904c8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估值假设与市场输入</x:v>
      </x:c>
      <x:c r="B1" s="3" t="str">
        <x:v>估值假设与市场输入</x:v>
      </x:c>
      <x:c r="C1" s="3" t="str">
        <x:v>估值假设与市场输入</x:v>
      </x:c>
      <x:c r="D1" s="3" t="str">
        <x:v>估值假设与市场输入</x:v>
      </x:c>
      <x:c r="E1" s="3" t="str">
        <x:v>估值假设与市场输入</x:v>
      </x:c>
      <x:c r="F1" s="3" t="str">
        <x:v>估值假设与市场输入</x:v>
      </x:c>
      <x:c r="G1" s="3" t="str">
        <x:v>估值假设与市场输入</x:v>
      </x:c>
      <x:c r="H1" s="3" t="str">
        <x:v>估值假设与市场输入</x:v>
      </x:c>
    </x:row>
    <x:row r="3">
      <x:c r="A3" s="17" t="str">
        <x:v>市场与资产输入</x:v>
      </x:c>
      <x:c r="B3" s="19" t="str">
        <x:v>数值</x:v>
      </x:c>
    </x:row>
    <x:row r="4">
      <x:c r="A4" s="36" t="str">
        <x:v>A股价格（元/股）</x:v>
      </x:c>
      <x:c r="B4" s="37" t="n">
        <x:v>5.24</x:v>
      </x:c>
    </x:row>
    <x:row r="5">
      <x:c r="A5" s="38" t="str">
        <x:v>摊薄后总股本（十亿股）</x:v>
      </x:c>
      <x:c r="B5" s="75" t="n">
        <x:v>0.96165072</x:v>
      </x:c>
    </x:row>
    <x:row r="6">
      <x:c r="A6" s="38" t="str">
        <x:v>中报后备考归母净资产（RMB bn）</x:v>
      </x:c>
      <x:c r="B6" s="40" t="n">
        <x:v>4.41329649084</x:v>
      </x:c>
    </x:row>
    <x:row r="7">
      <x:c r="A7" s="38" t="str">
        <x:v>当前市值（RMB bn）</x:v>
      </x:c>
      <x:c r="B7" s="40" t="n">
        <x:f>B4*B5</x:f>
        <x:v>5.0390497728</x:v>
      </x:c>
    </x:row>
    <x:row r="8">
      <x:c r="A8" s="38" t="str">
        <x:v>每股净资产（元）</x:v>
      </x:c>
      <x:c r="B8" s="42" t="n">
        <x:f>B6/B5</x:f>
        <x:v>4.589292556074829</x:v>
      </x:c>
    </x:row>
    <x:row r="9">
      <x:c r="A9" s="38" t="str">
        <x:v>当前市净率</x:v>
      </x:c>
      <x:c r="B9" s="41" t="n">
        <x:f>B4/B8</x:f>
        <x:v>1.141788181070268</x:v>
      </x:c>
    </x:row>
    <x:row r="10">
      <x:c r="A10" s="38" t="str">
        <x:v>1H26货币资金（RMB bn）</x:v>
      </x:c>
      <x:c r="B10" s="40" t="n">
        <x:v>0.6904571927</x:v>
      </x:c>
    </x:row>
    <x:row r="11">
      <x:c r="A11" s="38" t="str">
        <x:v>1H26交易性金融资产（RMB bn）</x:v>
      </x:c>
      <x:c r="B11" s="40" t="n">
        <x:v>0.52297</x:v>
      </x:c>
    </x:row>
    <x:row r="12">
      <x:c r="A12" s="38" t="str">
        <x:v>净金融现金（RMB bn）</x:v>
      </x:c>
      <x:c r="B12" s="40" t="n">
        <x:f>B10+B11</x:f>
        <x:v>1.2134271927000002</x:v>
      </x:c>
    </x:row>
    <x:row r="13">
      <x:c r="A13" s="38" t="str">
        <x:v>净金融现金/股（元）</x:v>
      </x:c>
      <x:c r="B13" s="42" t="n">
        <x:f>B12/B5</x:f>
        <x:v>1.2618169647915412</x:v>
      </x:c>
    </x:row>
    <x:row r="14">
      <x:c r="A14" s="43" t="str">
        <x:v>估值权重合计</x:v>
      </x:c>
      <x:c r="B14" s="134" t="n">
        <x:f>C20+C21</x:f>
        <x:v>1</x:v>
      </x:c>
    </x:row>
    <x:row r="16">
      <x:c r="A16" s="17" t="str">
        <x:v>情景驱动</x:v>
      </x:c>
      <x:c r="B16" s="18" t="str">
        <x:v>Bear</x:v>
      </x:c>
      <x:c r="C16" s="18" t="str">
        <x:v>Base</x:v>
      </x:c>
      <x:c r="D16" s="19" t="str">
        <x:v>Bull</x:v>
      </x:c>
    </x:row>
    <x:row r="17">
      <x:c r="A17" s="36" t="str">
        <x:v>正常化归母利润（RMB bn）</x:v>
      </x:c>
      <x:c r="B17" s="139" t="n">
        <x:v>0.25</x:v>
      </x:c>
      <x:c r="C17" s="139" t="n">
        <x:v>0.32</x:v>
      </x:c>
      <x:c r="D17" s="139" t="n">
        <x:v>0.4</x:v>
      </x:c>
    </x:row>
    <x:row r="18">
      <x:c r="A18" s="38" t="str">
        <x:v>正常化P/E</x:v>
      </x:c>
      <x:c r="B18" s="41" t="n">
        <x:v>13</x:v>
      </x:c>
      <x:c r="C18" s="41" t="n">
        <x:v>17</x:v>
      </x:c>
      <x:c r="D18" s="41" t="n">
        <x:v>20</x:v>
      </x:c>
    </x:row>
    <x:row r="19">
      <x:c r="A19" s="38" t="str">
        <x:v>归母净资产P/B</x:v>
      </x:c>
      <x:c r="B19" s="41" t="n">
        <x:v>0.85</x:v>
      </x:c>
      <x:c r="C19" s="41" t="n">
        <x:v>1.2</x:v>
      </x:c>
      <x:c r="D19" s="41" t="n">
        <x:v>1.5</x:v>
      </x:c>
    </x:row>
    <x:row r="20">
      <x:c r="A20" s="38" t="str">
        <x:v>P/E法权重</x:v>
      </x:c>
      <x:c r="B20" s="140" t="n">
        <x:v>0.7</x:v>
      </x:c>
      <x:c r="C20" s="140" t="n">
        <x:v>0.7</x:v>
      </x:c>
      <x:c r="D20" s="140" t="n">
        <x:v>0.7</x:v>
      </x:c>
    </x:row>
    <x:row r="21">
      <x:c r="A21" s="38" t="str">
        <x:v>P/B法权重</x:v>
      </x:c>
      <x:c r="B21" s="140" t="n">
        <x:v>0.3</x:v>
      </x:c>
      <x:c r="C21" s="140" t="n">
        <x:v>0.3</x:v>
      </x:c>
      <x:c r="D21" s="140" t="n">
        <x:v>0.3</x:v>
      </x:c>
    </x:row>
    <x:row r="22">
      <x:c r="A22" s="38" t="str">
        <x:v>经营逻辑</x:v>
      </x:c>
      <x:c r="B22" s="123" t="str">
        <x:v>毛利回落/订单降温</x:v>
      </x:c>
      <x:c r="C22" s="123" t="str">
        <x:v>收入正增/利润3.2亿</x:v>
      </x:c>
      <x:c r="D22" s="123" t="str">
        <x:v>铁路汽车订单共振</x:v>
      </x:c>
    </x:row>
    <x:row r="23">
      <x:c r="A23" s="43" t="str">
        <x:v>风险逻辑</x:v>
      </x:c>
      <x:c r="B23" s="126" t="str">
        <x:v>库存与应付票据</x:v>
      </x:c>
      <x:c r="C23" s="126" t="str">
        <x:v>安全边际仍偏薄</x:v>
      </x:c>
      <x:c r="D23" s="126" t="str">
        <x:v>高毛利持续</x:v>
      </x:c>
    </x:row>
    <x:row r="26">
      <x:c r="A26" s="52" t="str">
        <x:v>输入颜色图例</x:v>
      </x:c>
      <x:c r="B26" s="141" t="str">
        <x:v>蓝字=可编辑假设</x:v>
      </x:c>
      <x:c r="C26" s="142" t="str">
        <x:v>绿字=跨表引用</x:v>
      </x:c>
      <x:c r="D26" s="53" t="str">
        <x:v>黑字=公式/历史</x:v>
      </x:c>
      <x:c r="E26" s="53"/>
      <x:c r="F26" s="53"/>
      <x:c r="G26" s="53"/>
      <x:c r="H26" s="54"/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dcc9e8ac85a4483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3" t="str">
        <x:v>正常化P/E + P/B交叉验证</x:v>
      </x:c>
      <x:c r="B1" s="3" t="str">
        <x:v>正常化P/E + P/B交叉验证</x:v>
      </x:c>
      <x:c r="C1" s="3" t="str">
        <x:v>正常化P/E + P/B交叉验证</x:v>
      </x:c>
      <x:c r="D1" s="3" t="str">
        <x:v>正常化P/E + P/B交叉验证</x:v>
      </x:c>
      <x:c r="E1" s="3" t="str">
        <x:v>正常化P/E + P/B交叉验证</x:v>
      </x:c>
      <x:c r="F1" s="3" t="str">
        <x:v>正常化P/E + P/B交叉验证</x:v>
      </x:c>
      <x:c r="G1" s="3" t="str">
        <x:v>正常化P/E + P/B交叉验证</x:v>
      </x:c>
      <x:c r="H1" s="3" t="str">
        <x:v>正常化P/E + P/B交叉验证</x:v>
      </x:c>
      <x:c r="I1" s="3" t="str">
        <x:v>正常化P/E + P/B交叉验证</x:v>
      </x:c>
    </x:row>
    <x:row r="3">
      <x:c r="A3" s="17" t="str">
        <x:v>情景</x:v>
      </x:c>
      <x:c r="B3" s="18" t="str">
        <x:v>正常化利润</x:v>
      </x:c>
      <x:c r="C3" s="18" t="str">
        <x:v>P/E</x:v>
      </x:c>
      <x:c r="D3" s="18" t="str">
        <x:v>P/E价值/股</x:v>
      </x:c>
      <x:c r="E3" s="18" t="str">
        <x:v>P/B</x:v>
      </x:c>
      <x:c r="F3" s="18" t="str">
        <x:v>P/B价值/股</x:v>
      </x:c>
      <x:c r="G3" s="18" t="str">
        <x:v>P/E权重</x:v>
      </x:c>
      <x:c r="H3" s="18" t="str">
        <x:v>综合价值/股</x:v>
      </x:c>
      <x:c r="I3" s="19" t="str">
        <x:v>相对当前价格</x:v>
      </x:c>
    </x:row>
    <x:row r="5">
      <x:c r="A5" s="36" t="str">
        <x:v>Bear</x:v>
      </x:c>
      <x:c r="B5" s="139" t="n">
        <x:f>'Assumptions'!B17</x:f>
        <x:v>0.25</x:v>
      </x:c>
      <x:c r="C5" s="168" t="n">
        <x:f>'Assumptions'!B18</x:f>
        <x:v>13</x:v>
      </x:c>
      <x:c r="D5" s="37" t="n">
        <x:f>B5*C5/'Assumptions'!$B$5</x:f>
        <x:v>3.3796054351209763</x:v>
      </x:c>
      <x:c r="E5" s="169" t="n">
        <x:f>'Assumptions'!B19</x:f>
        <x:v>0.85</x:v>
      </x:c>
      <x:c r="F5" s="37" t="n">
        <x:f>'Assumptions'!$B$6*E5/'Assumptions'!$B$5</x:f>
        <x:v>3.9008986726636046</x:v>
      </x:c>
      <x:c r="G5" s="170" t="n">
        <x:f>'Assumptions'!B20</x:f>
        <x:v>0.7</x:v>
      </x:c>
      <x:c r="H5" s="171" t="n">
        <x:f>D5*G5+F5*(1-G5)</x:f>
        <x:v>3.535993406383765</x:v>
      </x:c>
      <x:c r="I5" s="95" t="n">
        <x:f>H5/'Assumptions'!$B$4-1</x:f>
        <x:v>-0.32519209801836557</x:v>
      </x:c>
    </x:row>
    <x:row r="6">
      <x:c r="A6" s="172" t="str">
        <x:v>Base</x:v>
      </x:c>
      <x:c r="B6" s="173" t="n">
        <x:f>'Assumptions'!C17</x:f>
        <x:v>0.32</x:v>
      </x:c>
      <x:c r="C6" s="174" t="n">
        <x:f>'Assumptions'!C18</x:f>
        <x:v>17</x:v>
      </x:c>
      <x:c r="D6" s="175" t="n">
        <x:f>B6*C6/'Assumptions'!$B$5</x:f>
        <x:v>5.656939559094804</x:v>
      </x:c>
      <x:c r="E6" s="176" t="n">
        <x:f>'Assumptions'!C19</x:f>
        <x:v>1.2</x:v>
      </x:c>
      <x:c r="F6" s="175" t="n">
        <x:f>'Assumptions'!$B$6*E6/'Assumptions'!$B$5</x:f>
        <x:v>5.507151067289795</x:v>
      </x:c>
      <x:c r="G6" s="177" t="n">
        <x:f>'Assumptions'!C20</x:f>
        <x:v>0.7</x:v>
      </x:c>
      <x:c r="H6" s="178" t="n">
        <x:f>D6*G6+F6*(1-G6)</x:f>
        <x:v>5.612003011553301</x:v>
      </x:c>
      <x:c r="I6" s="179" t="n">
        <x:f>H6/'Assumptions'!$B$4-1</x:f>
        <x:v>0.07099294113612609</x:v>
      </x:c>
    </x:row>
    <x:row r="7">
      <x:c r="A7" s="43" t="str">
        <x:v>Bull</x:v>
      </x:c>
      <x:c r="B7" s="180" t="n">
        <x:f>'Assumptions'!D17</x:f>
        <x:v>0.4</x:v>
      </x:c>
      <x:c r="C7" s="181" t="n">
        <x:f>'Assumptions'!D18</x:f>
        <x:v>20</x:v>
      </x:c>
      <x:c r="D7" s="182" t="n">
        <x:f>B7*C7/'Assumptions'!$B$5</x:f>
        <x:v>8.31902876337471</x:v>
      </x:c>
      <x:c r="E7" s="183" t="n">
        <x:f>'Assumptions'!D19</x:f>
        <x:v>1.5</x:v>
      </x:c>
      <x:c r="F7" s="182" t="n">
        <x:f>'Assumptions'!$B$6*E7/'Assumptions'!$B$5</x:f>
        <x:v>6.883938834112243</x:v>
      </x:c>
      <x:c r="G7" s="134" t="n">
        <x:f>'Assumptions'!D20</x:f>
        <x:v>0.7</x:v>
      </x:c>
      <x:c r="H7" s="184" t="n">
        <x:f>D7*G7+F7*(1-G7)</x:f>
        <x:v>7.88850178459597</x:v>
      </x:c>
      <x:c r="I7" s="44" t="n">
        <x:f>H7/'Assumptions'!$B$4-1</x:f>
        <x:v>0.5054392718694598</x:v>
      </x:c>
    </x:row>
    <x:row r="11">
      <x:c r="A11" s="17" t="str">
        <x:v>P/E敏感性：正常化利润与估值倍数（元/股）</x:v>
      </x:c>
      <x:c r="B11" s="18" t="str">
        <x:v>P/E敏感性：正常化利润与估值倍数（元/股）</x:v>
      </x:c>
      <x:c r="C11" s="18" t="str">
        <x:v>P/E敏感性：正常化利润与估值倍数（元/股）</x:v>
      </x:c>
      <x:c r="D11" s="18" t="str">
        <x:v>P/E敏感性：正常化利润与估值倍数（元/股）</x:v>
      </x:c>
      <x:c r="E11" s="18" t="str">
        <x:v>P/E敏感性：正常化利润与估值倍数（元/股）</x:v>
      </x:c>
      <x:c r="F11" s="18" t="str">
        <x:v>P/E敏感性：正常化利润与估值倍数（元/股）</x:v>
      </x:c>
      <x:c r="G11" s="19" t="str">
        <x:v>P/E敏感性：正常化利润与估值倍数（元/股）</x:v>
      </x:c>
    </x:row>
    <x:row r="12">
      <x:c r="A12" s="52" t="str">
        <x:v>利润 \ P/E</x:v>
      </x:c>
      <x:c r="B12" s="185" t="n">
        <x:v>13</x:v>
      </x:c>
      <x:c r="C12" s="185" t="n">
        <x:v>15</x:v>
      </x:c>
      <x:c r="D12" s="185" t="n">
        <x:v>17</x:v>
      </x:c>
      <x:c r="E12" s="185" t="n">
        <x:v>19</x:v>
      </x:c>
      <x:c r="F12" s="185" t="n">
        <x:v>21</x:v>
      </x:c>
      <x:c r="G12" s="54" t="str">
        <x:v>说明</x:v>
      </x:c>
    </x:row>
    <x:row r="13">
      <x:c r="A13" s="139" t="n">
        <x:v>0.25</x:v>
      </x:c>
      <x:c r="B13" s="37" t="n">
        <x:f>$A13*B$12/'Assumptions'!$B$5</x:f>
        <x:v>3.3796054351209763</x:v>
      </x:c>
      <x:c r="C13" s="37" t="n">
        <x:f>$A13*C$12/'Assumptions'!$B$5</x:f>
        <x:v>3.8995447328318957</x:v>
      </x:c>
      <x:c r="D13" s="37" t="n">
        <x:f>$A13*D$12/'Assumptions'!$B$5</x:f>
        <x:v>4.419484030542815</x:v>
      </x:c>
      <x:c r="E13" s="37" t="n">
        <x:f>$A13*E$12/'Assumptions'!$B$5</x:f>
        <x:v>4.939423328253735</x:v>
      </x:c>
      <x:c r="F13" s="37" t="n">
        <x:f>$A13*F$12/'Assumptions'!$B$5</x:f>
        <x:v>5.459362625964654</x:v>
      </x:c>
      <x:c r="G13" s="36" t="str">
        <x:v>熊市利润</x:v>
      </x:c>
    </x:row>
    <x:row r="14">
      <x:c r="A14" s="186" t="n">
        <x:v>0.28</x:v>
      </x:c>
      <x:c r="B14" s="42" t="n">
        <x:f>$A14*B$12/'Assumptions'!$B$5</x:f>
        <x:v>3.785158087335494</x:v>
      </x:c>
      <x:c r="C14" s="42" t="n">
        <x:f>$A14*C$12/'Assumptions'!$B$5</x:f>
        <x:v>4.3674901007717235</x:v>
      </x:c>
      <x:c r="D14" s="42" t="n">
        <x:f>$A14*D$12/'Assumptions'!$B$5</x:f>
        <x:v>4.9498221142079535</x:v>
      </x:c>
      <x:c r="E14" s="42" t="n">
        <x:f>$A14*E$12/'Assumptions'!$B$5</x:f>
        <x:v>5.5321541276441835</x:v>
      </x:c>
      <x:c r="F14" s="42" t="n">
        <x:f>$A14*F$12/'Assumptions'!$B$5</x:f>
        <x:v>6.114486141080413</x:v>
      </x:c>
      <x:c r="G14" s="38" t="str">
        <x:v>接近激励目标</x:v>
      </x:c>
    </x:row>
    <x:row r="15">
      <x:c r="A15" s="186" t="n">
        <x:v>0.32</x:v>
      </x:c>
      <x:c r="B15" s="42" t="n">
        <x:f>$A15*B$12/'Assumptions'!$B$5</x:f>
        <x:v>4.3258949569548495</x:v>
      </x:c>
      <x:c r="C15" s="42" t="n">
        <x:f>$A15*C$12/'Assumptions'!$B$5</x:f>
        <x:v>4.991417258024827</x:v>
      </x:c>
      <x:c r="D15" s="42" t="n">
        <x:f>$A15*D$12/'Assumptions'!$B$5</x:f>
        <x:v>5.656939559094804</x:v>
      </x:c>
      <x:c r="E15" s="42" t="n">
        <x:f>$A15*E$12/'Assumptions'!$B$5</x:f>
        <x:v>6.32246186016478</x:v>
      </x:c>
      <x:c r="F15" s="42" t="n">
        <x:f>$A15*F$12/'Assumptions'!$B$5</x:f>
        <x:v>6.987984161234757</x:v>
      </x:c>
      <x:c r="G15" s="38" t="str">
        <x:v>基准</x:v>
      </x:c>
    </x:row>
    <x:row r="16">
      <x:c r="A16" s="186" t="n">
        <x:v>0.36</x:v>
      </x:c>
      <x:c r="B16" s="42" t="n">
        <x:f>$A16*B$12/'Assumptions'!$B$5</x:f>
        <x:v>4.8666318265742055</x:v>
      </x:c>
      <x:c r="C16" s="42" t="n">
        <x:f>$A16*C$12/'Assumptions'!$B$5</x:f>
        <x:v>5.61534441527793</x:v>
      </x:c>
      <x:c r="D16" s="42" t="n">
        <x:f>$A16*D$12/'Assumptions'!$B$5</x:f>
        <x:v>6.364057003981654</x:v>
      </x:c>
      <x:c r="E16" s="42" t="n">
        <x:f>$A16*E$12/'Assumptions'!$B$5</x:f>
        <x:v>7.112769592685377</x:v>
      </x:c>
      <x:c r="F16" s="42" t="n">
        <x:f>$A16*F$12/'Assumptions'!$B$5</x:f>
        <x:v>7.861482181389102</x:v>
      </x:c>
      <x:c r="G16" s="38" t="str">
        <x:v>较强修复</x:v>
      </x:c>
    </x:row>
    <x:row r="17">
      <x:c r="A17" s="180" t="n">
        <x:v>0.4</x:v>
      </x:c>
      <x:c r="B17" s="182" t="n">
        <x:f>$A17*B$12/'Assumptions'!$B$5</x:f>
        <x:v>5.407368696193562</x:v>
      </x:c>
      <x:c r="C17" s="182" t="n">
        <x:f>$A17*C$12/'Assumptions'!$B$5</x:f>
        <x:v>6.239271572531033</x:v>
      </x:c>
      <x:c r="D17" s="182" t="n">
        <x:f>$A17*D$12/'Assumptions'!$B$5</x:f>
        <x:v>7.071174448868505</x:v>
      </x:c>
      <x:c r="E17" s="182" t="n">
        <x:f>$A17*E$12/'Assumptions'!$B$5</x:f>
        <x:v>7.903077325205976</x:v>
      </x:c>
      <x:c r="F17" s="182" t="n">
        <x:f>$A17*F$12/'Assumptions'!$B$5</x:f>
        <x:v>8.734980201543447</x:v>
      </x:c>
      <x:c r="G17" s="43" t="str">
        <x:v>牛市利润</x:v>
      </x:c>
    </x:row>
    <x:row r="21">
      <x:c r="A21" s="17" t="str">
        <x:v>估值限制</x:v>
      </x:c>
      <x:c r="B21" s="18" t="str">
        <x:v>估值限制</x:v>
      </x:c>
      <x:c r="C21" s="18" t="str">
        <x:v>估值限制</x:v>
      </x:c>
      <x:c r="D21" s="18" t="str">
        <x:v>估值限制</x:v>
      </x:c>
      <x:c r="E21" s="18" t="str">
        <x:v>估值限制</x:v>
      </x:c>
      <x:c r="F21" s="18" t="str">
        <x:v>估值限制</x:v>
      </x:c>
      <x:c r="G21" s="18" t="str">
        <x:v>估值限制</x:v>
      </x:c>
      <x:c r="H21" s="18" t="str">
        <x:v>估值限制</x:v>
      </x:c>
      <x:c r="I21" s="19" t="str">
        <x:v>估值限制</x:v>
      </x:c>
    </x:row>
    <x:row r="22">
      <x:c r="A22" s="188" t="str">
        <x:v>正常化利润是分析假设而非一致预期。P/E法已包含现金产生的利息收入，因此未另行加回净现金。P/B使用2026年6月末归母净资产，加限制性股票认购资金并扣除拟议中期分红后的备考口径。中报未经审计，铁路订单、钢价、存货减值和供应商信用会造成较大年度波动，情景区间比单点价值更重要。</x:v>
      </x:c>
      <x:c r="B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C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D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E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F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G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H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I22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</x:row>
    <x:row r="23">
      <x:c r="A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B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C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D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E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F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G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H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I23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</x:row>
    <x:row r="24">
      <x:c r="A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B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C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D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E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F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G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H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I24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</x:row>
    <x:row r="25">
      <x:c r="A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B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C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D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E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F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G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H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I25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</x:row>
    <x:row r="26">
      <x:c r="A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B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C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D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E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F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G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H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  <x:c r="I26" s="188" t="str">
        <x:v>正常化利润是分析假设而非一致预期。P/E法包含现金产生的利息收入，因此未另行加回净现金。P/B只使用2026Q1已报告归母净资产，未估计二季度利润、已实施分红、其他综合收益或限制性股票认购资金。铁路订单、钢价、存货减值和营运资金会造成较大年度波动，情景区间比单点价值更重要。</x:v>
      </x:c>
    </x:row>
  </x:sheetData>
  <x:mergeCells>
    <x:mergeCell ref="A1:I1"/>
    <x:mergeCell ref="A11:G11"/>
    <x:mergeCell ref="A21:I21"/>
    <x:mergeCell ref="A22:I26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IF(COUNTIF(F5:F16,"FAIL")=0,"OK","FAIL")</x:f>
        <x:v>OK</x:v>
      </x:c>
    </x:row>
    <x:row r="4">
      <x:c r="A4" s="17" t="str">
        <x:v>检查项</x:v>
      </x:c>
      <x:c r="B4" s="18" t="str">
        <x:v>实际值</x:v>
      </x:c>
      <x:c r="C4" s="18" t="str">
        <x:v>预期/阈值</x:v>
      </x:c>
      <x:c r="D4" s="18" t="str">
        <x:v>差异</x:v>
      </x:c>
      <x:c r="E4" s="18" t="str">
        <x:v>容差</x:v>
      </x:c>
      <x:c r="F4" s="18" t="str">
        <x:v>状态</x:v>
      </x:c>
      <x:c r="G4" s="19" t="str">
        <x:v>说明</x:v>
      </x:c>
    </x:row>
    <x:row r="5">
      <x:c r="A5" s="36" t="str">
        <x:v>估值权重合计</x:v>
      </x:c>
      <x:c r="B5" s="189" t="n">
        <x:f>'Assumptions'!B14</x:f>
        <x:v>1</x:v>
      </x:c>
      <x:c r="C5" s="189" t="n">
        <x:f>1</x:f>
        <x:v>1</x:v>
      </x:c>
      <x:c r="D5" s="189" t="n">
        <x:f>B5-C5</x:f>
        <x:v>0</x:v>
      </x:c>
      <x:c r="E5" s="189" t="n">
        <x:f>0.0001</x:f>
        <x:v>0.0001</x:v>
      </x:c>
      <x:c r="F5" s="36" t="str">
        <x:f>IF(ABS(D5)&lt;=E5,"OK","FAIL")</x:f>
        <x:v>OK</x:v>
      </x:c>
      <x:c r="G5" s="36" t="str">
        <x:v>P/E与P/B权重应为100%</x:v>
      </x:c>
    </x:row>
    <x:row r="6">
      <x:c r="A6" s="38" t="str">
        <x:v>1H26毛利桥</x:v>
      </x:c>
      <x:c r="B6" s="75" t="n">
        <x:f>'Historical'!F6</x:f>
        <x:v>0.37982693971</x:v>
      </x:c>
      <x:c r="C6" s="75" t="n">
        <x:f>'Historical'!F4-'Historical'!F5</x:f>
        <x:v>0.37982693971000003</x:v>
      </x:c>
      <x:c r="D6" s="75" t="n">
        <x:f>B6-C6</x:f>
        <x:v>-5.551115123125783e-17</x:v>
      </x:c>
      <x:c r="E6" s="75" t="n">
        <x:f>0.0001</x:f>
        <x:v>0.0001</x:v>
      </x:c>
      <x:c r="F6" s="38" t="str">
        <x:f>IF(ABS(D6)&lt;=E6,"OK","FAIL")</x:f>
        <x:v>OK</x:v>
      </x:c>
      <x:c r="G6" s="38" t="str">
        <x:v>收入减成本等于毛利</x:v>
      </x:c>
    </x:row>
    <x:row r="7">
      <x:c r="A7" s="38" t="str">
        <x:v>1H26自由现金流桥</x:v>
      </x:c>
      <x:c r="B7" s="75" t="n">
        <x:f>'Historical'!F13</x:f>
        <x:v>0.28896370528</x:v>
      </x:c>
      <x:c r="C7" s="75" t="n">
        <x:f>'Historical'!F11-'Historical'!F12</x:f>
        <x:v>0.28896370528</x:v>
      </x:c>
      <x:c r="D7" s="75" t="n">
        <x:f>B7-C7</x:f>
        <x:v>0</x:v>
      </x:c>
      <x:c r="E7" s="75" t="n">
        <x:f>0.0001</x:f>
        <x:v>0.0001</x:v>
      </x:c>
      <x:c r="F7" s="38" t="str">
        <x:f>IF(ABS(D7)&lt;=E7,"OK","FAIL")</x:f>
        <x:v>OK</x:v>
      </x:c>
      <x:c r="G7" s="38" t="str">
        <x:v>CFO减长期资产支出</x:v>
      </x:c>
    </x:row>
    <x:row r="8">
      <x:c r="A8" s="38" t="str">
        <x:v>1H26产品收入合计</x:v>
      </x:c>
      <x:c r="B8" s="75" t="n">
        <x:f>'Operating Drivers'!B38</x:f>
        <x:v>1.23635867813</x:v>
      </x:c>
      <x:c r="C8" s="75" t="n">
        <x:f>'Historical'!F4</x:f>
        <x:v>1.23635867813</x:v>
      </x:c>
      <x:c r="D8" s="75" t="n">
        <x:f>B8-C8</x:f>
        <x:v>0</x:v>
      </x:c>
      <x:c r="E8" s="75" t="n">
        <x:f>0.0001</x:f>
        <x:v>0.0001</x:v>
      </x:c>
      <x:c r="F8" s="38" t="str">
        <x:f>IF(ABS(D8)&lt;=E8,"OK","FAIL")</x:f>
        <x:v>OK</x:v>
      </x:c>
      <x:c r="G8" s="38" t="str">
        <x:v>产品合计对营业收入</x:v>
      </x:c>
    </x:row>
    <x:row r="9">
      <x:c r="A9" s="38" t="str">
        <x:v>1H26净金融现金桥</x:v>
      </x:c>
      <x:c r="B9" s="75" t="n">
        <x:f>'Historical'!F30</x:f>
        <x:v>1.2134271927000002</x:v>
      </x:c>
      <x:c r="C9" s="75" t="n">
        <x:f>'Historical'!F16+'Historical'!F17</x:f>
        <x:v>1.2134271927000002</x:v>
      </x:c>
      <x:c r="D9" s="75" t="n">
        <x:f>B9-C9</x:f>
        <x:v>0</x:v>
      </x:c>
      <x:c r="E9" s="75" t="n">
        <x:f>0.0001</x:f>
        <x:v>0.0001</x:v>
      </x:c>
      <x:c r="F9" s="38" t="str">
        <x:f>IF(ABS(D9)&lt;=E9,"OK","FAIL")</x:f>
        <x:v>OK</x:v>
      </x:c>
      <x:c r="G9" s="38" t="str">
        <x:v>现金加交易性金融资产</x:v>
      </x:c>
    </x:row>
    <x:row r="10">
      <x:c r="A10" s="38" t="str">
        <x:v>摊薄股份为正</x:v>
      </x:c>
      <x:c r="B10" s="75" t="n">
        <x:f>'Assumptions'!B5</x:f>
        <x:v>0.96165072</x:v>
      </x:c>
      <x:c r="C10" s="75" t="n">
        <x:f>0</x:f>
        <x:v>0</x:v>
      </x:c>
      <x:c r="D10" s="75" t="n">
        <x:f>B10-C10</x:f>
        <x:v>0.96165072</x:v>
      </x:c>
      <x:c r="E10" s="75" t="n">
        <x:f>0</x:f>
        <x:v>0</x:v>
      </x:c>
      <x:c r="F10" s="38" t="str">
        <x:f>IF(B10&gt;C10,"OK","FAIL")</x:f>
        <x:v>OK</x:v>
      </x:c>
      <x:c r="G10" s="38" t="str">
        <x:v>授予后股本必须为正</x:v>
      </x:c>
    </x:row>
    <x:row r="11">
      <x:c r="A11" s="38" t="str">
        <x:v>当前价格为正</x:v>
      </x:c>
      <x:c r="B11" s="75" t="n">
        <x:f>'Assumptions'!B4</x:f>
        <x:v>5.24</x:v>
      </x:c>
      <x:c r="C11" s="75" t="n">
        <x:f>0</x:f>
        <x:v>0</x:v>
      </x:c>
      <x:c r="D11" s="75" t="n">
        <x:f>B11-C11</x:f>
        <x:v>5.24</x:v>
      </x:c>
      <x:c r="E11" s="75" t="n">
        <x:f>0</x:f>
        <x:v>0</x:v>
      </x:c>
      <x:c r="F11" s="38" t="str">
        <x:f>IF(B11&gt;C11,"OK","FAIL")</x:f>
        <x:v>OK</x:v>
      </x:c>
      <x:c r="G11" s="38" t="str">
        <x:v>市场输入必须为正</x:v>
      </x:c>
    </x:row>
    <x:row r="12">
      <x:c r="A12" s="38" t="str">
        <x:v>情景价值递增</x:v>
      </x:c>
      <x:c r="B12" s="75" t="n">
        <x:f>'Valuation'!H7-'Valuation'!H5</x:f>
        <x:v>4.352508378212205</x:v>
      </x:c>
      <x:c r="C12" s="75" t="n">
        <x:f>0</x:f>
        <x:v>0</x:v>
      </x:c>
      <x:c r="D12" s="75" t="n">
        <x:f>B12-C12</x:f>
        <x:v>4.352508378212205</x:v>
      </x:c>
      <x:c r="E12" s="75" t="n">
        <x:f>0</x:f>
        <x:v>0</x:v>
      </x:c>
      <x:c r="F12" s="38" t="str">
        <x:f>IF(B12&gt;C12,"OK","FAIL")</x:f>
        <x:v>OK</x:v>
      </x:c>
      <x:c r="G12" s="38" t="str">
        <x:v>Bull必须高于Bear</x:v>
      </x:c>
    </x:row>
    <x:row r="13">
      <x:c r="A13" s="38" t="str">
        <x:v>市值复核</x:v>
      </x:c>
      <x:c r="B13" s="75" t="n">
        <x:f>'Assumptions'!B7</x:f>
        <x:v>5.0390497728</x:v>
      </x:c>
      <x:c r="C13" s="75" t="n">
        <x:f>'Assumptions'!B4*'Assumptions'!B5</x:f>
        <x:v>5.0390497728</x:v>
      </x:c>
      <x:c r="D13" s="75" t="n">
        <x:f>B13-C13</x:f>
        <x:v>0</x:v>
      </x:c>
      <x:c r="E13" s="75" t="n">
        <x:f>0.0001</x:f>
        <x:v>0.0001</x:v>
      </x:c>
      <x:c r="F13" s="38" t="str">
        <x:f>IF(ABS(D13)&lt;=E13,"OK","FAIL")</x:f>
        <x:v>OK</x:v>
      </x:c>
      <x:c r="G13" s="38" t="str">
        <x:v>价格乘股本</x:v>
      </x:c>
    </x:row>
    <x:row r="14">
      <x:c r="A14" s="43" t="str">
        <x:v>每股净资产复核</x:v>
      </x:c>
      <x:c r="B14" s="190" t="n">
        <x:f>'Assumptions'!B8</x:f>
        <x:v>4.589292556074829</x:v>
      </x:c>
      <x:c r="C14" s="190" t="n">
        <x:f>'Assumptions'!B6/'Assumptions'!B5</x:f>
        <x:v>4.589292556074829</x:v>
      </x:c>
      <x:c r="D14" s="190" t="n">
        <x:f>B14-C14</x:f>
        <x:v>0</x:v>
      </x:c>
      <x:c r="E14" s="190" t="n">
        <x:f>0.0001</x:f>
        <x:v>0.0001</x:v>
      </x:c>
      <x:c r="F14" s="43" t="str">
        <x:f>IF(ABS(D14)&lt;=E14,"OK","FAIL")</x:f>
        <x:v>OK</x:v>
      </x:c>
      <x:c r="G14" s="43" t="str">
        <x:v>净资产除股本</x:v>
      </x:c>
    </x:row>
    <x:row r="15">
      <x:c r="A15" t="str">
        <x:v>中报扣非利润对预告中点</x:v>
      </x:c>
      <x:c r="B15" t="n">
        <x:f>'Operating Drivers'!B19</x:f>
        <x:v>0.17533620694</x:v>
      </x:c>
      <x:c r="C15" t="n">
        <x:f>'Operating Drivers'!E19</x:f>
        <x:v>0.175</x:v>
      </x:c>
      <x:c r="D15" t="n">
        <x:f>B15-C15</x:f>
        <x:v>0.00033620694000000007</x:v>
      </x:c>
      <x:c r="E15" t="n">
        <x:f>0.015</x:f>
        <x:v>0.015</x:v>
      </x:c>
      <x:c r="F15" t="str">
        <x:f>IF(ABS(D15)&lt;=E15,"OK","FAIL")</x:f>
        <x:v>OK</x:v>
      </x:c>
      <x:c r="G15" t="str">
        <x:v>正式值应落在预告区间且接近中点</x:v>
      </x:c>
    </x:row>
    <x:row r="16">
      <x:c r="A16" t="str">
        <x:v>备考净资产桥</x:v>
      </x:c>
      <x:c r="B16" t="n">
        <x:f>'Assumptions'!B6</x:f>
        <x:v>4.41329649084</x:v>
      </x:c>
      <x:c r="C16" t="n">
        <x:f>4.44400292684+0.0173761-0.048082536</x:f>
        <x:v>4.41329649084</x:v>
      </x:c>
      <x:c r="D16" t="n">
        <x:f>B16-C16</x:f>
        <x:v>0</x:v>
      </x:c>
      <x:c r="E16" t="n">
        <x:f>0.0001</x:f>
        <x:v>0.0001</x:v>
      </x:c>
      <x:c r="F16" t="str">
        <x:f>IF(ABS(D16)&lt;=E16,"OK","FAIL")</x:f>
        <x:v>OK</x:v>
      </x:c>
      <x:c r="G16" t="str">
        <x:v>中报净资产+激励资金-中期分红</x:v>
      </x:c>
    </x:row>
  </x:sheetData>
  <x:mergeCells>
    <x:mergeCell ref="A1:G1"/>
    <x:mergeCell ref="A2:E2"/>
  </x:mergeCells>
  <x:conditionalFormatting sqref="F2:F14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6" hidden="0" customWidth="1"/>
    <x:col min="4" max="4" width="20" hidden="0" customWidth="1"/>
    <x:col min="5" max="5" width="15" hidden="0" customWidth="1"/>
    <x:col min="6" max="6" width="31" hidden="0" customWidth="1"/>
    <x:col min="7" max="7" width="72" hidden="0" customWidth="1"/>
    <x:col min="8" max="8" width="35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7" t="str">
        <x:v>ID</x:v>
      </x:c>
      <x:c r="B3" s="18" t="str">
        <x:v>输入/主题</x:v>
      </x:c>
      <x:c r="C3" s="18" t="str">
        <x:v>数值</x:v>
      </x:c>
      <x:c r="D3" s="18" t="str">
        <x:v>单位</x:v>
      </x:c>
      <x:c r="E3" s="18" t="str">
        <x:v>截至/期间</x:v>
      </x:c>
      <x:c r="F3" s="18" t="str">
        <x:v>来源</x:v>
      </x:c>
      <x:c r="G3" s="18" t="str">
        <x:v>URL</x:v>
      </x:c>
      <x:c r="H3" s="19" t="str">
        <x:v>审计说明</x:v>
      </x:c>
    </x:row>
    <x:row r="4" ht="46" customHeight="1">
      <x:c r="A4" s="36" t="str">
        <x:v>S1</x:v>
      </x:c>
      <x:c r="B4" s="121" t="str">
        <x:v>2025财务、业务与治理</x:v>
      </x:c>
      <x:c r="C4" s="195"/>
      <x:c r="D4" s="121"/>
      <x:c r="E4" s="121" t="str">
        <x:v>FY2025</x:v>
      </x:c>
      <x:c r="F4" s="121" t="str">
        <x:v>晋亿实业2025年年度报告</x:v>
      </x:c>
      <x:c r="G4" s="121" t="str">
        <x:v>https://big5.sse.com.cn/site/cht/www.sse.com.cn/disclosure/listedinfo/announcement/c/new/2026-03-20/601002_20260320_F8Z8.pdf</x:v>
      </x:c>
      <x:c r="H4" s="121" t="str">
        <x:v>天健审计；标准无保留意见</x:v>
      </x:c>
    </x:row>
    <x:row r="5" ht="46" customHeight="1">
      <x:c r="A5" s="38" t="str">
        <x:v>S2</x:v>
      </x:c>
      <x:c r="B5" s="123" t="str">
        <x:v>2023—2024历史财务</x:v>
      </x:c>
      <x:c r="C5" s="196"/>
      <x:c r="D5" s="123"/>
      <x:c r="E5" s="123" t="str">
        <x:v>FY2024</x:v>
      </x:c>
      <x:c r="F5" s="123" t="str">
        <x:v>晋亿实业2024年年度报告</x:v>
      </x:c>
      <x:c r="G5" s="123" t="str">
        <x:v>https://big5.sse.com.cn/site/cht/www.sse.com.cn/disclosure/listedinfo/announcement/c/new/2025-03-18/601002_20250318_DHPX.pdf</x:v>
      </x:c>
      <x:c r="H5" s="123" t="str">
        <x:v>已审计</x:v>
      </x:c>
    </x:row>
    <x:row r="6" ht="46" customHeight="1">
      <x:c r="A6" s="38" t="str">
        <x:v>S3</x:v>
      </x:c>
      <x:c r="B6" s="123" t="str">
        <x:v>2026第一季度财务</x:v>
      </x:c>
      <x:c r="C6" s="196"/>
      <x:c r="D6" s="123"/>
      <x:c r="E6" s="123" t="str">
        <x:v>1Q26</x:v>
      </x:c>
      <x:c r="F6" s="123" t="str">
        <x:v>晋亿实业2026年第一季度报告</x:v>
      </x:c>
      <x:c r="G6" s="123" t="str">
        <x:v>https://big5.sse.com.cn/site/cht/www.sse.com.cn/disclosure/listedinfo/announcement/c/new/2026-04-30/601002_20260430_CX5V.pdf</x:v>
      </x:c>
      <x:c r="H6" s="123" t="str">
        <x:v>未经审计</x:v>
      </x:c>
    </x:row>
    <x:row r="7" ht="46" customHeight="1">
      <x:c r="A7" s="38" t="str">
        <x:v>S4</x:v>
      </x:c>
      <x:c r="B7" s="123" t="str">
        <x:v>2026半年度利润预告</x:v>
      </x:c>
      <x:c r="C7" s="196" t="n">
        <x:v>0.175</x:v>
      </x:c>
      <x:c r="D7" s="123" t="str">
        <x:v>扣非利润中点/RMB bn</x:v>
      </x:c>
      <x:c r="E7" s="123" t="str">
        <x:v>1H26</x:v>
      </x:c>
      <x:c r="F7" s="123" t="str">
        <x:v>晋亿实业2026年半年度业绩预增公告</x:v>
      </x:c>
      <x:c r="G7" s="123" t="str">
        <x:v>https://big5.sse.com.cn/site/cht/www.sse.com.cn/disclosure/listedinfo/announcement/c/new/2026-07-11/601002_20260711_9ZOF.pdf</x:v>
      </x:c>
      <x:c r="H7" s="123" t="str">
        <x:v>未经审计；区间中点</x:v>
      </x:c>
    </x:row>
    <x:row r="8" ht="46" customHeight="1">
      <x:c r="A8" s="38" t="str">
        <x:v>S5</x:v>
      </x:c>
      <x:c r="B8" s="123" t="str">
        <x:v>限制性股票授予</x:v>
      </x:c>
      <x:c r="C8" s="196" t="n">
        <x:v>0.96165072</x:v>
      </x:c>
      <x:c r="D8" s="123" t="str">
        <x:v>授予后十亿股</x:v>
      </x:c>
      <x:c r="E8" s="123" t="str">
        <x:v>2026-08-06</x:v>
      </x:c>
      <x:c r="F8" s="123" t="str">
        <x:v>限制性股票授予结果公告</x:v>
      </x:c>
      <x:c r="G8" s="123" t="str">
        <x:v>https://big5.sse.com.cn/site/cht/www.sse.com.cn/disclosure/listedinfo/announcement/c/new/2026-08-11/601002_20260811_K5Q0.pdf</x:v>
      </x:c>
      <x:c r="H8" s="123" t="str">
        <x:v>已验资并登记</x:v>
      </x:c>
    </x:row>
    <x:row r="9" ht="46" customHeight="1">
      <x:c r="A9" s="38" t="str">
        <x:v>S6</x:v>
      </x:c>
      <x:c r="B9" s="123" t="str">
        <x:v>激励考核目标</x:v>
      </x:c>
      <x:c r="C9" s="196" t="n">
        <x:v>0.27</x:v>
      </x:c>
      <x:c r="D9" s="123" t="str">
        <x:v>2026目标/RMB bn</x:v>
      </x:c>
      <x:c r="E9" s="123" t="str">
        <x:v>2026-2027</x:v>
      </x:c>
      <x:c r="F9" s="123" t="str">
        <x:v>限制性股票激励计划</x:v>
      </x:c>
      <x:c r="G9" s="123" t="str">
        <x:v>https://big5.sse.com.cn/site/cht/www.sse.com.cn/disclosure/listedinfo/announcement/c/new/2026-06-30/601002_20260630_5LPP.pdf</x:v>
      </x:c>
      <x:c r="H9" s="123" t="str">
        <x:v>剔除股份支付费用</x:v>
      </x:c>
    </x:row>
    <x:row r="10" ht="46" customHeight="1">
      <x:c r="A10" s="38" t="str">
        <x:v>S7</x:v>
      </x:c>
      <x:c r="B10" s="123" t="str">
        <x:v>泉州晋亿出售</x:v>
      </x:c>
      <x:c r="C10" s="196" t="n">
        <x:v>0.055</x:v>
      </x:c>
      <x:c r="D10" s="123" t="str">
        <x:v>交易价/RMB bn</x:v>
      </x:c>
      <x:c r="E10" s="123" t="str">
        <x:v>2026-04</x:v>
      </x:c>
      <x:c r="F10" s="123" t="str">
        <x:v>出售全资子公司股权公告</x:v>
      </x:c>
      <x:c r="G10" s="123" t="str">
        <x:v>https://big5.sse.com.cn/site/cht/www.sse.com.cn/disclosure/listedinfo/announcement/c/new/2026-04-17/601002_20260417_MVFI.pdf</x:v>
      </x:c>
      <x:c r="H10" s="123" t="str">
        <x:v>非关联交易；工商变更已完成</x:v>
      </x:c>
    </x:row>
    <x:row r="11" ht="46" customHeight="1">
      <x:c r="A11" s="38" t="str">
        <x:v>S8</x:v>
      </x:c>
      <x:c r="B11" s="123" t="str">
        <x:v>A股收盘价</x:v>
      </x:c>
      <x:c r="C11" s="196" t="n">
        <x:v>5.37</x:v>
      </x:c>
      <x:c r="D11" s="123" t="str">
        <x:v>RMB/股</x:v>
      </x:c>
      <x:c r="E11" s="123" t="str">
        <x:v>2026-08-12</x:v>
      </x:c>
      <x:c r="F11" s="123" t="str">
        <x:v>Yahoo Finance chart API</x:v>
      </x:c>
      <x:c r="G11" s="123" t="str">
        <x:v>https://query1.finance.yahoo.com/v8/finance/chart/601002.SS?period1=1786406400&amp;period2=1786665600&amp;interval=1d&amp;events=history</x:v>
      </x:c>
      <x:c r="H11" s="123" t="str">
        <x:v>二级市场延迟行情</x:v>
      </x:c>
    </x:row>
    <x:row r="12" ht="46" customHeight="1">
      <x:c r="A12" s="38" t="str">
        <x:v>S9</x:v>
      </x:c>
      <x:c r="B12" s="123" t="str">
        <x:v>2026H1正式扣非利润</x:v>
      </x:c>
      <x:c r="C12" s="196" t="n">
        <x:v>0.17533620694</x:v>
      </x:c>
      <x:c r="D12" s="123" t="str">
        <x:v>RMB bn</x:v>
      </x:c>
      <x:c r="E12" s="123" t="str">
        <x:v>1H26</x:v>
      </x:c>
      <x:c r="F12" s="123" t="str">
        <x:v>晋亿实业2026年半年度报告</x:v>
      </x:c>
      <x:c r="G12" s="123" t="str">
        <x:v>https://big5.sse.com.cn/site/cht/www.sse.com.cn/disclosure/listedinfo/announcement/c/new/2026-08-27/601002_20260827_SFN6.pdf</x:v>
      </x:c>
      <x:c r="H12" s="123" t="str">
        <x:v>未经审计；替换预告中点</x:v>
      </x:c>
    </x:row>
    <x:row r="13" ht="46" customHeight="1">
      <x:c r="A13" s="38" t="str">
        <x:v>S10</x:v>
      </x:c>
      <x:c r="B13" s="123" t="str">
        <x:v>2026H1综合毛利率</x:v>
      </x:c>
      <x:c r="C13" s="196" t="n">
        <x:v>0.30721419797</x:v>
      </x:c>
      <x:c r="D13" s="123" t="str">
        <x:v>%</x:v>
      </x:c>
      <x:c r="E13" s="123" t="str">
        <x:v>1H26</x:v>
      </x:c>
      <x:c r="F13" s="123" t="str">
        <x:v>晋亿实业2026年半年度报告</x:v>
      </x:c>
      <x:c r="G13" s="123" t="str">
        <x:v>https://big5.sse.com.cn/site/cht/www.sse.com.cn/disclosure/listedinfo/announcement/c/new/2026-08-27/601002_20260827_SFN6.pdf</x:v>
      </x:c>
      <x:c r="H13" s="123" t="str">
        <x:v>收入减成本计算</x:v>
      </x:c>
    </x:row>
    <x:row r="14" ht="46" customHeight="1">
      <x:c r="A14" s="43" t="str">
        <x:v>S11</x:v>
      </x:c>
      <x:c r="B14" s="126" t="str">
        <x:v>2026H1净金融现金</x:v>
      </x:c>
      <x:c r="C14" s="197" t="n">
        <x:v>1.2134271927</x:v>
      </x:c>
      <x:c r="D14" s="126" t="str">
        <x:v>RMB bn</x:v>
      </x:c>
      <x:c r="E14" s="126" t="str">
        <x:v>2026-06-30</x:v>
      </x:c>
      <x:c r="F14" s="126" t="str">
        <x:v>晋亿实业2026年半年度报告</x:v>
      </x:c>
      <x:c r="G14" s="126" t="str">
        <x:v>https://big5.sse.com.cn/site/cht/www.sse.com.cn/disclosure/listedinfo/announcement/c/new/2026-08-27/601002_20260827_SFN6.pdf</x:v>
      </x:c>
      <x:c r="H14" s="126" t="str">
        <x:v>现金+交易性金融资产；无有息借款</x:v>
      </x:c>
    </x:row>
    <x:row r="15">
      <x:c r="A15" t="str">
        <x:v>S12</x:v>
      </x:c>
      <x:c r="B15" t="str">
        <x:v>中期现金分红</x:v>
      </x:c>
      <x:c r="C15" s="56" t="n">
        <x:v>0.05</x:v>
      </x:c>
      <x:c r="D15" t="str">
        <x:v>RMB/股</x:v>
      </x:c>
      <x:c r="E15" t="str">
        <x:v>2026H1</x:v>
      </x:c>
      <x:c r="F15" t="str">
        <x:v>2026年半年度利润分配方案</x:v>
      </x:c>
      <x:c r="G15" t="str">
        <x:v>https://big5.sse.com.cn/site/cht/www.sse.com.cn/disclosure/listedinfo/announcement/c/new/2026-08-27/601002_20260827_HP11.pdf</x:v>
      </x:c>
      <x:c r="H15" t="str">
        <x:v>拟议；尚待实施</x:v>
      </x:c>
    </x:row>
    <x:row r="16">
      <x:c r="A16" t="str">
        <x:v>S13</x:v>
      </x:c>
      <x:c r="B16" t="str">
        <x:v>A股盘中价格</x:v>
      </x:c>
      <x:c r="C16" s="56" t="n">
        <x:v>5.24</x:v>
      </x:c>
      <x:c r="D16" t="str">
        <x:v>RMB/股</x:v>
      </x:c>
      <x:c r="E16" t="str">
        <x:v>2026-08-27 10:56</x:v>
      </x:c>
      <x:c r="F16" t="str">
        <x:v>东方财富行情</x:v>
      </x:c>
      <x:c r="G16" t="str">
        <x:v>https://quote.eastmoney.com/sh601002.html</x:v>
      </x:c>
      <x:c r="H16" t="str">
        <x:v>盘中快照；前收5.33元</x:v>
      </x:c>
    </x:row>
    <x:row r="17">
      <x:c r="A17" t="str">
        <x:v>A1</x:v>
      </x:c>
      <x:c r="B17" t="str">
        <x:v>正常化利润</x:v>
      </x:c>
      <x:c r="C17" s="56" t="n">
        <x:v>0.32</x:v>
      </x:c>
      <x:c r="D17" t="str">
        <x:v>RMB bn</x:v>
      </x:c>
      <x:c r="E17" t="str">
        <x:v>Base</x:v>
      </x:c>
      <x:c r="F17" t="str">
        <x:v>分析假设</x:v>
      </x:c>
      <x:c r="G17" t="str"/>
      <x:c r="H17" t="str">
        <x:v>不是一致预期</x:v>
      </x:c>
    </x:row>
    <x:row r="18">
      <x:c r="A18" t="str">
        <x:v>A2</x:v>
      </x:c>
      <x:c r="B18" t="str">
        <x:v>P/E估值倍数</x:v>
      </x:c>
      <x:c r="C18" s="56" t="n">
        <x:v>17</x:v>
      </x:c>
      <x:c r="D18" t="str">
        <x:v>x</x:v>
      </x:c>
      <x:c r="E18" t="str">
        <x:v>Base</x:v>
      </x:c>
      <x:c r="F18" t="str">
        <x:v>分析假设</x:v>
      </x:c>
      <x:c r="G18" t="str"/>
      <x:c r="H18" t="str">
        <x:v>反映净现金、铁路壁垒与周期风险</x:v>
      </x:c>
    </x:row>
    <x:row r="19">
      <x:c r="A19" t="str">
        <x:v>A3</x:v>
      </x:c>
      <x:c r="B19" t="str">
        <x:v>估值方法权重</x:v>
      </x:c>
      <x:c r="C19" s="56" t="n">
        <x:v>0.7</x:v>
      </x:c>
      <x:c r="D19" t="str">
        <x:v>P/E权重</x:v>
      </x:c>
      <x:c r="E19" t="str">
        <x:v>Base</x:v>
      </x:c>
      <x:c r="F19" t="str">
        <x:v>分析假设</x:v>
      </x:c>
      <x:c r="G19" t="str"/>
      <x:c r="H19" t="str">
        <x:v>P/B作为资产交叉验证</x:v>
      </x:c>
    </x:row>
  </x:sheetData>
  <x:mergeCells>
    <x:mergeCell ref="A1:H1"/>
  </x:mergeCells>
  <x:pageMargins left="0.7" right="0.7" top="0.75" bottom="0.75" header="0.3" footer="0.3"/>
</x:worksheet>
</file>
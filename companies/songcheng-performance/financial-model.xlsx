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5b00a3c4c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3dbb5b5179f4f19"/>
    <x:sheet xmlns:r="http://schemas.openxmlformats.org/officeDocument/2006/relationships" name="Historical" sheetId="2" r:id="Rf2dec8a94453410a"/>
    <x:sheet xmlns:r="http://schemas.openxmlformats.org/officeDocument/2006/relationships" name="Operating Drivers" sheetId="3" r:id="Reb357f6945714fae"/>
    <x:sheet xmlns:r="http://schemas.openxmlformats.org/officeDocument/2006/relationships" name="Assumptions" sheetId="4" r:id="Rf6c269894b4e4012"/>
    <x:sheet xmlns:r="http://schemas.openxmlformats.org/officeDocument/2006/relationships" name="Valuation" sheetId="5" r:id="Rfa0bcbfdd23c4173"/>
    <x:sheet xmlns:r="http://schemas.openxmlformats.org/officeDocument/2006/relationships" name="Checks" sheetId="6" r:id="Rd96840539e8349e1"/>
    <x:sheet xmlns:r="http://schemas.openxmlformats.org/officeDocument/2006/relationships" name="Sources Audit" sheetId="7" r:id="R0789b4ba900841e4"/>
  </x:sheets>
</x:workbook>
</file>

<file path=xl/comments1.xml><?xml version="1.0" encoding="utf-8"?>
<x:comments xmlns:x="http://schemas.openxmlformats.org/spreadsheetml/2006/main">
  <x:authors>
    <x:author>tc={AF26A1C7-C19C-B8C9-A882-E3C1E0B9DDB0}</x:author>
    <x:author>tc={6A8F8CD1-8008-0930-89AD-04D88B655935}</x:author>
  </x:authors>
  <x:commentList>
    <x:comment ref="D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S4: FY2025 audited consolidated revenue.</x:t>
        </x:r>
      </x:text>
    </x:comment>
    <x:comment ref="F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1H26 unaudited revenue; comparison is restated for the same-control combination.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tc={C0323778-4991-86BC-BD42-BFFBAA5D0EA3}</x:author>
  </x:authors>
  <x:commentList>
    <x:comment ref="G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S8: appraised equity value exceeded book equity by 422.74%, driven by land and building revaluation.</x:t>
        </x:r>
      </x:text>
    </x:comment>
  </x:commentList>
</x:comments>
</file>

<file path=xl/comments3.xml><?xml version="1.0" encoding="utf-8"?>
<x:comments xmlns:x="http://schemas.openxmlformats.org/spreadsheetml/2006/main">
  <x:authors>
    <x:author>tc={04E14FC8-3A5A-9955-9A13-54261B29BCFD}</x:author>
    <x:author>tc={DAEAA1C2-BF40-012B-141E-CD9963D845FD}</x:author>
    <x:author>tc={9E8B45A5-F3A2-D7B1-43F9-15F07FBBB9D9}</x:author>
    <x:author>tc={5305B6BB-75D3-15DC-8C77-5E09AA88239D}</x:author>
    <x:author>tc={FA0A0253-44F0-BEE6-499C-A8DDF0227CD0}</x:author>
    <x:author>tc={5F925FD5-AFF1-2D39-57CF-6D21EDAECC22}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S14: delayed market quote; 2026-08-21 close was RMB 5.97.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S10: 15,805,012 shares cancelled; post-cancellation share capital is 2,608,874,798.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attributable equity at 2026-06-30 after the same-control combination, unaudited.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monetary cash at 2026-06-30.</x:t>
        </x:r>
      </x:text>
    </x:comment>
    <x:comment ref="C2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normalized attributable profit of RMB 0.80bn; not market consensus.</x:t>
        </x:r>
      </x:text>
    </x:comment>
    <x:comment ref="C2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18x P/E reflects brand, cash conversion and net cash, offset by declining revenue, capex and governance risk.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yyyy-mm-dd"/>
    <x:numFmt numFmtId="201" formatCode="&quot;RMB &quot;0.00"/>
    <x:numFmt numFmtId="202" formatCode="0.000&quot; bn shares&quot;"/>
    <x:numFmt numFmtId="203" formatCode="0.0&quot; bn&quot;"/>
    <x:numFmt numFmtId="204" formatCode="0.00x"/>
    <x:numFmt numFmtId="205" formatCode="0.0%"/>
    <x:numFmt numFmtId="206" formatCode="0.0%;[Red](0.0%);-"/>
    <x:numFmt numFmtId="207" formatCode="0.0&quot; bn&quot;;[Red](0.0&quot; bn&quot;);-"/>
    <x:numFmt numFmtId="208" formatCode="0.000"/>
    <x:numFmt numFmtId="209" formatCode="0.0x;[Red](0.0x);-"/>
    <x:numFmt numFmtId="210" formatCode="0.000&quot; bn&quot;"/>
    <x:numFmt numFmtId="211" formatCode="0.0x"/>
    <x:numFmt numFmtId="212" formatCode="0.00&quot; bn&quot;"/>
    <x:numFmt numFmtId="213" formatCode="0%"/>
    <x:numFmt numFmtId="214" formatCode="0.00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6" fontId="7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4" fontId="5" fillId="0" borderId="2" xfId="0" applyNumberFormat="1" applyFont="1" applyFill="1" applyBorder="1"/>
    <x:xf numFmtId="205" fontId="5" fillId="0" borderId="2" xfId="0" applyNumberFormat="1" applyFont="1" applyFill="1" applyBorder="1"/>
    <x:xf numFmtId="201" fontId="5" fillId="0" borderId="2" xfId="0" applyNumberFormat="1" applyFont="1" applyFill="1" applyBorder="1"/>
    <x:xf numFmtId="206" fontId="5" fillId="0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07" fontId="0" fillId="4" borderId="0" xfId="0" applyNumberFormat="1" applyFont="1" applyFill="1" applyBorder="1"/>
    <x:xf numFmtId="205" fontId="0" fillId="4" borderId="0" xfId="0" applyNumberFormat="1" applyFont="1" applyFill="1" applyBorder="1"/>
    <x:xf numFmtId="0" fontId="3" fillId="4" borderId="0" xfId="0" applyNumberFormat="1" applyFont="1" applyFill="1" applyBorder="1"/>
    <x:xf numFmtId="207" fontId="3" fillId="4" borderId="0" xfId="0" applyNumberFormat="1" applyFont="1" applyFill="1" applyBorder="1"/>
    <x:xf numFmtId="205" fontId="3" fillId="4" borderId="0" xfId="0" applyNumberFormat="1" applyFont="1" applyFill="1" applyBorder="1"/>
    <x:xf numFmtId="201" fontId="0" fillId="4" borderId="0" xfId="0" applyNumberFormat="1" applyFont="1" applyFill="1" applyBorder="1"/>
    <x:xf numFmtId="209" fontId="0" fillId="4" borderId="0" xfId="0" applyNumberFormat="1" applyFont="1" applyFill="1" applyBorder="1"/>
    <x:xf numFmtId="201" fontId="3" fillId="4" borderId="0" xfId="0" applyNumberFormat="1" applyFont="1" applyFill="1" applyBorder="1"/>
    <x:xf numFmtId="209" fontId="3" fillId="4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7" fontId="5" fillId="0" borderId="0" xfId="0" applyNumberFormat="1" applyFont="1" applyFill="1" applyBorder="1"/>
    <x:xf numFmtId="0" fontId="4" fillId="4" borderId="0" xfId="0" applyNumberFormat="1" applyFont="1" applyFill="1" applyBorder="1"/>
    <x:xf numFmtId="207" fontId="4" fillId="4" borderId="0" xfId="0" applyNumberFormat="1" applyFont="1" applyFill="1" applyBorder="1"/>
    <x:xf numFmtId="205" fontId="4" fillId="4" borderId="0" xfId="0" applyNumberFormat="1" applyFont="1" applyFill="1" applyBorder="1"/>
    <x:xf numFmtId="208" fontId="5" fillId="0" borderId="0" xfId="0" applyNumberFormat="1" applyFont="1" applyFill="1" applyBorder="1"/>
    <x:xf numFmtId="201" fontId="4" fillId="4" borderId="0" xfId="0" applyNumberFormat="1" applyFont="1" applyFill="1" applyBorder="1"/>
    <x:xf numFmtId="209" fontId="4" fillId="4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207" fontId="5" fillId="0" borderId="1" xfId="0" applyNumberFormat="1" applyFont="1" applyFill="1" applyBorder="1"/>
    <x:xf numFmtId="207" fontId="5" fillId="0" borderId="2" xfId="0" applyNumberFormat="1" applyFont="1" applyFill="1" applyBorder="1"/>
    <x:xf numFmtId="0" fontId="4" fillId="4" borderId="2" xfId="0" applyNumberFormat="1" applyFont="1" applyFill="1" applyBorder="1"/>
    <x:xf numFmtId="207" fontId="4" fillId="4" borderId="2" xfId="0" applyNumberFormat="1" applyFont="1" applyFill="1" applyBorder="1"/>
    <x:xf numFmtId="205" fontId="4" fillId="4" borderId="2" xfId="0" applyNumberFormat="1" applyFont="1" applyFill="1" applyBorder="1"/>
    <x:xf numFmtId="208" fontId="5" fillId="0" borderId="2" xfId="0" applyNumberFormat="1" applyFont="1" applyFill="1" applyBorder="1"/>
    <x:xf numFmtId="201" fontId="4" fillId="4" borderId="2" xfId="0" applyNumberFormat="1" applyFont="1" applyFill="1" applyBorder="1"/>
    <x:xf numFmtId="209" fontId="4" fillId="4" borderId="2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21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10" fontId="5" fillId="0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10" fontId="5" fillId="0" borderId="1" xfId="0" applyNumberFormat="1" applyFont="1" applyFill="1" applyBorder="1" applyAlignment="1">
      <x:alignment wrapText="1"/>
    </x:xf>
    <x:xf numFmtId="206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10" fontId="5" fillId="0" borderId="2" xfId="0" applyNumberFormat="1" applyFont="1" applyFill="1" applyBorder="1" applyAlignment="1">
      <x:alignment wrapText="1"/>
    </x:xf>
    <x:xf numFmtId="206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10" fontId="5" fillId="0" borderId="3" xfId="0" applyNumberFormat="1" applyFont="1" applyFill="1" applyBorder="1" applyAlignment="1">
      <x:alignment wrapText="1"/>
    </x:xf>
    <x:xf numFmtId="206" fontId="5" fillId="0" borderId="3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5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5" fontId="5" fillId="0" borderId="2" xfId="0" applyNumberFormat="1" applyFont="1" applyFill="1" applyBorder="1" applyAlignment="1">
      <x:alignment wrapText="1"/>
    </x:xf>
    <x:xf numFmtId="202" fontId="5" fillId="0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8" fontId="10" fillId="0" borderId="0" xfId="0" applyNumberFormat="1" applyFont="1" applyFill="1" applyBorder="1"/>
    <x:xf numFmtId="211" fontId="0" fillId="0" borderId="0" xfId="0" applyNumberFormat="1" applyFont="1" applyFill="1" applyBorder="1"/>
    <x:xf numFmtId="211" fontId="5" fillId="0" borderId="0" xfId="0" applyNumberFormat="1" applyFont="1" applyFill="1" applyBorder="1"/>
    <x:xf numFmtId="211" fontId="5" fillId="0" borderId="2" xfId="0" applyNumberFormat="1" applyFont="1" applyFill="1" applyBorder="1"/>
    <x:xf numFmtId="205" fontId="5" fillId="0" borderId="3" xfId="0" applyNumberFormat="1" applyFont="1" applyFill="1" applyBorder="1"/>
    <x:xf numFmtId="212" fontId="10" fillId="0" borderId="0" xfId="0" applyNumberFormat="1" applyFont="1" applyFill="1" applyBorder="1"/>
    <x:xf numFmtId="211" fontId="10" fillId="0" borderId="0" xfId="0" applyNumberFormat="1" applyFont="1" applyFill="1" applyBorder="1"/>
    <x:xf numFmtId="213" fontId="10" fillId="0" borderId="0" xfId="0" applyNumberFormat="1" applyFont="1" applyFill="1" applyBorder="1"/>
    <x:xf numFmtId="212" fontId="5" fillId="0" borderId="0" xfId="0" applyNumberFormat="1" applyFont="1" applyFill="1" applyBorder="1"/>
    <x:xf numFmtId="213" fontId="5" fillId="0" borderId="0" xfId="0" applyNumberFormat="1" applyFont="1" applyFill="1" applyBorder="1"/>
    <x:xf numFmtId="212" fontId="5" fillId="0" borderId="1" xfId="0" applyNumberFormat="1" applyFont="1" applyFill="1" applyBorder="1"/>
    <x:xf numFmtId="213" fontId="5" fillId="0" borderId="2" xfId="0" applyNumberFormat="1" applyFont="1" applyFill="1" applyBorder="1"/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0" fontId="0" fillId="7" borderId="0" xfId="0" applyNumberFormat="1" applyFont="1" applyFill="1" applyBorder="1"/>
    <x:xf numFmtId="212" fontId="0" fillId="7" borderId="0" xfId="0" applyNumberFormat="1" applyFont="1" applyFill="1" applyBorder="1"/>
    <x:xf numFmtId="211" fontId="0" fillId="7" borderId="0" xfId="0" applyNumberFormat="1" applyFont="1" applyFill="1" applyBorder="1"/>
    <x:xf numFmtId="201" fontId="0" fillId="7" borderId="0" xfId="0" applyNumberFormat="1" applyFont="1" applyFill="1" applyBorder="1"/>
    <x:xf numFmtId="213" fontId="0" fillId="7" borderId="0" xfId="0" applyNumberFormat="1" applyFont="1" applyFill="1" applyBorder="1"/>
    <x:xf numFmtId="206" fontId="0" fillId="7" borderId="0" xfId="0" applyNumberFormat="1" applyFont="1" applyFill="1" applyBorder="1"/>
    <x:xf numFmtId="201" fontId="3" fillId="0" borderId="0" xfId="0" applyNumberFormat="1" applyFont="1" applyFill="1" applyBorder="1"/>
    <x:xf numFmtId="201" fontId="3" fillId="7" borderId="0" xfId="0" applyNumberFormat="1" applyFont="1" applyFill="1" applyBorder="1"/>
    <x:xf numFmtId="201" fontId="4" fillId="0" borderId="0" xfId="0" applyNumberFormat="1" applyFont="1" applyFill="1" applyBorder="1"/>
    <x:xf numFmtId="0" fontId="5" fillId="7" borderId="0" xfId="0" applyNumberFormat="1" applyFont="1" applyFill="1" applyBorder="1"/>
    <x:xf numFmtId="212" fontId="5" fillId="7" borderId="0" xfId="0" applyNumberFormat="1" applyFont="1" applyFill="1" applyBorder="1"/>
    <x:xf numFmtId="211" fontId="5" fillId="7" borderId="0" xfId="0" applyNumberFormat="1" applyFont="1" applyFill="1" applyBorder="1"/>
    <x:xf numFmtId="201" fontId="5" fillId="7" borderId="0" xfId="0" applyNumberFormat="1" applyFont="1" applyFill="1" applyBorder="1"/>
    <x:xf numFmtId="213" fontId="5" fillId="7" borderId="0" xfId="0" applyNumberFormat="1" applyFont="1" applyFill="1" applyBorder="1"/>
    <x:xf numFmtId="201" fontId="4" fillId="7" borderId="0" xfId="0" applyNumberFormat="1" applyFont="1" applyFill="1" applyBorder="1"/>
    <x:xf numFmtId="206" fontId="5" fillId="7" borderId="0" xfId="0" applyNumberFormat="1" applyFont="1" applyFill="1" applyBorder="1"/>
    <x:xf numFmtId="211" fontId="5" fillId="0" borderId="1" xfId="0" applyNumberFormat="1" applyFont="1" applyFill="1" applyBorder="1"/>
    <x:xf numFmtId="213" fontId="5" fillId="0" borderId="1" xfId="0" applyNumberFormat="1" applyFont="1" applyFill="1" applyBorder="1"/>
    <x:xf numFmtId="201" fontId="4" fillId="0" borderId="1" xfId="0" applyNumberFormat="1" applyFont="1" applyFill="1" applyBorder="1"/>
    <x:xf numFmtId="206" fontId="5" fillId="0" borderId="1" xfId="0" applyNumberFormat="1" applyFont="1" applyFill="1" applyBorder="1"/>
    <x:xf numFmtId="0" fontId="5" fillId="7" borderId="2" xfId="0" applyNumberFormat="1" applyFont="1" applyFill="1" applyBorder="1"/>
    <x:xf numFmtId="212" fontId="5" fillId="7" borderId="2" xfId="0" applyNumberFormat="1" applyFont="1" applyFill="1" applyBorder="1"/>
    <x:xf numFmtId="211" fontId="5" fillId="7" borderId="2" xfId="0" applyNumberFormat="1" applyFont="1" applyFill="1" applyBorder="1"/>
    <x:xf numFmtId="201" fontId="5" fillId="7" borderId="2" xfId="0" applyNumberFormat="1" applyFont="1" applyFill="1" applyBorder="1"/>
    <x:xf numFmtId="213" fontId="5" fillId="7" borderId="2" xfId="0" applyNumberFormat="1" applyFont="1" applyFill="1" applyBorder="1"/>
    <x:xf numFmtId="201" fontId="4" fillId="7" borderId="2" xfId="0" applyNumberFormat="1" applyFont="1" applyFill="1" applyBorder="1"/>
    <x:xf numFmtId="206" fontId="5" fillId="7" borderId="2" xfId="0" applyNumberFormat="1" applyFont="1" applyFill="1" applyBorder="1"/>
    <x:xf numFmtId="212" fontId="5" fillId="0" borderId="3" xfId="0" applyNumberFormat="1" applyFont="1" applyFill="1" applyBorder="1"/>
    <x:xf numFmtId="211" fontId="5" fillId="0" borderId="3" xfId="0" applyNumberFormat="1" applyFont="1" applyFill="1" applyBorder="1"/>
    <x:xf numFmtId="201" fontId="5" fillId="0" borderId="3" xfId="0" applyNumberFormat="1" applyFont="1" applyFill="1" applyBorder="1"/>
    <x:xf numFmtId="213" fontId="5" fillId="0" borderId="3" xfId="0" applyNumberFormat="1" applyFont="1" applyFill="1" applyBorder="1"/>
    <x:xf numFmtId="201" fontId="4" fillId="0" borderId="3" xfId="0" applyNumberFormat="1" applyFont="1" applyFill="1" applyBorder="1"/>
    <x:xf numFmtId="212" fontId="5" fillId="0" borderId="2" xfId="0" applyNumberFormat="1" applyFont="1" applyFill="1" applyBorder="1"/>
    <x:xf numFmtId="214" fontId="0" fillId="0" borderId="0" xfId="0" applyNumberFormat="1" applyFont="1" applyFill="1" applyBorder="1"/>
    <x:xf numFmtId="214" fontId="5" fillId="0" borderId="0" xfId="0" applyNumberFormat="1" applyFont="1" applyFill="1" applyBorder="1"/>
    <x:xf numFmtId="214" fontId="5" fillId="0" borderId="1" xfId="0" applyNumberFormat="1" applyFont="1" applyFill="1" applyBorder="1"/>
    <x:xf numFmtId="214" fontId="5" fillId="0" borderId="2" xfId="0" applyNumberFormat="1" applyFont="1" applyFill="1" applyBorder="1"/>
    <x:xf numFmtId="214" fontId="5" fillId="0" borderId="3" xfId="0" applyNumberFormat="1" applyFont="1" applyFill="1" applyBorder="1"/>
    <x:xf numFmtId="0" fontId="11" fillId="0" borderId="0" xfId="0" applyNumberFormat="1" applyFont="1" applyFill="1" applyBorder="1"/>
    <x:xf numFmtId="208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8" fontId="5" fillId="0" borderId="0" xfId="0" applyNumberFormat="1" applyFont="1" applyFill="1" applyBorder="1" applyAlignment="1">
      <x:alignment wrapText="1"/>
    </x:xf>
    <x:xf numFmtId="208" fontId="5" fillId="0" borderId="1" xfId="0" applyNumberFormat="1" applyFont="1" applyFill="1" applyBorder="1" applyAlignment="1">
      <x:alignment wrapText="1"/>
    </x:xf>
    <x:xf numFmtId="208" fontId="5" fillId="0" borderId="2" xfId="0" applyNumberFormat="1" applyFont="1" applyFill="1" applyBorder="1" applyAlignment="1">
      <x:alignment wrapText="1"/>
    </x:xf>
    <x:xf numFmtId="208" fontId="5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030b2bb0e4ef7" /><Relationship Type="http://schemas.openxmlformats.org/officeDocument/2006/relationships/theme" Target="/xl/theme/theme1.xml" Id="R1a6086ce1e7448b5" /><Relationship Type="http://schemas.openxmlformats.org/officeDocument/2006/relationships/sharedStrings" Target="/xl/sharedStrings.xml" Id="Rb42e6115f38846cf" /><Relationship Type="http://schemas.openxmlformats.org/officeDocument/2006/relationships/worksheet" Target="/xl/worksheets/sheet1.xml" Id="R23dbb5b5179f4f19" /><Relationship Type="http://schemas.openxmlformats.org/officeDocument/2006/relationships/worksheet" Target="/xl/worksheets/sheet2.xml" Id="Rf2dec8a94453410a" /><Relationship Type="http://schemas.openxmlformats.org/officeDocument/2006/relationships/worksheet" Target="/xl/worksheets/sheet3.xml" Id="Reb357f6945714fae" /><Relationship Type="http://schemas.openxmlformats.org/officeDocument/2006/relationships/worksheet" Target="/xl/worksheets/sheet4.xml" Id="Rf6c269894b4e4012" /><Relationship Type="http://schemas.openxmlformats.org/officeDocument/2006/relationships/worksheet" Target="/xl/worksheets/sheet5.xml" Id="Rfa0bcbfdd23c4173" /><Relationship Type="http://schemas.openxmlformats.org/officeDocument/2006/relationships/worksheet" Target="/xl/worksheets/sheet6.xml" Id="Rd96840539e8349e1" /><Relationship Type="http://schemas.openxmlformats.org/officeDocument/2006/relationships/worksheet" Target="/xl/worksheets/sheet7.xml" Id="R0789b4ba900841e4" /><Relationship Type="http://schemas.microsoft.com/office/2017/10/relationships/person" Target="/xl/persons/person.xml" Id="Rbc444a81cb8140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74bf34999b4085" /><Relationship Type="http://schemas.openxmlformats.org/officeDocument/2006/relationships/chart" Target="/xl/drawings/charts/chart2.xml" Id="R337d6299ddc543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收入与归母利润（RMB bn）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'Historical'!$B$3:$D$3</c:f>
              <c:strCache>
                <c:ptCount val="0"/>
              </c:strCache>
            </c:strRef>
          </c:cat>
          <c:val>
            <c:numRef>
              <c:f>'Historical'!$B$4:$D$4</c:f>
              <c:numCache>
                <c:formatCode>0.0" bn"</c:formatCode>
                <c:ptCount val="0"/>
              </c:numCache>
            </c:numRef>
          </c:val>
          <c:smooth val="0"/>
        </c:ser>
        <c:ser>
          <c:idx val="1"/>
          <c:order val="1"/>
          <c:tx>
            <c:v>归母净利润</c:v>
          </c:tx>
          <c:spPr>
            <a:solidFill xmlns:a="http://schemas.openxmlformats.org/drawingml/2006/main">
              <a:srgbClr val="C9A227"/>
            </a:solidFill>
          </c:spPr>
          <c:marker>
            <c:symbol val="none"/>
          </c:marker>
          <c:cat>
            <c:strRef>
              <c:f>'Historical'!$B$3:$D$3</c:f>
              <c:strCache>
                <c:ptCount val="0"/>
              </c:strCache>
            </c:strRef>
          </c:cat>
          <c:val>
            <c:numRef>
              <c:f>'Historical'!$B$8:$D$8</c:f>
              <c:numCache>
                <c:formatCode>0.0" bn"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2.7"/>
          <c:min val="-0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 bn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情景价值与当前股价（元/股）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"RMB "0.0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9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74bf34999b4085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7d6299ddc543f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2712F106-4613-4A57-BEAD-EA5264877B5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4" dT="2026-08-24T02:33:57.323" personId="{2712F106-4613-4A57-BEAD-EA5264877B51}" id="{AF26A1C7-C19C-B8C9-A882-E3C1E0B9DDB0}">
    <xltc:text>Source S4: FY2025 audited consolidated revenue.</xltc:text>
  </xltc:threadedComment>
  <xltc:threadedComment ref="F4" dT="2026-08-24T02:33:57.323" personId="{2712F106-4613-4A57-BEAD-EA5264877B51}" id="{6A8F8CD1-8008-0930-89AD-04D88B655935}">
    <xltc:text>Source S1: 1H26 unaudited revenue; comparison is restated for the same-control combination.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G7" dT="2026-08-24T02:33:57.323" personId="{2712F106-4613-4A57-BEAD-EA5264877B51}" id="{C0323778-4991-86BC-BD42-BFFBAA5D0EA3}">
    <xltc:text>Source S8: appraised equity value exceeded book equity by 422.74%, driven by land and building revaluation.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26-08-24T02:33:57.322" personId="{2712F106-4613-4A57-BEAD-EA5264877B51}" id="{04E14FC8-3A5A-9955-9A13-54261B29BCFD}">
    <xltc:text>Source S14: delayed market quote; 2026-08-21 close was RMB 5.97.</xltc:text>
  </xltc:threadedComment>
  <xltc:threadedComment ref="B5" dT="2026-08-24T02:33:57.323" personId="{2712F106-4613-4A57-BEAD-EA5264877B51}" id="{DAEAA1C2-BF40-012B-141E-CD9963D845FD}">
    <xltc:text>Source S10: 15,805,012 shares cancelled; post-cancellation share capital is 2,608,874,798.</xltc:text>
  </xltc:threadedComment>
  <xltc:threadedComment ref="B7" dT="2026-08-24T02:33:57.323" personId="{2712F106-4613-4A57-BEAD-EA5264877B51}" id="{9E8B45A5-F3A2-D7B1-43F9-15F07FBBB9D9}">
    <xltc:text>Source S1: attributable equity at 2026-06-30 after the same-control combination, unaudited.</xltc:text>
  </xltc:threadedComment>
  <xltc:threadedComment ref="B8" dT="2026-08-24T02:33:57.323" personId="{2712F106-4613-4A57-BEAD-EA5264877B51}" id="{5305B6BB-75D3-15DC-8C77-5E09AA88239D}">
    <xltc:text>Source S1: monetary cash at 2026-06-30.</xltc:text>
  </xltc:threadedComment>
  <xltc:threadedComment ref="C23" dT="2026-08-24T02:33:57.323" personId="{2712F106-4613-4A57-BEAD-EA5264877B51}" id="{FA0A0253-44F0-BEE6-499C-A8DDF0227CD0}">
    <xltc:text>Analyst assumption: normalized attributable profit of RMB 0.80bn; not market consensus.</xltc:text>
  </xltc:threadedComment>
  <xltc:threadedComment ref="C24" dT="2026-08-24T02:33:57.323" personId="{2712F106-4613-4A57-BEAD-EA5264877B51}" id="{5F925FD5-AFF1-2D39-57CF-6D21EDAECC22}">
    <xltc:text>Analyst assumption: 18x P/E reflects brand, cash conversion and net cash, offset by declining revenue, capex and governance risk.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b7cabb8ab642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31d497fac284ac8" /><Relationship Type="http://schemas.openxmlformats.org/officeDocument/2006/relationships/vmlDrawing" Target="/xl/drawings/vmldrawing.vml" Id="Re4baed63585246f3" /><Relationship Type="http://schemas.microsoft.com/office/2017/10/relationships/threadedComment" Target="/xl/threadedcomments/threadedcomment.xml" Id="R8d3c49b564594e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3192e99fa2ca4aab" /><Relationship Type="http://schemas.openxmlformats.org/officeDocument/2006/relationships/vmlDrawing" Target="/xl/drawings/vmldrawing2.vml" Id="R177eb0e6ef2c4628" /><Relationship Type="http://schemas.microsoft.com/office/2017/10/relationships/threadedComment" Target="/xl/threadedcomments/threadedcomment2.xml" Id="R213675bb85bb4b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e5220d885d8c4cca" /><Relationship Type="http://schemas.openxmlformats.org/officeDocument/2006/relationships/vmlDrawing" Target="/xl/drawings/vmldrawing3.vml" Id="Rc7302a0af10e4906" /><Relationship Type="http://schemas.microsoft.com/office/2017/10/relationships/threadedComment" Target="/xl/threadedcomments/threadedcomment3.xml" Id="Rf027066c31054e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宋城演艺（300144.SZ）基本面与估值模型</x:v>
      </x:c>
      <x:c r="B1" s="3" t="str">
        <x:v>宋城演艺（300144.SZ）基本面与估值模型</x:v>
      </x:c>
      <x:c r="C1" s="3" t="str">
        <x:v>宋城演艺（300144.SZ）基本面与估值模型</x:v>
      </x:c>
      <x:c r="D1" s="3" t="str">
        <x:v>宋城演艺（300144.SZ）基本面与估值模型</x:v>
      </x:c>
      <x:c r="E1" s="3" t="str">
        <x:v>宋城演艺（300144.SZ）基本面与估值模型</x:v>
      </x:c>
      <x:c r="F1" s="3" t="str">
        <x:v>宋城演艺（300144.SZ）基本面与估值模型</x:v>
      </x:c>
      <x:c r="G1" s="3" t="str">
        <x:v>宋城演艺（300144.SZ）基本面与估值模型</x:v>
      </x:c>
      <x:c r="H1" s="3" t="str">
        <x:v>宋城演艺（300144.SZ）基本面与估值模型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宋城演艺发展股份有限公司</x:v>
      </x:c>
      <x:c r="J3" t="n">
        <x:f>'Assumptions'!B4</x:f>
        <x:v>5.97</x:v>
      </x:c>
    </x:row>
    <x:row r="4">
      <x:c r="A4" s="12" t="str">
        <x:v>估值日期</x:v>
      </x:c>
      <x:c r="B4" s="13" t="n">
        <x:v>46255</x:v>
      </x:c>
      <x:c r="J4" t="n">
        <x:f>'Assumptions'!B4</x:f>
        <x:v>5.97</x:v>
      </x:c>
    </x:row>
    <x:row r="5">
      <x:c r="A5" s="12" t="str">
        <x:v>资料截止</x:v>
      </x:c>
      <x:c r="B5" s="14" t="str">
        <x:v>2026-08-24</x:v>
      </x:c>
      <x:c r="J5" t="n">
        <x:f>'Assumptions'!B4</x:f>
        <x:v>5.97</x:v>
      </x:c>
    </x:row>
    <x:row r="6">
      <x:c r="A6" s="12" t="str">
        <x:v>报告货币</x:v>
      </x:c>
      <x:c r="B6" s="14" t="str">
        <x:v>人民币十亿元；每股价值为人民币</x:v>
      </x:c>
    </x:row>
    <x:row r="7">
      <x:c r="A7" s="12" t="str">
        <x:v>模型版本</x:v>
      </x:c>
      <x:c r="B7" s="14" t="str">
        <x:v>2026年半年报更新 v1.1</x:v>
      </x:c>
    </x:row>
    <x:row r="8">
      <x:c r="A8" s="12" t="str">
        <x:v>估值框架</x:v>
      </x:c>
      <x:c r="B8" s="14" t="str">
        <x:v>70%正常化P/E + 30% P/B交叉验证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5" t="str">
        <x:v>用途</x:v>
      </x:c>
      <x:c r="B10" s="16" t="str">
        <x:v>研究与情景分析；不构成个性化投资建议</x:v>
      </x:c>
    </x:row>
    <x:row r="12">
      <x:c r="A12" s="19" t="str">
        <x:v>关键估值输出</x:v>
      </x:c>
      <x:c r="B12" s="20" t="str">
        <x:v>数值</x:v>
      </x:c>
      <x:c r="C12" s="21" t="str">
        <x:v>说明</x:v>
      </x:c>
    </x:row>
    <x:row r="13">
      <x:c r="A13" s="11" t="str">
        <x:v>当前价格</x:v>
      </x:c>
      <x:c r="B13" s="40" t="n">
        <x:f>'Assumptions'!B4</x:f>
        <x:v>5.97</x:v>
      </x:c>
      <x:c r="C13" s="11" t="str">
        <x:v>2026-08-21 收市</x:v>
      </x:c>
    </x:row>
    <x:row r="14">
      <x:c r="A14" s="14" t="str">
        <x:v>注销后总股本</x:v>
      </x:c>
      <x:c r="B14" s="41" t="n">
        <x:f>'Assumptions'!B5</x:f>
        <x:v>2.608874798</x:v>
      </x:c>
      <x:c r="C14" s="14" t="str">
        <x:v>2026-07-03注销完成</x:v>
      </x:c>
    </x:row>
    <x:row r="15">
      <x:c r="A15" s="14" t="str">
        <x:v>当前市值</x:v>
      </x:c>
      <x:c r="B15" s="42" t="n">
        <x:f>'Assumptions'!B6</x:f>
        <x:v>15.57498254406</x:v>
      </x:c>
      <x:c r="C15" s="14" t="str">
        <x:v>价格×股本</x:v>
      </x:c>
    </x:row>
    <x:row r="16">
      <x:c r="A16" s="14" t="str">
        <x:v>当前P/B</x:v>
      </x:c>
      <x:c r="B16" s="43" t="n">
        <x:f>'Assumptions'!B12</x:f>
        <x:v>2.1490083389937933</x:v>
      </x:c>
      <x:c r="C16" s="14" t="str">
        <x:v>半年报归母权益/注销后股本</x:v>
      </x:c>
    </x:row>
    <x:row r="17">
      <x:c r="A17" s="14" t="str">
        <x:v>现金+交易性金融资产</x:v>
      </x:c>
      <x:c r="B17" s="42" t="n">
        <x:f>'Assumptions'!B10</x:f>
        <x:v>3.25651120177</x:v>
      </x:c>
      <x:c r="C17" s="14" t="str">
        <x:v>半年报期末；未扣租赁负债</x:v>
      </x:c>
    </x:row>
    <x:row r="18">
      <x:c r="A18" s="14" t="str">
        <x:v>流动性资产/市值</x:v>
      </x:c>
      <x:c r="B18" s="44" t="n">
        <x:f>'Assumptions'!B13</x:f>
        <x:v>0.2090860257825439</x:v>
      </x:c>
      <x:c r="C18" s="14" t="str">
        <x:v>安全边际指标</x:v>
      </x:c>
    </x:row>
    <x:row r="19">
      <x:c r="A19" s="14" t="str">
        <x:v>熊市综合价值</x:v>
      </x:c>
      <x:c r="B19" s="45" t="n">
        <x:f>'Valuation'!H5</x:f>
        <x:v>3.4206159394185693</x:v>
      </x:c>
      <x:c r="C19" s="14" t="str">
        <x:v>项目继续承压</x:v>
      </x:c>
    </x:row>
    <x:row r="20">
      <x:c r="A20" s="14" t="str">
        <x:v>基准综合价值</x:v>
      </x:c>
      <x:c r="B20" s="45" t="n">
        <x:f>'Valuation'!H6</x:f>
        <x:v>5.363868446108313</x:v>
      </x:c>
      <x:c r="C20" s="14" t="str">
        <x:v>利润回到约8.0亿元</x:v>
      </x:c>
    </x:row>
    <x:row r="21">
      <x:c r="A21" s="14" t="str">
        <x:v>牛市综合价值</x:v>
      </x:c>
      <x:c r="B21" s="45" t="n">
        <x:f>'Valuation'!H7</x:f>
        <x:v>7.736424804733999</x:v>
      </x:c>
      <x:c r="C21" s="14" t="str">
        <x:v>扩容及项目修复兑现</x:v>
      </x:c>
    </x:row>
    <x:row r="22">
      <x:c r="A22" s="16" t="str">
        <x:v>基准相对当前价格</x:v>
      </x:c>
      <x:c r="B22" s="46" t="n">
        <x:f>'Valuation'!I6</x:f>
        <x:v>-0.1015295735161954</x:v>
      </x:c>
      <x:c r="C22" s="16" t="str">
        <x:v>情景差异，不是收益保证</x:v>
      </x:c>
    </x:row>
    <x:row r="25">
      <x:c r="A25" s="19" t="str">
        <x:v>研究结论</x:v>
      </x:c>
      <x:c r="B25" s="20" t="str">
        <x:v>研究结论</x:v>
      </x:c>
      <x:c r="C25" s="20" t="str">
        <x:v>研究结论</x:v>
      </x:c>
      <x:c r="D25" s="20" t="str">
        <x:v>研究结论</x:v>
      </x:c>
      <x:c r="E25" s="20" t="str">
        <x:v>研究结论</x:v>
      </x:c>
      <x:c r="F25" s="20" t="str">
        <x:v>研究结论</x:v>
      </x:c>
      <x:c r="G25" s="20" t="str">
        <x:v>研究结论</x:v>
      </x:c>
      <x:c r="H25" s="21" t="str">
        <x:v>研究结论</x:v>
      </x:c>
    </x:row>
    <x:row r="26" ht="24" customHeight="1">
      <x:c r="A26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B26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C26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D26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E26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F26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G26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H26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</x:row>
    <x:row r="27" ht="24" customHeight="1">
      <x:c r="A27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B27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C27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D27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E27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F27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G27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H27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</x:row>
    <x:row r="28" ht="24" customHeight="1">
      <x:c r="A28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B28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C28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D28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E28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F28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G28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H28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</x:row>
    <x:row r="29" ht="24" customHeight="1">
      <x:c r="A29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B29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C29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D29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E29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F29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G29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H29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</x:row>
    <x:row r="30" ht="24" customHeight="1">
      <x:c r="A30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B30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C30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D30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E30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F30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G30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  <x:c r="H30" s="49" t="str">
        <x:v>2026年上半年收入、归母利润分别下降11.4%和14.4%；自营现场演艺收入明显承压，高毛利设计策划费大增才部分对冲。杭州、丽江、九寨和广东等项目毛利率显著下滑，经营现金流降幅扩大。半年报后的股价仍高于更新后的基准价值，结论维持中性偏谨慎。</x:v>
      </x:c>
    </x:row>
  </x:sheetData>
  <x:mergeCells>
    <x:mergeCell ref="A1:H1"/>
    <x:mergeCell ref="A25:H25"/>
    <x:mergeCell ref="A26:H30"/>
  </x:mergeCells>
  <x:pageMargins left="0.7" right="0.7" top="0.75" bottom="0.75" header="0.3" footer="0.3"/>
  <x:drawing xmlns:r="http://schemas.openxmlformats.org/officeDocument/2006/relationships" r:id="Ra5b7cabb8ab642a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历史财务与经营质量</x:v>
      </x:c>
      <x:c r="B1" s="3" t="str">
        <x:v>历史财务与经营质量</x:v>
      </x:c>
      <x:c r="C1" s="3" t="str">
        <x:v>历史财务与经营质量</x:v>
      </x:c>
      <x:c r="D1" s="3" t="str">
        <x:v>历史财务与经营质量</x:v>
      </x:c>
      <x:c r="E1" s="3" t="str">
        <x:v>历史财务与经营质量</x:v>
      </x:c>
      <x:c r="F1" s="3" t="str">
        <x:v>历史财务与经营质量</x:v>
      </x:c>
      <x:c r="G1" s="3" t="str">
        <x:v>历史财务与经营质量</x:v>
      </x:c>
      <x:c r="H1" s="3" t="str">
        <x:v>历史财务与经营质量</x:v>
      </x:c>
    </x:row>
    <x:row r="3">
      <x:c r="A3" s="52" t="str">
        <x:v>指标（RMB bn，除注明外）</x:v>
      </x:c>
      <x:c r="B3" s="53" t="str">
        <x:v>2023A</x:v>
      </x:c>
      <x:c r="C3" s="53" t="str">
        <x:v>2024A</x:v>
      </x:c>
      <x:c r="D3" s="53" t="str">
        <x:v>2025A</x:v>
      </x:c>
      <x:c r="E3" s="53" t="str">
        <x:v>1H25重述</x:v>
      </x:c>
      <x:c r="F3" s="53" t="str">
        <x:v>1H26</x:v>
      </x:c>
      <x:c r="G3" s="53" t="str">
        <x:v>2Q25推导</x:v>
      </x:c>
      <x:c r="H3" s="54" t="str">
        <x:v>2Q26推导</x:v>
      </x:c>
    </x:row>
    <x:row r="4">
      <x:c r="A4" s="11" t="str">
        <x:v>营业收入</x:v>
      </x:c>
      <x:c r="B4" s="78" t="n">
        <x:v>1.92631715178</x:v>
      </x:c>
      <x:c r="C4" s="78" t="n">
        <x:v>2.41727009521</x:v>
      </x:c>
      <x:c r="D4" s="78" t="n">
        <x:v>2.25759802098</x:v>
      </x:c>
      <x:c r="E4" s="78" t="n">
        <x:v>1.08611028733</x:v>
      </x:c>
      <x:c r="F4" s="78" t="n">
        <x:v>0.96200963357</x:v>
      </x:c>
      <x:c r="G4" s="78" t="n">
        <x:v>0.52200676594</x:v>
      </x:c>
      <x:c r="H4" s="78" t="n">
        <x:v>0.42776446667</x:v>
      </x:c>
    </x:row>
    <x:row r="5">
      <x:c r="A5" s="14" t="str">
        <x:v>营业成本</x:v>
      </x:c>
      <x:c r="B5" s="79" t="n">
        <x:v>0.6482990268</x:v>
      </x:c>
      <x:c r="C5" s="79" t="n">
        <x:v>0.78292079998</x:v>
      </x:c>
      <x:c r="D5" s="79" t="n">
        <x:v>0.7956817887</x:v>
      </x:c>
      <x:c r="E5" s="79" t="n">
        <x:v>0.36533796677</x:v>
      </x:c>
      <x:c r="F5" s="79" t="n">
        <x:v>0.3795092251</x:v>
      </x:c>
      <x:c r="G5" s="79" t="n">
        <x:v>0.18857875811</x:v>
      </x:c>
      <x:c r="H5" s="79" t="n">
        <x:v>0.19179036258</x:v>
      </x:c>
    </x:row>
    <x:row r="6">
      <x:c r="A6" s="80" t="str">
        <x:v>毛利</x:v>
      </x:c>
      <x:c r="B6" s="81" t="n">
        <x:f>B4-B5</x:f>
        <x:v>1.27801812498</x:v>
      </x:c>
      <x:c r="C6" s="81" t="n">
        <x:f>C4-C5</x:f>
        <x:v>1.6343492952300003</x:v>
      </x:c>
      <x:c r="D6" s="81" t="n">
        <x:f>D4-D5</x:f>
        <x:v>1.4619162322800001</x:v>
      </x:c>
      <x:c r="E6" s="81" t="n">
        <x:f>E4-E5</x:f>
        <x:v>0.7207723205599998</x:v>
      </x:c>
      <x:c r="F6" s="81" t="n">
        <x:f>F4-F5</x:f>
        <x:v>0.5825004084700001</x:v>
      </x:c>
      <x:c r="G6" s="81" t="n">
        <x:f>G4-G5</x:f>
        <x:v>0.33342800782999993</x:v>
      </x:c>
      <x:c r="H6" s="81" t="n">
        <x:f>H4-H5</x:f>
        <x:v>0.23597410409</x:v>
      </x:c>
    </x:row>
    <x:row r="7">
      <x:c r="A7" s="80" t="str">
        <x:v>毛利率</x:v>
      </x:c>
      <x:c r="B7" s="82" t="n">
        <x:f>B6/B4</x:f>
        <x:v>0.6634515628950592</x:v>
      </x:c>
      <x:c r="C7" s="82" t="n">
        <x:f>C6/C4</x:f>
        <x:v>0.6761136450860764</x:v>
      </x:c>
      <x:c r="D7" s="82" t="n">
        <x:f>D6/D4</x:f>
        <x:v>0.647553824327591</x:v>
      </x:c>
      <x:c r="E7" s="82" t="n">
        <x:f>E6/E4</x:f>
        <x:v>0.6636271923469986</x:v>
      </x:c>
      <x:c r="F7" s="82" t="n">
        <x:f>F6/F4</x:f>
        <x:v>0.6055037165359267</x:v>
      </x:c>
      <x:c r="G7" s="82" t="n">
        <x:f>G6/G4</x:f>
        <x:v>0.6387426937457062</x:v>
      </x:c>
      <x:c r="H7" s="82" t="n">
        <x:f>H6/H4</x:f>
        <x:v>0.5516449412616659</x:v>
      </x:c>
    </x:row>
    <x:row r="8">
      <x:c r="A8" s="14" t="str">
        <x:v>归母净利润</x:v>
      </x:c>
      <x:c r="B8" s="79" t="n">
        <x:v>-0.10991203945</x:v>
      </x:c>
      <x:c r="C8" s="79" t="n">
        <x:v>1.04875652413</x:v>
      </x:c>
      <x:c r="D8" s="79" t="n">
        <x:v>0.81767047431</x:v>
      </x:c>
      <x:c r="E8" s="79" t="n">
        <x:v>0.40532431464</x:v>
      </x:c>
      <x:c r="F8" s="79" t="n">
        <x:v>0.34704897588</x:v>
      </x:c>
      <x:c r="G8" s="79" t="n">
        <x:v>0.15645068342</x:v>
      </x:c>
      <x:c r="H8" s="79" t="n">
        <x:v>0.13565308772</x:v>
      </x:c>
    </x:row>
    <x:row r="9">
      <x:c r="A9" s="14" t="str">
        <x:v>扣非归母净利润</x:v>
      </x:c>
      <x:c r="B9" s="79" t="n">
        <x:v>-0.08830896625</x:v>
      </x:c>
      <x:c r="C9" s="79" t="n">
        <x:v>1.03220958262</x:v>
      </x:c>
      <x:c r="D9" s="79" t="n">
        <x:v>0.78454154276</x:v>
      </x:c>
      <x:c r="E9" s="79" t="n">
        <x:v>0.38989050901</x:v>
      </x:c>
      <x:c r="F9" s="79" t="n">
        <x:v>0.32895333227</x:v>
      </x:c>
      <x:c r="G9" s="79" t="n">
        <x:v>0.14760067993</x:v>
      </x:c>
      <x:c r="H9" s="79" t="n">
        <x:v>0.12640434396</x:v>
      </x:c>
    </x:row>
    <x:row r="10">
      <x:c r="A10" s="14" t="str">
        <x:v>经营现金流</x:v>
      </x:c>
      <x:c r="B10" s="79" t="n">
        <x:v>1.41878108234</x:v>
      </x:c>
      <x:c r="C10" s="79" t="n">
        <x:v>1.44537896772</x:v>
      </x:c>
      <x:c r="D10" s="79" t="n">
        <x:v>1.545931208</x:v>
      </x:c>
      <x:c r="E10" s="79" t="n">
        <x:v>0.66004401476</x:v>
      </x:c>
      <x:c r="F10" s="79" t="n">
        <x:v>0.35037316463</x:v>
      </x:c>
      <x:c r="G10" s="79" t="n">
        <x:v>0.3992074619</x:v>
      </x:c>
      <x:c r="H10" s="79" t="n">
        <x:v>0.16299938483</x:v>
      </x:c>
    </x:row>
    <x:row r="11">
      <x:c r="A11" s="14" t="str">
        <x:v>长期资产现金支出</x:v>
      </x:c>
      <x:c r="B11" s="79" t="n">
        <x:v>0.39647029786</x:v>
      </x:c>
      <x:c r="C11" s="79" t="n">
        <x:v>0.32746839934</x:v>
      </x:c>
      <x:c r="D11" s="79" t="n">
        <x:v>0.26755480113</x:v>
      </x:c>
      <x:c r="E11" s="79" t="n">
        <x:v>0.15489029461</x:v>
      </x:c>
      <x:c r="F11" s="79" t="n">
        <x:v>0.13812466628</x:v>
      </x:c>
      <x:c r="G11" s="79" t="n">
        <x:v>0.06615639105</x:v>
      </x:c>
      <x:c r="H11" s="79" t="n">
        <x:v>0.06082676201</x:v>
      </x:c>
    </x:row>
    <x:row r="12">
      <x:c r="A12" s="80" t="str">
        <x:v>简化自由现金流</x:v>
      </x:c>
      <x:c r="B12" s="81" t="n">
        <x:f>B10-B11</x:f>
        <x:v>1.0223107844800001</x:v>
      </x:c>
      <x:c r="C12" s="81" t="n">
        <x:f>C10-C11</x:f>
        <x:v>1.11791056838</x:v>
      </x:c>
      <x:c r="D12" s="81" t="n">
        <x:f>D10-D11</x:f>
        <x:v>1.27837640687</x:v>
      </x:c>
      <x:c r="E12" s="81" t="n">
        <x:f>E10-E11</x:f>
        <x:v>0.5051537201499999</x:v>
      </x:c>
      <x:c r="F12" s="81" t="n">
        <x:f>F10-F11</x:f>
        <x:v>0.21224849835</x:v>
      </x:c>
      <x:c r="G12" s="81" t="n">
        <x:f>G10-G11</x:f>
        <x:v>0.33305107085</x:v>
      </x:c>
      <x:c r="H12" s="81" t="n">
        <x:f>H10-H11</x:f>
        <x:v>0.10217262282</x:v>
      </x:c>
    </x:row>
    <x:row r="13">
      <x:c r="A13" s="14" t="str">
        <x:v>归母净资产</x:v>
      </x:c>
      <x:c r="B13" s="79" t="n">
        <x:v>7.25214032042</x:v>
      </x:c>
      <x:c r="C13" s="79" t="n">
        <x:v>8.11229207453</x:v>
      </x:c>
      <x:c r="D13" s="79" t="n">
        <x:v>8.43736175312</x:v>
      </x:c>
      <x:c r="E13" s="79"/>
      <x:c r="F13" s="79" t="n">
        <x:v>7.24752075711</x:v>
      </x:c>
      <x:c r="G13" s="79"/>
      <x:c r="H13" s="79"/>
    </x:row>
    <x:row r="14">
      <x:c r="A14" s="14" t="str">
        <x:v>总资产</x:v>
      </x:c>
      <x:c r="B14" s="79" t="n">
        <x:v>9.06538218046</x:v>
      </x:c>
      <x:c r="C14" s="79" t="n">
        <x:v>9.79590506011</x:v>
      </x:c>
      <x:c r="D14" s="79" t="n">
        <x:v>10.23905063102</x:v>
      </x:c>
      <x:c r="E14" s="79"/>
      <x:c r="F14" s="79" t="n">
        <x:v>8.62583342055</x:v>
      </x:c>
      <x:c r="G14" s="79"/>
      <x:c r="H14" s="79"/>
    </x:row>
    <x:row r="15">
      <x:c r="A15" s="14" t="str">
        <x:v>货币资金</x:v>
      </x:c>
      <x:c r="B15" s="79" t="n">
        <x:v>2.89185670789</x:v>
      </x:c>
      <x:c r="C15" s="79" t="n">
        <x:v>2.93787936276</x:v>
      </x:c>
      <x:c r="D15" s="79" t="n">
        <x:v>2.94225260194</x:v>
      </x:c>
      <x:c r="E15" s="79" t="n">
        <x:v>2.68993567642</x:v>
      </x:c>
      <x:c r="F15" s="79" t="n">
        <x:v>1.47657240674</x:v>
      </x:c>
      <x:c r="G15" s="79"/>
      <x:c r="H15" s="79"/>
    </x:row>
    <x:row r="16">
      <x:c r="A16" s="14" t="str">
        <x:v>交易性金融资产</x:v>
      </x:c>
      <x:c r="B16" s="79" t="n">
        <x:v>0.40029120624</x:v>
      </x:c>
      <x:c r="C16" s="79" t="n">
        <x:v>1.103428</x:v>
      </x:c>
      <x:c r="D16" s="79" t="n">
        <x:v>1.61782192021</x:v>
      </x:c>
      <x:c r="E16" s="79" t="n">
        <x:v>1.35507473023</x:v>
      </x:c>
      <x:c r="F16" s="79" t="n">
        <x:v>1.77993879503</x:v>
      </x:c>
      <x:c r="G16" s="79"/>
      <x:c r="H16" s="79"/>
    </x:row>
    <x:row r="17">
      <x:c r="A17" s="14" t="str">
        <x:v>长期股权投资</x:v>
      </x:c>
      <x:c r="B17" s="79" t="n">
        <x:v>0.7639135</x:v>
      </x:c>
      <x:c r="C17" s="79" t="n">
        <x:v>0.7755382668</x:v>
      </x:c>
      <x:c r="D17" s="79" t="n">
        <x:v>0.78802733795</x:v>
      </x:c>
      <x:c r="E17" s="79" t="n">
        <x:v>0.77975815329</x:v>
      </x:c>
      <x:c r="F17" s="79" t="n">
        <x:v>0.80341377759</x:v>
      </x:c>
      <x:c r="G17" s="79"/>
      <x:c r="H17" s="79"/>
    </x:row>
    <x:row r="18">
      <x:c r="A18" s="14" t="str">
        <x:v>报告期股本（十亿股）</x:v>
      </x:c>
      <x:c r="B18" s="83" t="n">
        <x:v>2.61469404</x:v>
      </x:c>
      <x:c r="C18" s="83" t="n">
        <x:v>2.62267044</x:v>
      </x:c>
      <x:c r="D18" s="83" t="n">
        <x:v>2.62468034</x:v>
      </x:c>
      <x:c r="E18" s="83" t="n">
        <x:v>2.62468034</x:v>
      </x:c>
      <x:c r="F18" s="83" t="n">
        <x:v>2.62467981</x:v>
      </x:c>
      <x:c r="G18" s="83"/>
      <x:c r="H18" s="83"/>
    </x:row>
    <x:row r="19">
      <x:c r="A19" s="80" t="str">
        <x:v>每股净资产（元）</x:v>
      </x:c>
      <x:c r="B19" s="84" t="n">
        <x:f>IF(B13="","",B13/B18)</x:f>
        <x:v>2.7736095349878873</x:v>
      </x:c>
      <x:c r="C19" s="84" t="n">
        <x:f>IF(C13="","",C13/C18)</x:f>
        <x:v>3.0931419940547316</x:v>
      </x:c>
      <x:c r="D19" s="84" t="n">
        <x:f>IF(D13="","",D13/D18)</x:f>
        <x:v>3.2146245104727686</x:v>
      </x:c>
      <x:c r="E19" s="84" t="str">
        <x:f>IF(E13="","",E13/E18)</x:f>
      </x:c>
      <x:c r="F19" s="84" t="n">
        <x:f>IF(F13="","",F13/F18)</x:f>
        <x:v>2.7612971035541287</x:v>
      </x:c>
      <x:c r="G19" s="84" t="str">
        <x:f>IF(G13="","",G13/G18)</x:f>
      </x:c>
      <x:c r="H19" s="84" t="str">
        <x:f>IF(H13="","",H13/H18)</x:f>
      </x:c>
    </x:row>
    <x:row r="20">
      <x:c r="A20" s="80" t="str">
        <x:v>CFO/归母利润</x:v>
      </x:c>
      <x:c r="B20" s="85" t="n">
        <x:f>IFERROR(B10/B8,"")</x:f>
        <x:v>-12.908331875557787</x:v>
      </x:c>
      <x:c r="C20" s="85" t="n">
        <x:f>IFERROR(C10/C8,"")</x:f>
        <x:v>1.3781835292219227</x:v>
      </x:c>
      <x:c r="D20" s="85" t="n">
        <x:f>IFERROR(D10/D8,"")</x:f>
        <x:v>1.8906530889531639</x:v>
      </x:c>
      <x:c r="E20" s="85" t="n">
        <x:f>IFERROR(E10/E8,"")</x:f>
        <x:v>1.6284342955004718</x:v>
      </x:c>
      <x:c r="F20" s="85" t="n">
        <x:f>IFERROR(F10/F8,"")</x:f>
        <x:v>1.0095784427588959</x:v>
      </x:c>
      <x:c r="G20" s="85" t="n">
        <x:f>IFERROR(G10/G8,"")</x:f>
        <x:v>2.55165048290845</x:v>
      </x:c>
      <x:c r="H20" s="85" t="n">
        <x:f>IFERROR(H10/H8,"")</x:f>
        <x:v>1.201589934808157</x:v>
      </x:c>
    </x:row>
    <x:row r="21">
      <x:c r="A21" s="80" t="str">
        <x:v>自由现金流/收入</x:v>
      </x:c>
      <x:c r="B21" s="82" t="n">
        <x:f>B12/B4</x:f>
        <x:v>0.5307074089722665</x:v>
      </x:c>
      <x:c r="C21" s="82" t="n">
        <x:f>C12/C4</x:f>
        <x:v>0.4624682076674934</x:v>
      </x:c>
      <x:c r="D21" s="82" t="n">
        <x:f>D12/D4</x:f>
        <x:v>0.5662551060861889</x:v>
      </x:c>
      <x:c r="E21" s="82" t="n">
        <x:f>E12/E4</x:f>
        <x:v>0.4651035222139608</x:v>
      </x:c>
      <x:c r="F21" s="82" t="n">
        <x:f>F12/F4</x:f>
        <x:v>0.22063032525188936</x:v>
      </x:c>
      <x:c r="G21" s="82" t="n">
        <x:f>G12/G4</x:f>
        <x:v>0.6380206016109019</x:v>
      </x:c>
      <x:c r="H21" s="82" t="n">
        <x:f>H12/H4</x:f>
        <x:v>0.23885252465072404</x:v>
      </x:c>
    </x:row>
    <x:row r="22">
      <x:c r="A22" s="86" t="str">
        <x:v>资料口径</x:v>
      </x:c>
      <x:c r="B22" s="86" t="str">
        <x:v>原始年报</x:v>
      </x:c>
      <x:c r="C22" s="86" t="str">
        <x:v>原始年报</x:v>
      </x:c>
      <x:c r="D22" s="86" t="str">
        <x:v>原始年报</x:v>
      </x:c>
      <x:c r="E22" s="86" t="str">
        <x:v>同控合并重述</x:v>
      </x:c>
      <x:c r="F22" s="86" t="str">
        <x:v>同控合并后</x:v>
      </x:c>
      <x:c r="G22" s="86" t="str">
        <x:v>由半年报减一季报</x:v>
      </x:c>
      <x:c r="H22" s="86" t="str">
        <x:v>由半年报减一季报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e4baed63585246f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25" hidden="0" customWidth="1"/>
    <x:col min="7" max="7" width="17" hidden="0" customWidth="1"/>
    <x:col min="8" max="8" width="31" hidden="0" customWidth="1"/>
  </x:cols>
  <x:sheetData>
    <x:row r="1" ht="30" customHeight="1">
      <x:c r="A1" s="3" t="str">
        <x:v>2026年上半年项目经营与治理风险</x:v>
      </x:c>
      <x:c r="B1" s="3" t="str">
        <x:v>2026年上半年项目经营与治理风险</x:v>
      </x:c>
      <x:c r="C1" s="3" t="str">
        <x:v>2026年上半年项目经营与治理风险</x:v>
      </x:c>
      <x:c r="D1" s="3" t="str">
        <x:v>2026年上半年项目经营与治理风险</x:v>
      </x:c>
      <x:c r="E1" s="3" t="str">
        <x:v>2026年上半年项目经营与治理风险</x:v>
      </x:c>
      <x:c r="F1" s="3" t="str">
        <x:v>2026年上半年项目经营与治理风险</x:v>
      </x:c>
      <x:c r="G1" s="3" t="str">
        <x:v>2026年上半年项目经营与治理风险</x:v>
      </x:c>
      <x:c r="H1" s="3" t="str">
        <x:v>2026年上半年项目经营与治理风险</x:v>
      </x:c>
    </x:row>
    <x:row r="3">
      <x:c r="A3" s="19" t="str">
        <x:v>1H26项目/业务</x:v>
      </x:c>
      <x:c r="B3" s="20" t="str">
        <x:v>收入（RMB bn）</x:v>
      </x:c>
      <x:c r="C3" s="20" t="str">
        <x:v>同比</x:v>
      </x:c>
      <x:c r="D3" s="20" t="str">
        <x:v>毛利率</x:v>
      </x:c>
      <x:c r="E3" s="21" t="str">
        <x:v>毛利率同比</x:v>
      </x:c>
      <x:c r="F3" s="19" t="str">
        <x:v>资本配置/治理</x:v>
      </x:c>
      <x:c r="G3" s="20" t="str">
        <x:v>数值</x:v>
      </x:c>
      <x:c r="H3" s="21" t="str">
        <x:v>审计含义</x:v>
      </x:c>
    </x:row>
    <x:row r="4">
      <x:c r="A4" s="94" t="str">
        <x:v>杭州宋城</x:v>
      </x:c>
      <x:c r="B4" s="95" t="n">
        <x:v>0.21753581</x:v>
      </x:c>
      <x:c r="C4" s="96" t="n">
        <x:v>-0.2055</x:v>
      </x:c>
      <x:c r="D4" s="96" t="n">
        <x:v>0.4975</x:v>
      </x:c>
      <x:c r="E4" s="96" t="n">
        <x:v>-0.138</x:v>
      </x:c>
      <x:c r="F4" s="94" t="str">
        <x:v>宋城实业交易价</x:v>
      </x:c>
      <x:c r="G4" s="95" t="n">
        <x:v>0.963</x:v>
      </x:c>
      <x:c r="H4" s="94" t="str">
        <x:v>向控股股东现金收购</x:v>
      </x:c>
    </x:row>
    <x:row r="5">
      <x:c r="A5" s="97" t="str">
        <x:v>三亚</x:v>
      </x:c>
      <x:c r="B5" s="98" t="n">
        <x:v>0.070519938</x:v>
      </x:c>
      <x:c r="C5" s="99" t="n">
        <x:v>-0.2312</x:v>
      </x:c>
      <x:c r="D5" s="99" t="n">
        <x:v>0.6211</x:v>
      </x:c>
      <x:c r="E5" s="99" t="n">
        <x:v>-0.0093</x:v>
      </x:c>
      <x:c r="F5" s="97" t="str">
        <x:v>本期投资盈亏</x:v>
      </x:c>
      <x:c r="G5" s="98" t="n">
        <x:v>0.000697765</x:v>
      </x:c>
      <x:c r="H5" s="97" t="str">
        <x:v>交易表披露；回报仍待验证</x:v>
      </x:c>
    </x:row>
    <x:row r="6">
      <x:c r="A6" s="97" t="str">
        <x:v>丽江</x:v>
      </x:c>
      <x:c r="B6" s="98" t="n">
        <x:v>0.077191911</x:v>
      </x:c>
      <x:c r="C6" s="99" t="n">
        <x:v>-0.2764</x:v>
      </x:c>
      <x:c r="D6" s="99" t="n">
        <x:v>0.5971</x:v>
      </x:c>
      <x:c r="E6" s="99" t="n">
        <x:v>-0.1298</x:v>
      </x:c>
      <x:c r="F6" s="97" t="str">
        <x:v>收购现金流出</x:v>
      </x:c>
      <x:c r="G6" s="98" t="n">
        <x:v>0.7704</x:v>
      </x:c>
      <x:c r="H6" s="97" t="str">
        <x:v>半年现金流量表</x:v>
      </x:c>
    </x:row>
    <x:row r="7">
      <x:c r="A7" s="97" t="str">
        <x:v>九寨</x:v>
      </x:c>
      <x:c r="B7" s="98" t="n">
        <x:v>0.02386684</x:v>
      </x:c>
      <x:c r="C7" s="99" t="n">
        <x:v>-0.2793</x:v>
      </x:c>
      <x:c r="D7" s="99" t="n">
        <x:v>0.271</x:v>
      </x:c>
      <x:c r="E7" s="99" t="n">
        <x:v>-0.2402</x:v>
      </x:c>
      <x:c r="F7" s="97" t="str">
        <x:v>评估增值率</x:v>
      </x:c>
      <x:c r="G7" s="107" t="n">
        <x:v>4.2274</x:v>
      </x:c>
      <x:c r="H7" s="97" t="str">
        <x:v>土地房屋增值；无业绩补偿</x:v>
      </x:c>
    </x:row>
    <x:row r="8">
      <x:c r="A8" s="97" t="str">
        <x:v>桂林</x:v>
      </x:c>
      <x:c r="B8" s="98" t="n">
        <x:v>0.081270426</x:v>
      </x:c>
      <x:c r="C8" s="99" t="n">
        <x:v>-0.1051</x:v>
      </x:c>
      <x:c r="D8" s="99" t="n">
        <x:v>0.6787</x:v>
      </x:c>
      <x:c r="E8" s="99" t="n">
        <x:v>-0.0399</x:v>
      </x:c>
      <x:c r="F8" s="97" t="str">
        <x:v>货币资金+交易性金融资产</x:v>
      </x:c>
      <x:c r="G8" s="98" t="n">
        <x:v>3.256511202</x:v>
      </x:c>
      <x:c r="H8" s="97" t="str">
        <x:v>半年报期末；未扣租赁负债</x:v>
      </x:c>
    </x:row>
    <x:row r="9">
      <x:c r="A9" s="97" t="str">
        <x:v>张家界</x:v>
      </x:c>
      <x:c r="B9" s="98" t="n">
        <x:v>0.010976723</x:v>
      </x:c>
      <x:c r="C9" s="99" t="n">
        <x:v>-0.0198</x:v>
      </x:c>
      <x:c r="D9" s="99" t="n">
        <x:v>-0.9732</x:v>
      </x:c>
      <x:c r="E9" s="99" t="n">
        <x:v>-0.2045</x:v>
      </x:c>
      <x:c r="F9" s="97" t="str">
        <x:v>合同负债</x:v>
      </x:c>
      <x:c r="G9" s="98" t="n">
        <x:v>0.285341599</x:v>
      </x:c>
      <x:c r="H9" s="97" t="str">
        <x:v>较重述年末下降31.5%</x:v>
      </x:c>
    </x:row>
    <x:row r="10">
      <x:c r="A10" s="97" t="str">
        <x:v>西安</x:v>
      </x:c>
      <x:c r="B10" s="98" t="n">
        <x:v>0.071652725</x:v>
      </x:c>
      <x:c r="C10" s="99" t="n">
        <x:v>-0.064</x:v>
      </x:c>
      <x:c r="D10" s="99" t="n">
        <x:v>0.3632</x:v>
      </x:c>
      <x:c r="E10" s="99" t="n">
        <x:v>-0.0511</x:v>
      </x:c>
      <x:c r="F10" s="97" t="str">
        <x:v>半年现金分红</x:v>
      </x:c>
      <x:c r="G10" s="98" t="n">
        <x:v>0.652609485</x:v>
      </x:c>
      <x:c r="H10" s="97" t="str">
        <x:v>所有者权益变动表</x:v>
      </x:c>
    </x:row>
    <x:row r="11">
      <x:c r="A11" s="97" t="str">
        <x:v>上海</x:v>
      </x:c>
      <x:c r="B11" s="98" t="n">
        <x:v>0.054049198</x:v>
      </x:c>
      <x:c r="C11" s="99" t="n">
        <x:v>-0.1366</x:v>
      </x:c>
      <x:c r="D11" s="99" t="n">
        <x:v>0.0592</x:v>
      </x:c>
      <x:c r="E11" s="99" t="n">
        <x:v>-0.0997</x:v>
      </x:c>
      <x:c r="F11" s="97" t="str">
        <x:v>回购等筹资现金流出</x:v>
      </x:c>
      <x:c r="G11" s="98" t="n">
        <x:v>0.128176622</x:v>
      </x:c>
      <x:c r="H11" s="97" t="str">
        <x:v>现金流量表其他筹资支出</x:v>
      </x:c>
    </x:row>
    <x:row r="12">
      <x:c r="A12" s="97" t="str">
        <x:v>广东</x:v>
      </x:c>
      <x:c r="B12" s="98" t="n">
        <x:v>0.068203335</x:v>
      </x:c>
      <x:c r="C12" s="99" t="n">
        <x:v>-0.3308</x:v>
      </x:c>
      <x:c r="D12" s="99" t="n">
        <x:v>0.3472</x:v>
      </x:c>
      <x:c r="E12" s="99" t="n">
        <x:v>-0.2428</x:v>
      </x:c>
      <x:c r="F12" s="97" t="str">
        <x:v>注销后总股本</x:v>
      </x:c>
      <x:c r="G12" s="108" t="n">
        <x:v>2.608874798</x:v>
      </x:c>
      <x:c r="H12" s="97" t="str">
        <x:v>十亿股</x:v>
      </x:c>
    </x:row>
    <x:row r="13">
      <x:c r="A13" s="97" t="str">
        <x:v>电商手续费</x:v>
      </x:c>
      <x:c r="B13" s="98" t="n">
        <x:v>0.091644064</x:v>
      </x:c>
      <x:c r="C13" s="99" t="n">
        <x:v>-0.3241</x:v>
      </x:c>
      <x:c r="D13" s="99" t="n">
        <x:v>0.9862</x:v>
      </x:c>
      <x:c r="E13" s="99" t="n">
        <x:v>-0.0023</x:v>
      </x:c>
      <x:c r="F13" s="100" t="str">
        <x:v>董事长变更</x:v>
      </x:c>
      <x:c r="G13" s="100"/>
      <x:c r="H13" s="100" t="str">
        <x:v>黄鸿鸣；同时任控股股东总裁</x:v>
      </x:c>
    </x:row>
    <x:row r="14">
      <x:c r="A14" s="100" t="str">
        <x:v>设计策划费</x:v>
      </x:c>
      <x:c r="B14" s="101" t="n">
        <x:v>0.157419696</x:v>
      </x:c>
      <x:c r="C14" s="102" t="n">
        <x:v>2.1045</x:v>
      </x:c>
      <x:c r="D14" s="102" t="n">
        <x:v>0.9842</x:v>
      </x:c>
      <x:c r="E14" s="102" t="n">
        <x:v>0.0143</x:v>
      </x:c>
    </x:row>
    <x:row r="17">
      <x:c r="A17" s="109" t="str">
        <x:v>关键跟踪：自营项目收入与毛利｜设计费确认与回款｜杭州扩容ROIC｜上海/张家界盈亏平衡｜花房退出价值｜新增关联交易</x:v>
      </x:c>
      <x:c r="B17" s="109" t="str">
        <x:v>关键跟踪：自营项目收入与毛利｜设计费确认与回款｜杭州扩容ROIC｜上海/张家界盈亏平衡｜花房退出价值｜新增关联交易</x:v>
      </x:c>
      <x:c r="C17" s="109" t="str">
        <x:v>关键跟踪：自营项目收入与毛利｜设计费确认与回款｜杭州扩容ROIC｜上海/张家界盈亏平衡｜花房退出价值｜新增关联交易</x:v>
      </x:c>
      <x:c r="D17" s="109" t="str">
        <x:v>关键跟踪：自营项目收入与毛利｜设计费确认与回款｜杭州扩容ROIC｜上海/张家界盈亏平衡｜花房退出价值｜新增关联交易</x:v>
      </x:c>
      <x:c r="E17" s="109" t="str">
        <x:v>关键跟踪：自营项目收入与毛利｜设计费确认与回款｜杭州扩容ROIC｜上海/张家界盈亏平衡｜花房退出价值｜新增关联交易</x:v>
      </x:c>
      <x:c r="F17" s="109" t="str">
        <x:v>关键跟踪：自营项目收入与毛利｜设计费确认与回款｜杭州扩容ROIC｜上海/张家界盈亏平衡｜花房退出价值｜新增关联交易</x:v>
      </x:c>
      <x:c r="G17" s="109" t="str">
        <x:v>关键跟踪：自营项目收入与毛利｜设计费确认与回款｜杭州扩容ROIC｜上海/张家界盈亏平衡｜花房退出价值｜新增关联交易</x:v>
      </x:c>
      <x:c r="H17" s="109" t="str">
        <x:v>关键跟踪：自营项目收入与毛利｜设计费确认与回款｜杭州扩容ROIC｜上海/张家界盈亏平衡｜花房退出价值｜新增关联交易</x:v>
      </x:c>
    </x:row>
  </x:sheetData>
  <x:mergeCells>
    <x:mergeCell ref="A1:H1"/>
    <x:mergeCell ref="A17:H17"/>
  </x:mergeCells>
  <x:pageMargins left="0.7" right="0.7" top="0.75" bottom="0.75" header="0.3" footer="0.3"/>
  <x:legacyDrawing xmlns:r="http://schemas.openxmlformats.org/officeDocument/2006/relationships" r:id="R177eb0e6ef2c462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估值假设与市场输入</x:v>
      </x:c>
      <x:c r="B1" s="3" t="str">
        <x:v>估值假设与市场输入</x:v>
      </x:c>
      <x:c r="C1" s="3" t="str">
        <x:v>估值假设与市场输入</x:v>
      </x:c>
      <x:c r="D1" s="3" t="str">
        <x:v>估值假设与市场输入</x:v>
      </x:c>
      <x:c r="E1" s="3" t="str">
        <x:v>估值假设与市场输入</x:v>
      </x:c>
      <x:c r="F1" s="3" t="str">
        <x:v>估值假设与市场输入</x:v>
      </x:c>
      <x:c r="G1" s="3" t="str">
        <x:v>估值假设与市场输入</x:v>
      </x:c>
      <x:c r="H1" s="3" t="str">
        <x:v>估值假设与市场输入</x:v>
      </x:c>
    </x:row>
    <x:row r="3">
      <x:c r="A3" s="19" t="str">
        <x:v>市场与资产输入</x:v>
      </x:c>
      <x:c r="B3" s="21" t="str">
        <x:v>数值</x:v>
      </x:c>
    </x:row>
    <x:row r="4">
      <x:c r="A4" s="11" t="str">
        <x:v>A股价格（元/股）</x:v>
      </x:c>
      <x:c r="B4" s="40" t="n">
        <x:v>5.97</x:v>
      </x:c>
    </x:row>
    <x:row r="5">
      <x:c r="A5" s="14" t="str">
        <x:v>注销后总股本（十亿股）</x:v>
      </x:c>
      <x:c r="B5" s="83" t="n">
        <x:v>2.608874798</x:v>
      </x:c>
    </x:row>
    <x:row r="6">
      <x:c r="A6" s="14" t="str">
        <x:v>当前市值（RMB bn）</x:v>
      </x:c>
      <x:c r="B6" s="42" t="n">
        <x:f>B4*B5</x:f>
        <x:v>15.57498254406</x:v>
      </x:c>
    </x:row>
    <x:row r="7">
      <x:c r="A7" s="14" t="str">
        <x:v>1H26归母权益（RMB bn）</x:v>
      </x:c>
      <x:c r="B7" s="42" t="n">
        <x:v>7.24752075711</x:v>
      </x:c>
    </x:row>
    <x:row r="8">
      <x:c r="A8" s="14" t="str">
        <x:v>1H26货币资金（RMB bn）</x:v>
      </x:c>
      <x:c r="B8" s="42" t="n">
        <x:v>1.47657240674</x:v>
      </x:c>
    </x:row>
    <x:row r="9">
      <x:c r="A9" s="14" t="str">
        <x:v>1H26交易性金融资产（RMB bn）</x:v>
      </x:c>
      <x:c r="B9" s="42" t="n">
        <x:v>1.77993879503</x:v>
      </x:c>
    </x:row>
    <x:row r="10">
      <x:c r="A10" s="14" t="str">
        <x:v>现金+交易性金融资产（RMB bn）</x:v>
      </x:c>
      <x:c r="B10" s="42" t="n">
        <x:f>B8+B9</x:f>
        <x:v>3.25651120177</x:v>
      </x:c>
    </x:row>
    <x:row r="11">
      <x:c r="A11" s="14" t="str">
        <x:v>每股净资产（元）</x:v>
      </x:c>
      <x:c r="B11" s="45" t="n">
        <x:f>B7/B5</x:f>
        <x:v>2.778025516083045</x:v>
      </x:c>
    </x:row>
    <x:row r="12">
      <x:c r="A12" s="14" t="str">
        <x:v>当前P/B</x:v>
      </x:c>
      <x:c r="B12" s="43" t="n">
        <x:f>B4/B11</x:f>
        <x:v>2.1490083389937933</x:v>
      </x:c>
    </x:row>
    <x:row r="13">
      <x:c r="A13" s="14" t="str">
        <x:v>流动性资产/市值</x:v>
      </x:c>
      <x:c r="B13" s="44" t="n">
        <x:f>B10/B6</x:f>
        <x:v>0.2090860257825439</x:v>
      </x:c>
    </x:row>
    <x:row r="14">
      <x:c r="A14" s="14" t="str">
        <x:v>2025静态P/E</x:v>
      </x:c>
      <x:c r="B14" s="115" t="n">
        <x:f>B6/'Historical'!D8</x:f>
        <x:v>19.047994312382524</x:v>
      </x:c>
    </x:row>
    <x:row r="15">
      <x:c r="A15" s="14" t="str">
        <x:v>1H26年化P/E（未调季节性）</x:v>
      </x:c>
      <x:c r="B15" s="115" t="n">
        <x:f>B6/('Historical'!F8*2)</x:f>
        <x:v>22.439170875763367</x:v>
      </x:c>
    </x:row>
    <x:row r="16">
      <x:c r="A16" s="14" t="str">
        <x:v>2025每股现金股息</x:v>
      </x:c>
      <x:c r="B16" s="45" t="n">
        <x:v>0.25</x:v>
      </x:c>
    </x:row>
    <x:row r="17">
      <x:c r="A17" s="14" t="str">
        <x:v>2025现金股息率</x:v>
      </x:c>
      <x:c r="B17" s="44" t="n">
        <x:f>B16/B4</x:f>
        <x:v>0.04187604690117253</x:v>
      </x:c>
    </x:row>
    <x:row r="18">
      <x:c r="A18" s="14" t="str">
        <x:v>1H26 CFO/归母利润</x:v>
      </x:c>
      <x:c r="B18" s="115" t="n">
        <x:f>'Historical'!F20</x:f>
        <x:v>1.0095784427588959</x:v>
      </x:c>
    </x:row>
    <x:row r="19">
      <x:c r="A19" s="14" t="str">
        <x:v>1H26自由现金流/收入</x:v>
      </x:c>
      <x:c r="B19" s="44" t="n">
        <x:f>'Historical'!F21</x:f>
        <x:v>0.22063032525188936</x:v>
      </x:c>
    </x:row>
    <x:row r="20">
      <x:c r="A20" s="16" t="str">
        <x:v>估值权重合计</x:v>
      </x:c>
      <x:c r="B20" s="116" t="n">
        <x:f>C26+C27</x:f>
        <x:v>1</x:v>
      </x:c>
    </x:row>
    <x:row r="22">
      <x:c r="A22" s="19" t="str">
        <x:v>情景驱动</x:v>
      </x:c>
      <x:c r="B22" s="20" t="str">
        <x:v>Bear</x:v>
      </x:c>
      <x:c r="C22" s="20" t="str">
        <x:v>Base</x:v>
      </x:c>
      <x:c r="D22" s="21" t="str">
        <x:v>Bull</x:v>
      </x:c>
    </x:row>
    <x:row r="23">
      <x:c r="A23" s="11" t="str">
        <x:v>正常化归母利润（RMB bn）</x:v>
      </x:c>
      <x:c r="B23" s="122" t="n">
        <x:v>0.6</x:v>
      </x:c>
      <x:c r="C23" s="122" t="n">
        <x:v>0.8</x:v>
      </x:c>
      <x:c r="D23" s="122" t="n">
        <x:v>1</x:v>
      </x:c>
    </x:row>
    <x:row r="24">
      <x:c r="A24" s="14" t="str">
        <x:v>正常化P/E</x:v>
      </x:c>
      <x:c r="B24" s="115" t="n">
        <x:v>14</x:v>
      </x:c>
      <x:c r="C24" s="115" t="n">
        <x:v>18</x:v>
      </x:c>
      <x:c r="D24" s="115" t="n">
        <x:v>22</x:v>
      </x:c>
    </x:row>
    <x:row r="25">
      <x:c r="A25" s="14" t="str">
        <x:v>归母净资产P/B</x:v>
      </x:c>
      <x:c r="B25" s="115" t="n">
        <x:v>1.4</x:v>
      </x:c>
      <x:c r="C25" s="115" t="n">
        <x:v>1.8</x:v>
      </x:c>
      <x:c r="D25" s="115" t="n">
        <x:v>2.2</x:v>
      </x:c>
    </x:row>
    <x:row r="26">
      <x:c r="A26" s="14" t="str">
        <x:v>P/E法权重</x:v>
      </x:c>
      <x:c r="B26" s="123" t="n">
        <x:v>0.7</x:v>
      </x:c>
      <x:c r="C26" s="123" t="n">
        <x:v>0.7</x:v>
      </x:c>
      <x:c r="D26" s="123" t="n">
        <x:v>0.7</x:v>
      </x:c>
    </x:row>
    <x:row r="27">
      <x:c r="A27" s="14" t="str">
        <x:v>P/B法权重</x:v>
      </x:c>
      <x:c r="B27" s="123" t="n">
        <x:v>0.3</x:v>
      </x:c>
      <x:c r="C27" s="123" t="n">
        <x:v>0.3</x:v>
      </x:c>
      <x:c r="D27" s="123" t="n">
        <x:v>0.3</x:v>
      </x:c>
    </x:row>
    <x:row r="28">
      <x:c r="A28" s="16" t="str">
        <x:v>经营逻辑</x:v>
      </x:c>
      <x:c r="B28" s="100" t="str">
        <x:v>同店继续下滑</x:v>
      </x:c>
      <x:c r="C28" s="100" t="str">
        <x:v>利润温和修复</x:v>
      </x:c>
      <x:c r="D28" s="100" t="str">
        <x:v>扩容与项目共振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c7302a0af10e490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3" t="str">
        <x:v>正常化P/E + P/B交叉验证</x:v>
      </x:c>
      <x:c r="B1" s="3" t="str">
        <x:v>正常化P/E + P/B交叉验证</x:v>
      </x:c>
      <x:c r="C1" s="3" t="str">
        <x:v>正常化P/E + P/B交叉验证</x:v>
      </x:c>
      <x:c r="D1" s="3" t="str">
        <x:v>正常化P/E + P/B交叉验证</x:v>
      </x:c>
      <x:c r="E1" s="3" t="str">
        <x:v>正常化P/E + P/B交叉验证</x:v>
      </x:c>
      <x:c r="F1" s="3" t="str">
        <x:v>正常化P/E + P/B交叉验证</x:v>
      </x:c>
      <x:c r="G1" s="3" t="str">
        <x:v>正常化P/E + P/B交叉验证</x:v>
      </x:c>
      <x:c r="H1" s="3" t="str">
        <x:v>正常化P/E + P/B交叉验证</x:v>
      </x:c>
      <x:c r="I1" s="3" t="str">
        <x:v>正常化P/E + P/B交叉验证</x:v>
      </x:c>
    </x:row>
    <x:row r="3">
      <x:c r="A3" s="19" t="str">
        <x:v>情景</x:v>
      </x:c>
      <x:c r="B3" s="20" t="str">
        <x:v>正常化利润</x:v>
      </x:c>
      <x:c r="C3" s="20" t="str">
        <x:v>P/E</x:v>
      </x:c>
      <x:c r="D3" s="20" t="str">
        <x:v>P/E价值/股</x:v>
      </x:c>
      <x:c r="E3" s="20" t="str">
        <x:v>P/B</x:v>
      </x:c>
      <x:c r="F3" s="20" t="str">
        <x:v>P/B价值/股</x:v>
      </x:c>
      <x:c r="G3" s="20" t="str">
        <x:v>P/E权重</x:v>
      </x:c>
      <x:c r="H3" s="20" t="str">
        <x:v>综合价值/股</x:v>
      </x:c>
      <x:c r="I3" s="21" t="str">
        <x:v>相对当前价格</x:v>
      </x:c>
    </x:row>
    <x:row r="5">
      <x:c r="A5" s="11" t="str">
        <x:v>Bear</x:v>
      </x:c>
      <x:c r="B5" s="122" t="n">
        <x:f>'Assumptions'!B23</x:f>
        <x:v>0.6</x:v>
      </x:c>
      <x:c r="C5" s="142" t="n">
        <x:f>'Assumptions'!B24</x:f>
        <x:v>14</x:v>
      </x:c>
      <x:c r="D5" s="40" t="n">
        <x:f>B5*C5/'Assumptions'!$B$5</x:f>
        <x:v>3.219778889519558</x:v>
      </x:c>
      <x:c r="E5" s="142" t="n">
        <x:f>'Assumptions'!B25</x:f>
        <x:v>1.4</x:v>
      </x:c>
      <x:c r="F5" s="40" t="n">
        <x:f>'Assumptions'!$B$7*E5/'Assumptions'!$B$5</x:f>
        <x:v>3.889235722516263</x:v>
      </x:c>
      <x:c r="G5" s="143" t="n">
        <x:f>'Assumptions'!B26</x:f>
        <x:v>0.7</x:v>
      </x:c>
      <x:c r="H5" s="144" t="n">
        <x:f>D5*G5+F5*(1-G5)</x:f>
        <x:v>3.4206159394185693</x:v>
      </x:c>
      <x:c r="I5" s="145" t="n">
        <x:f>H5/'Assumptions'!$B$4-1</x:f>
        <x:v>-0.4270325059600386</x:v>
      </x:c>
    </x:row>
    <x:row r="6">
      <x:c r="A6" s="146" t="str">
        <x:v>Base</x:v>
      </x:c>
      <x:c r="B6" s="147" t="n">
        <x:f>'Assumptions'!C23</x:f>
        <x:v>0.8</x:v>
      </x:c>
      <x:c r="C6" s="148" t="n">
        <x:f>'Assumptions'!C24</x:f>
        <x:v>18</x:v>
      </x:c>
      <x:c r="D6" s="149" t="n">
        <x:f>B6*C6/'Assumptions'!$B$5</x:f>
        <x:v>5.519620953462098</x:v>
      </x:c>
      <x:c r="E6" s="148" t="n">
        <x:f>'Assumptions'!C25</x:f>
        <x:v>1.8</x:v>
      </x:c>
      <x:c r="F6" s="149" t="n">
        <x:f>'Assumptions'!$B$7*E6/'Assumptions'!$B$5</x:f>
        <x:v>5.000445928949482</x:v>
      </x:c>
      <x:c r="G6" s="150" t="n">
        <x:f>'Assumptions'!C26</x:f>
        <x:v>0.7</x:v>
      </x:c>
      <x:c r="H6" s="151" t="n">
        <x:f>D6*G6+F6*(1-G6)</x:f>
        <x:v>5.363868446108313</x:v>
      </x:c>
      <x:c r="I6" s="152" t="n">
        <x:f>H6/'Assumptions'!$B$4-1</x:f>
        <x:v>-0.1015295735161954</x:v>
      </x:c>
    </x:row>
    <x:row r="7">
      <x:c r="A7" s="16" t="str">
        <x:v>Bull</x:v>
      </x:c>
      <x:c r="B7" s="153" t="n">
        <x:f>'Assumptions'!D23</x:f>
        <x:v>1</x:v>
      </x:c>
      <x:c r="C7" s="154" t="n">
        <x:f>'Assumptions'!D24</x:f>
        <x:v>22</x:v>
      </x:c>
      <x:c r="D7" s="155" t="n">
        <x:f>B7*C7/'Assumptions'!$B$5</x:f>
        <x:v>8.432754234455984</x:v>
      </x:c>
      <x:c r="E7" s="154" t="n">
        <x:f>'Assumptions'!D25</x:f>
        <x:v>2.2</x:v>
      </x:c>
      <x:c r="F7" s="155" t="n">
        <x:f>'Assumptions'!$B$7*E7/'Assumptions'!$B$5</x:f>
        <x:v>6.1116561353827</x:v>
      </x:c>
      <x:c r="G7" s="156" t="n">
        <x:f>'Assumptions'!D26</x:f>
        <x:v>0.7</x:v>
      </x:c>
      <x:c r="H7" s="157" t="n">
        <x:f>D7*G7+F7*(1-G7)</x:f>
        <x:v>7.736424804733999</x:v>
      </x:c>
      <x:c r="I7" s="46" t="n">
        <x:f>H7/'Assumptions'!$B$4-1</x:f>
        <x:v>0.295883551881742</x:v>
      </x:c>
    </x:row>
    <x:row r="11">
      <x:c r="A11" s="19" t="str">
        <x:v>P/E敏感性：正常化利润与估值倍数（元/股）</x:v>
      </x:c>
      <x:c r="B11" s="20" t="str">
        <x:v>P/E敏感性：正常化利润与估值倍数（元/股）</x:v>
      </x:c>
      <x:c r="C11" s="20" t="str">
        <x:v>P/E敏感性：正常化利润与估值倍数（元/股）</x:v>
      </x:c>
      <x:c r="D11" s="20" t="str">
        <x:v>P/E敏感性：正常化利润与估值倍数（元/股）</x:v>
      </x:c>
      <x:c r="E11" s="20" t="str">
        <x:v>P/E敏感性：正常化利润与估值倍数（元/股）</x:v>
      </x:c>
      <x:c r="F11" s="20" t="str">
        <x:v>P/E敏感性：正常化利润与估值倍数（元/股）</x:v>
      </x:c>
      <x:c r="G11" s="21" t="str">
        <x:v>P/E敏感性：正常化利润与估值倍数（元/股）</x:v>
      </x:c>
    </x:row>
    <x:row r="12">
      <x:c r="A12" s="52" t="str">
        <x:v>利润 \ P/E</x:v>
      </x:c>
      <x:c r="B12" s="53" t="n">
        <x:v>14</x:v>
      </x:c>
      <x:c r="C12" s="53" t="n">
        <x:v>16</x:v>
      </x:c>
      <x:c r="D12" s="53" t="n">
        <x:v>18</x:v>
      </x:c>
      <x:c r="E12" s="53" t="n">
        <x:v>20</x:v>
      </x:c>
      <x:c r="F12" s="53" t="n">
        <x:v>22</x:v>
      </x:c>
      <x:c r="G12" s="54" t="str">
        <x:v>说明</x:v>
      </x:c>
    </x:row>
    <x:row r="13">
      <x:c r="A13" s="122" t="n">
        <x:v>0.6</x:v>
      </x:c>
      <x:c r="B13" s="40" t="n">
        <x:f>$A13*B$12/'Assumptions'!$B$5</x:f>
        <x:v>3.219778889519558</x:v>
      </x:c>
      <x:c r="C13" s="40" t="n">
        <x:f>$A13*C$12/'Assumptions'!$B$5</x:f>
        <x:v>3.6797473023080656</x:v>
      </x:c>
      <x:c r="D13" s="40" t="n">
        <x:f>$A13*D$12/'Assumptions'!$B$5</x:f>
        <x:v>4.139715715096574</x:v>
      </x:c>
      <x:c r="E13" s="40" t="n">
        <x:f>$A13*E$12/'Assumptions'!$B$5</x:f>
        <x:v>4.599684127885082</x:v>
      </x:c>
      <x:c r="F13" s="40" t="n">
        <x:f>$A13*F$12/'Assumptions'!$B$5</x:f>
        <x:v>5.05965254067359</x:v>
      </x:c>
      <x:c r="G13" s="11" t="str">
        <x:v>熊市利润</x:v>
      </x:c>
    </x:row>
    <x:row r="14">
      <x:c r="A14" s="158" t="n">
        <x:v>0.7</x:v>
      </x:c>
      <x:c r="B14" s="45" t="n">
        <x:f>$A14*B$12/'Assumptions'!$B$5</x:f>
        <x:v>3.7564087044394836</x:v>
      </x:c>
      <x:c r="C14" s="45" t="n">
        <x:f>$A14*C$12/'Assumptions'!$B$5</x:f>
        <x:v>4.29303851935941</x:v>
      </x:c>
      <x:c r="D14" s="45" t="n">
        <x:f>$A14*D$12/'Assumptions'!$B$5</x:f>
        <x:v>4.8296683342793365</x:v>
      </x:c>
      <x:c r="E14" s="45" t="n">
        <x:f>$A14*E$12/'Assumptions'!$B$5</x:f>
        <x:v>5.366298149199262</x:v>
      </x:c>
      <x:c r="F14" s="45" t="n">
        <x:f>$A14*F$12/'Assumptions'!$B$5</x:f>
        <x:v>5.902927964119188</x:v>
      </x:c>
      <x:c r="G14" s="14" t="str">
        <x:v>弱修复</x:v>
      </x:c>
    </x:row>
    <x:row r="15">
      <x:c r="A15" s="158" t="n">
        <x:v>0.8</x:v>
      </x:c>
      <x:c r="B15" s="45" t="n">
        <x:f>$A15*B$12/'Assumptions'!$B$5</x:f>
        <x:v>4.293038519359411</x:v>
      </x:c>
      <x:c r="C15" s="45" t="n">
        <x:f>$A15*C$12/'Assumptions'!$B$5</x:f>
        <x:v>4.906329736410755</x:v>
      </x:c>
      <x:c r="D15" s="45" t="n">
        <x:f>$A15*D$12/'Assumptions'!$B$5</x:f>
        <x:v>5.519620953462098</x:v>
      </x:c>
      <x:c r="E15" s="45" t="n">
        <x:f>$A15*E$12/'Assumptions'!$B$5</x:f>
        <x:v>6.132912170513443</x:v>
      </x:c>
      <x:c r="F15" s="45" t="n">
        <x:f>$A15*F$12/'Assumptions'!$B$5</x:f>
        <x:v>6.746203387564788</x:v>
      </x:c>
      <x:c r="G15" s="14" t="str">
        <x:v>基准</x:v>
      </x:c>
    </x:row>
    <x:row r="16">
      <x:c r="A16" s="158" t="n">
        <x:v>0.9</x:v>
      </x:c>
      <x:c r="B16" s="45" t="n">
        <x:f>$A16*B$12/'Assumptions'!$B$5</x:f>
        <x:v>4.8296683342793365</x:v>
      </x:c>
      <x:c r="C16" s="45" t="n">
        <x:f>$A16*C$12/'Assumptions'!$B$5</x:f>
        <x:v>5.519620953462098</x:v>
      </x:c>
      <x:c r="D16" s="45" t="n">
        <x:f>$A16*D$12/'Assumptions'!$B$5</x:f>
        <x:v>6.209573572644861</x:v>
      </x:c>
      <x:c r="E16" s="45" t="n">
        <x:f>$A16*E$12/'Assumptions'!$B$5</x:f>
        <x:v>6.899526191827623</x:v>
      </x:c>
      <x:c r="F16" s="45" t="n">
        <x:f>$A16*F$12/'Assumptions'!$B$5</x:f>
        <x:v>7.589478811010386</x:v>
      </x:c>
      <x:c r="G16" s="14" t="str">
        <x:v>较强修复</x:v>
      </x:c>
    </x:row>
    <x:row r="17">
      <x:c r="A17" s="153" t="n">
        <x:v>1</x:v>
      </x:c>
      <x:c r="B17" s="155" t="n">
        <x:f>$A17*B$12/'Assumptions'!$B$5</x:f>
        <x:v>5.366298149199262</x:v>
      </x:c>
      <x:c r="C17" s="155" t="n">
        <x:f>$A17*C$12/'Assumptions'!$B$5</x:f>
        <x:v>6.132912170513443</x:v>
      </x:c>
      <x:c r="D17" s="155" t="n">
        <x:f>$A17*D$12/'Assumptions'!$B$5</x:f>
        <x:v>6.899526191827623</x:v>
      </x:c>
      <x:c r="E17" s="155" t="n">
        <x:f>$A17*E$12/'Assumptions'!$B$5</x:f>
        <x:v>7.666140213141803</x:v>
      </x:c>
      <x:c r="F17" s="155" t="n">
        <x:f>$A17*F$12/'Assumptions'!$B$5</x:f>
        <x:v>8.432754234455984</x:v>
      </x:c>
      <x:c r="G17" s="16" t="str">
        <x:v>牛市利润</x:v>
      </x:c>
    </x:row>
    <x:row r="20">
      <x:c r="A20" s="19" t="str">
        <x:v>估值限制</x:v>
      </x:c>
      <x:c r="B20" s="20" t="str">
        <x:v>估值限制</x:v>
      </x:c>
      <x:c r="C20" s="20" t="str">
        <x:v>估值限制</x:v>
      </x:c>
      <x:c r="D20" s="20" t="str">
        <x:v>估值限制</x:v>
      </x:c>
      <x:c r="E20" s="20" t="str">
        <x:v>估值限制</x:v>
      </x:c>
      <x:c r="F20" s="20" t="str">
        <x:v>估值限制</x:v>
      </x:c>
      <x:c r="G20" s="20" t="str">
        <x:v>估值限制</x:v>
      </x:c>
      <x:c r="H20" s="20" t="str">
        <x:v>估值限制</x:v>
      </x:c>
      <x:c r="I20" s="21" t="str">
        <x:v>估值限制</x:v>
      </x:c>
    </x:row>
    <x:row r="21">
      <x:c r="A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B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C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D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E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F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G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H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I21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</x:row>
    <x:row r="22">
      <x:c r="A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B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C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D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E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F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G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H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I22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</x:row>
    <x:row r="23">
      <x:c r="A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B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C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D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E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F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G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H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I23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</x:row>
    <x:row r="24">
      <x:c r="A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B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C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D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E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F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G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H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I24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</x:row>
    <x:row r="25">
      <x:c r="A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B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C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D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E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F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G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H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  <x:c r="I25" s="49" t="str">
        <x:v>正常化利润与倍数是分析假设，不是一致预期。P/E已经包含现金及理财收益，因此没有另加流动性资产。P/B直接使用2026年半年报归母权益，并按注销后股本计算。半年报显示自营项目收入与毛利承压、设计策划费确认波动较大，因此基准正常化利润下调至8.0亿元。</x:v>
      </x:c>
    </x:row>
  </x:sheetData>
  <x:mergeCells>
    <x:mergeCell ref="A1:I1"/>
    <x:mergeCell ref="A11:G11"/>
    <x:mergeCell ref="A20:I20"/>
    <x:mergeCell ref="A21:I25"/>
  </x:mergeCells>
  <x:conditionalFormatting sqref="B13:F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6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IF(COUNTIF(F5:F14,"FAIL")=0,"OK","FAIL")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估值权重合计</x:v>
      </x:c>
      <x:c r="B5" s="161" t="n">
        <x:f>'Assumptions'!B20</x:f>
        <x:v>1</x:v>
      </x:c>
      <x:c r="C5" s="161" t="n">
        <x:f>1</x:f>
        <x:v>1</x:v>
      </x:c>
      <x:c r="D5" s="161" t="n">
        <x:f>B5-C5</x:f>
        <x:v>0</x:v>
      </x:c>
      <x:c r="E5" s="161" t="n">
        <x:f>0.0001</x:f>
        <x:v>0.0001</x:v>
      </x:c>
      <x:c r="F5" s="11" t="str">
        <x:f>IF(ABS(D5)&lt;=E5,"OK","FAIL")</x:f>
        <x:v>OK</x:v>
      </x:c>
      <x:c r="G5" s="11" t="str">
        <x:v>P/E与P/B权重应为100%</x:v>
      </x:c>
    </x:row>
    <x:row r="6">
      <x:c r="A6" s="14" t="str">
        <x:v>1H26毛利桥</x:v>
      </x:c>
      <x:c r="B6" s="162" t="n">
        <x:f>'Historical'!F6</x:f>
        <x:v>0.5825004084700001</x:v>
      </x:c>
      <x:c r="C6" s="162" t="n">
        <x:f>'Historical'!F4-'Historical'!F5</x:f>
        <x:v>0.5825004084700001</x:v>
      </x:c>
      <x:c r="D6" s="162" t="n">
        <x:f>B6-C6</x:f>
        <x:v>0</x:v>
      </x:c>
      <x:c r="E6" s="162" t="n">
        <x:f>0.0001</x:f>
        <x:v>0.0001</x:v>
      </x:c>
      <x:c r="F6" s="14" t="str">
        <x:f>IF(ABS(D6)&lt;=E6,"OK","FAIL")</x:f>
        <x:v>OK</x:v>
      </x:c>
      <x:c r="G6" s="14" t="str">
        <x:v>收入减成本等于毛利</x:v>
      </x:c>
    </x:row>
    <x:row r="7">
      <x:c r="A7" s="14" t="str">
        <x:v>1H26自由现金流桥</x:v>
      </x:c>
      <x:c r="B7" s="162" t="n">
        <x:f>'Historical'!F12</x:f>
        <x:v>0.21224849835</x:v>
      </x:c>
      <x:c r="C7" s="162" t="n">
        <x:f>'Historical'!F10-'Historical'!F11</x:f>
        <x:v>0.21224849835</x:v>
      </x:c>
      <x:c r="D7" s="162" t="n">
        <x:f>B7-C7</x:f>
        <x:v>0</x:v>
      </x:c>
      <x:c r="E7" s="162" t="n">
        <x:f>0.0001</x:f>
        <x:v>0.0001</x:v>
      </x:c>
      <x:c r="F7" s="14" t="str">
        <x:f>IF(ABS(D7)&lt;=E7,"OK","FAIL")</x:f>
        <x:v>OK</x:v>
      </x:c>
      <x:c r="G7" s="14" t="str">
        <x:v>CFO减长期资产支出</x:v>
      </x:c>
    </x:row>
    <x:row r="8">
      <x:c r="A8" s="14" t="str">
        <x:v>市值复核</x:v>
      </x:c>
      <x:c r="B8" s="162" t="n">
        <x:f>'Assumptions'!B6</x:f>
        <x:v>15.57498254406</x:v>
      </x:c>
      <x:c r="C8" s="162" t="n">
        <x:f>'Assumptions'!B4*'Assumptions'!B5</x:f>
        <x:v>15.57498254406</x:v>
      </x:c>
      <x:c r="D8" s="162" t="n">
        <x:f>B8-C8</x:f>
        <x:v>0</x:v>
      </x:c>
      <x:c r="E8" s="162" t="n">
        <x:f>0.0001</x:f>
        <x:v>0.0001</x:v>
      </x:c>
      <x:c r="F8" s="14" t="str">
        <x:f>IF(ABS(D8)&lt;=E8,"OK","FAIL")</x:f>
        <x:v>OK</x:v>
      </x:c>
      <x:c r="G8" s="14" t="str">
        <x:v>价格乘股本</x:v>
      </x:c>
    </x:row>
    <x:row r="9">
      <x:c r="A9" s="14" t="str">
        <x:v>每股净资产桥</x:v>
      </x:c>
      <x:c r="B9" s="162" t="n">
        <x:f>'Assumptions'!B11</x:f>
        <x:v>2.778025516083045</x:v>
      </x:c>
      <x:c r="C9" s="162" t="n">
        <x:f>'Assumptions'!B7/'Assumptions'!B5</x:f>
        <x:v>2.778025516083045</x:v>
      </x:c>
      <x:c r="D9" s="162" t="n">
        <x:f>B9-C9</x:f>
        <x:v>0</x:v>
      </x:c>
      <x:c r="E9" s="162" t="n">
        <x:f>0.0001</x:f>
        <x:v>0.0001</x:v>
      </x:c>
      <x:c r="F9" s="14" t="str">
        <x:f>IF(ABS(D9)&lt;=E9,"OK","FAIL")</x:f>
        <x:v>OK</x:v>
      </x:c>
      <x:c r="G9" s="14" t="str">
        <x:v>半年报归母权益除注销后股本</x:v>
      </x:c>
    </x:row>
    <x:row r="10">
      <x:c r="A10" s="14" t="str">
        <x:v>流动性资产桥</x:v>
      </x:c>
      <x:c r="B10" s="162" t="n">
        <x:f>'Assumptions'!B10</x:f>
        <x:v>3.25651120177</x:v>
      </x:c>
      <x:c r="C10" s="162" t="n">
        <x:f>'Assumptions'!B8+'Assumptions'!B9</x:f>
        <x:v>3.25651120177</x:v>
      </x:c>
      <x:c r="D10" s="162" t="n">
        <x:f>B10-C10</x:f>
        <x:v>0</x:v>
      </x:c>
      <x:c r="E10" s="162" t="n">
        <x:f>0.0001</x:f>
        <x:v>0.0001</x:v>
      </x:c>
      <x:c r="F10" s="14" t="str">
        <x:f>IF(ABS(D10)&lt;=E10,"OK","FAIL")</x:f>
        <x:v>OK</x:v>
      </x:c>
      <x:c r="G10" s="14" t="str">
        <x:v>货币资金加交易性金融资产</x:v>
      </x:c>
    </x:row>
    <x:row r="11">
      <x:c r="A11" s="14" t="str">
        <x:v>股本为正</x:v>
      </x:c>
      <x:c r="B11" s="162" t="n">
        <x:f>'Assumptions'!B5</x:f>
        <x:v>2.608874798</x:v>
      </x:c>
      <x:c r="C11" s="162" t="n">
        <x:f>0</x:f>
        <x:v>0</x:v>
      </x:c>
      <x:c r="D11" s="162" t="n">
        <x:f>B11-C11</x:f>
        <x:v>2.608874798</x:v>
      </x:c>
      <x:c r="E11" s="162" t="n">
        <x:f>0</x:f>
        <x:v>0</x:v>
      </x:c>
      <x:c r="F11" s="14" t="str">
        <x:f>IF(B11&gt;C11,"OK","FAIL")</x:f>
        <x:v>OK</x:v>
      </x:c>
      <x:c r="G11" s="14" t="str">
        <x:v>注销后股本必须为正</x:v>
      </x:c>
    </x:row>
    <x:row r="12">
      <x:c r="A12" s="14" t="str">
        <x:v>当前价格为正</x:v>
      </x:c>
      <x:c r="B12" s="162" t="n">
        <x:f>'Assumptions'!B4</x:f>
        <x:v>5.97</x:v>
      </x:c>
      <x:c r="C12" s="162" t="n">
        <x:f>0</x:f>
        <x:v>0</x:v>
      </x:c>
      <x:c r="D12" s="162" t="n">
        <x:f>B12-C12</x:f>
        <x:v>5.97</x:v>
      </x:c>
      <x:c r="E12" s="162" t="n">
        <x:f>0</x:f>
        <x:v>0</x:v>
      </x:c>
      <x:c r="F12" s="14" t="str">
        <x:f>IF(B12&gt;C12,"OK","FAIL")</x:f>
        <x:v>OK</x:v>
      </x:c>
      <x:c r="G12" s="14" t="str">
        <x:v>价格输入必须为正</x:v>
      </x:c>
    </x:row>
    <x:row r="13">
      <x:c r="A13" s="14" t="str">
        <x:v>情景价值递增</x:v>
      </x:c>
      <x:c r="B13" s="162" t="n">
        <x:f>'Valuation'!H7-'Valuation'!H5</x:f>
        <x:v>4.31580886531543</x:v>
      </x:c>
      <x:c r="C13" s="162" t="n">
        <x:f>0</x:f>
        <x:v>0</x:v>
      </x:c>
      <x:c r="D13" s="162" t="n">
        <x:f>B13-C13</x:f>
        <x:v>4.31580886531543</x:v>
      </x:c>
      <x:c r="E13" s="162" t="n">
        <x:f>0</x:f>
        <x:v>0</x:v>
      </x:c>
      <x:c r="F13" s="14" t="str">
        <x:f>IF(B13&gt;C13,"OK","FAIL")</x:f>
        <x:v>OK</x:v>
      </x:c>
      <x:c r="G13" s="14" t="str">
        <x:v>Bull必须高于Bear</x:v>
      </x:c>
    </x:row>
    <x:row r="14">
      <x:c r="A14" s="16" t="str">
        <x:v>项目收入合计</x:v>
      </x:c>
      <x:c r="B14" s="163" t="n">
        <x:f>SUM('Operating Drivers'!B4:B14)</x:f>
        <x:v>0.9243306659999999</x:v>
      </x:c>
      <x:c r="C14" s="163" t="n">
        <x:f>0.924330665</x:f>
        <x:v>0.924330665</x:v>
      </x:c>
      <x:c r="D14" s="163" t="n">
        <x:f>B14-C14</x:f>
        <x:v>9.99999860695766e-10</x:v>
      </x:c>
      <x:c r="E14" s="163" t="n">
        <x:f>0.0001</x:f>
        <x:v>0.0001</x:v>
      </x:c>
      <x:c r="F14" s="16" t="str">
        <x:f>IF(ABS(D14)&lt;=E14,"OK","FAIL")</x:f>
        <x:v>OK</x:v>
      </x:c>
      <x:c r="G14" s="16" t="str">
        <x:v>项目、电商和设计费等于主营收入</x:v>
      </x:c>
    </x:row>
  </x:sheetData>
  <x:mergeCells>
    <x:mergeCell ref="A1:G1"/>
    <x:mergeCell ref="A2:E2"/>
  </x:mergeCells>
  <x:conditionalFormatting sqref="F2:F14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16" hidden="0" customWidth="1"/>
    <x:col min="4" max="4" width="17" hidden="0" customWidth="1"/>
    <x:col min="5" max="5" width="15" hidden="0" customWidth="1"/>
    <x:col min="6" max="6" width="29" hidden="0" customWidth="1"/>
    <x:col min="7" max="7" width="72" hidden="0" customWidth="1"/>
    <x:col min="8" max="8" width="34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6" customHeight="1">
      <x:c r="A4" s="11" t="str">
        <x:v>S1</x:v>
      </x:c>
      <x:c r="B4" s="94" t="str">
        <x:v>2026半年财务、项目与治理</x:v>
      </x:c>
      <x:c r="C4" s="168"/>
      <x:c r="D4" s="94"/>
      <x:c r="E4" s="94" t="str">
        <x:v>1H26</x:v>
      </x:c>
      <x:c r="F4" s="94" t="str">
        <x:v>宋城演艺2026年半年度报告</x:v>
      </x:c>
      <x:c r="G4" s="94" t="str">
        <x:v>https://static.cninfo.com.cn/finalpage/2026-08-22/1225491618.PDF</x:v>
      </x:c>
      <x:c r="H4" s="94" t="str">
        <x:v>未经审计；同控合并重述比较数据</x:v>
      </x:c>
    </x:row>
    <x:row r="5" ht="46" customHeight="1">
      <x:c r="A5" s="14" t="str">
        <x:v>S2</x:v>
      </x:c>
      <x:c r="B5" s="97" t="str">
        <x:v>2025半年项目比较</x:v>
      </x:c>
      <x:c r="C5" s="169"/>
      <x:c r="D5" s="97"/>
      <x:c r="E5" s="97" t="str">
        <x:v>1H25</x:v>
      </x:c>
      <x:c r="F5" s="97" t="str">
        <x:v>宋城演艺2025年半年度报告</x:v>
      </x:c>
      <x:c r="G5" s="97" t="str">
        <x:v>https://disc.static.szse.cn/disc/disk03/finalpage/2025-08-27/d220dd60-abad-4917-9916-d631e0cf0b3a.PDF</x:v>
      </x:c>
      <x:c r="H5" s="97" t="str">
        <x:v>原始披露；项目同比基线</x:v>
      </x:c>
    </x:row>
    <x:row r="6" ht="46" customHeight="1">
      <x:c r="A6" s="14" t="str">
        <x:v>S3</x:v>
      </x:c>
      <x:c r="B6" s="97" t="str">
        <x:v>2026第一季度与Q2推导</x:v>
      </x:c>
      <x:c r="C6" s="169"/>
      <x:c r="D6" s="97"/>
      <x:c r="E6" s="97" t="str">
        <x:v>1Q26</x:v>
      </x:c>
      <x:c r="F6" s="97" t="str">
        <x:v>宋城演艺2026年第一季度报告</x:v>
      </x:c>
      <x:c r="G6" s="97" t="str">
        <x:v>https://file.finance.sina.com.cn/211.154.219.97%3A9494/MRGG/CNSESZ_STOCK/2026/2026-4/2026-04-24/12166479.PDF</x:v>
      </x:c>
      <x:c r="H6" s="97" t="str">
        <x:v>未经审计；Q2=H1-Q1</x:v>
      </x:c>
    </x:row>
    <x:row r="7" ht="46" customHeight="1">
      <x:c r="A7" s="14" t="str">
        <x:v>S4</x:v>
      </x:c>
      <x:c r="B7" s="97" t="str">
        <x:v>2025年度财务与治理</x:v>
      </x:c>
      <x:c r="C7" s="169"/>
      <x:c r="D7" s="97"/>
      <x:c r="E7" s="97" t="str">
        <x:v>FY2025</x:v>
      </x:c>
      <x:c r="F7" s="97" t="str">
        <x:v>宋城演艺2025年年度报告</x:v>
      </x:c>
      <x:c r="G7" s="97" t="str">
        <x:v>https://disc.static.szse.cn/disc/disk03/finalpage/2026-04-24/e7a27e5e-b38f-41c9-89d6-71bc434c9698.PDF</x:v>
      </x:c>
      <x:c r="H7" s="97" t="str">
        <x:v>中喜审计；标准无保留意见</x:v>
      </x:c>
    </x:row>
    <x:row r="8" ht="46" customHeight="1">
      <x:c r="A8" s="14" t="str">
        <x:v>S5</x:v>
      </x:c>
      <x:c r="B8" s="97" t="str">
        <x:v>2024历史财务</x:v>
      </x:c>
      <x:c r="C8" s="169"/>
      <x:c r="D8" s="97"/>
      <x:c r="E8" s="97" t="str">
        <x:v>FY2024</x:v>
      </x:c>
      <x:c r="F8" s="97" t="str">
        <x:v>宋城演艺2024年年度报告</x:v>
      </x:c>
      <x:c r="G8" s="97" t="str">
        <x:v>https://disc.static.szse.cn/disc/disk03/finalpage/2025-04-24/44dcc1cf-8798-4934-97e9-eb59853d3779.PDF</x:v>
      </x:c>
      <x:c r="H8" s="97" t="str">
        <x:v>已审计</x:v>
      </x:c>
    </x:row>
    <x:row r="9" ht="46" customHeight="1">
      <x:c r="A9" s="14" t="str">
        <x:v>S6</x:v>
      </x:c>
      <x:c r="B9" s="97" t="str">
        <x:v>2023减值与现金流</x:v>
      </x:c>
      <x:c r="C9" s="169"/>
      <x:c r="D9" s="97"/>
      <x:c r="E9" s="97" t="str">
        <x:v>FY2023</x:v>
      </x:c>
      <x:c r="F9" s="97" t="str">
        <x:v>宋城演艺2023年年度报告</x:v>
      </x:c>
      <x:c r="G9" s="97" t="str">
        <x:v>https://disc.static.szse.cn/disc/disk03/finalpage/2024-04-25/9f22badb-5dcc-440b-b43c-df0752c328a5.PDF</x:v>
      </x:c>
      <x:c r="H9" s="97" t="str">
        <x:v>已审计</x:v>
      </x:c>
    </x:row>
    <x:row r="10" ht="46" customHeight="1">
      <x:c r="A10" s="14" t="str">
        <x:v>S7</x:v>
      </x:c>
      <x:c r="B10" s="97" t="str">
        <x:v>项目与战略说明</x:v>
      </x:c>
      <x:c r="C10" s="169"/>
      <x:c r="D10" s="97"/>
      <x:c r="E10" s="97" t="str">
        <x:v>2026-04-23</x:v>
      </x:c>
      <x:c r="F10" s="97" t="str">
        <x:v>投资者关系活动记录</x:v>
      </x:c>
      <x:c r="G10" s="97" t="str">
        <x:v>https://file.finance.sina.com.cn/211.154.219.97%3A9494/MRGG/CNSESZ_STOCK/2026/2026-4/2026-04-23/12175094.PDF</x:v>
      </x:c>
      <x:c r="H10" s="97" t="str">
        <x:v>管理层陈述，需后续验证</x:v>
      </x:c>
    </x:row>
    <x:row r="11" ht="46" customHeight="1">
      <x:c r="A11" s="14" t="str">
        <x:v>S8</x:v>
      </x:c>
      <x:c r="B11" s="97" t="str">
        <x:v>关联收购</x:v>
      </x:c>
      <x:c r="C11" s="169" t="n">
        <x:v>0.963</x:v>
      </x:c>
      <x:c r="D11" s="97" t="str">
        <x:v>RMB bn</x:v>
      </x:c>
      <x:c r="E11" s="97" t="str">
        <x:v>2025-11-26</x:v>
      </x:c>
      <x:c r="F11" s="97" t="str">
        <x:v>收购宋城实业公告</x:v>
      </x:c>
      <x:c r="G11" s="97" t="str">
        <x:v>https://file.finance.sina.com.cn/211.154.219.97%3A9494/MRGG/CNSESZ_STOCK/2025/2025-11/2025-11-26/11635920.PDF</x:v>
      </x:c>
      <x:c r="H11" s="97" t="str">
        <x:v>评估增值422.74%；无盈利补偿</x:v>
      </x:c>
    </x:row>
    <x:row r="12" ht="46" customHeight="1">
      <x:c r="A12" s="14" t="str">
        <x:v>S9</x:v>
      </x:c>
      <x:c r="B12" s="97" t="str">
        <x:v>现金分红</x:v>
      </x:c>
      <x:c r="C12" s="169" t="n">
        <x:v>0.652672934</x:v>
      </x:c>
      <x:c r="D12" s="97" t="str">
        <x:v>RMB bn</x:v>
      </x:c>
      <x:c r="E12" s="97" t="str">
        <x:v>2026-06-12</x:v>
      </x:c>
      <x:c r="F12" s="97" t="str">
        <x:v>2025年度权益分派实施公告</x:v>
      </x:c>
      <x:c r="G12" s="97" t="str">
        <x:v>https://file.finance.sina.com.cn/211.154.219.97%3A9494/MRGG/CNSESZ_STOCK/2026/2026-6/2026-06-04/12374932.PDF</x:v>
      </x:c>
      <x:c r="H12" s="97" t="str">
        <x:v>已实施</x:v>
      </x:c>
    </x:row>
    <x:row r="13" ht="46" customHeight="1">
      <x:c r="A13" s="14" t="str">
        <x:v>S10</x:v>
      </x:c>
      <x:c r="B13" s="97" t="str">
        <x:v>注销后股本</x:v>
      </x:c>
      <x:c r="C13" s="169" t="n">
        <x:v>2.608874798</x:v>
      </x:c>
      <x:c r="D13" s="97" t="str">
        <x:v>bn shares</x:v>
      </x:c>
      <x:c r="E13" s="97" t="str">
        <x:v>2026-07-03</x:v>
      </x:c>
      <x:c r="F13" s="97" t="str">
        <x:v>回购股份注销完成公告</x:v>
      </x:c>
      <x:c r="G13" s="97" t="str">
        <x:v>https://file.finance.sina.com.cn/211.154.219.97%3A9494/MRGG/CNSESZ_STOCK/2026/2026-7/2026-07-04/12429828.PDF</x:v>
      </x:c>
      <x:c r="H13" s="97" t="str">
        <x:v>已完成注销</x:v>
      </x:c>
    </x:row>
    <x:row r="14" ht="46" customHeight="1">
      <x:c r="A14" s="14" t="str">
        <x:v>S11</x:v>
      </x:c>
      <x:c r="B14" s="97" t="str">
        <x:v>董事长变更</x:v>
      </x:c>
      <x:c r="C14" s="169"/>
      <x:c r="D14" s="97"/>
      <x:c r="E14" s="97" t="str">
        <x:v>2026-08-21</x:v>
      </x:c>
      <x:c r="F14" s="97" t="str">
        <x:v>董事长辞职及选举公告</x:v>
      </x:c>
      <x:c r="G14" s="97" t="str">
        <x:v>https://static.cninfo.com.cn/finalpage/2026-08-22/1225491621.PDF</x:v>
      </x:c>
      <x:c r="H14" s="97" t="str">
        <x:v>黄鸿鸣同时任控股股东总裁</x:v>
      </x:c>
    </x:row>
    <x:row r="15" ht="46" customHeight="1">
      <x:c r="A15" s="14" t="str">
        <x:v>S12</x:v>
      </x:c>
      <x:c r="B15" s="97" t="str">
        <x:v>2025年国内居民出游</x:v>
      </x:c>
      <x:c r="C15" s="169"/>
      <x:c r="D15" s="97"/>
      <x:c r="E15" s="97" t="str">
        <x:v>FY2025</x:v>
      </x:c>
      <x:c r="F15" s="97" t="str">
        <x:v>文化和旅游部</x:v>
      </x:c>
      <x:c r="G15" s="97" t="str">
        <x:v>https://zwgk.mct.gov.cn/zfxxgkml/tjxx/202601/t20260126_964367.html</x:v>
      </x:c>
      <x:c r="H15" s="97" t="str">
        <x:v>官方抽样调查</x:v>
      </x:c>
    </x:row>
    <x:row r="16" ht="46" customHeight="1">
      <x:c r="A16" s="14" t="str">
        <x:v>S13</x:v>
      </x:c>
      <x:c r="B16" s="97" t="str">
        <x:v>2026年一季度居民出游</x:v>
      </x:c>
      <x:c r="C16" s="169"/>
      <x:c r="D16" s="97"/>
      <x:c r="E16" s="97" t="str">
        <x:v>1Q26</x:v>
      </x:c>
      <x:c r="F16" s="97" t="str">
        <x:v>文化和旅游部</x:v>
      </x:c>
      <x:c r="G16" s="97" t="str">
        <x:v>https://zwgk.mct.gov.cn/zfxxgkml/tjxx/202604/t20260429_965662.html</x:v>
      </x:c>
      <x:c r="H16" s="97" t="str">
        <x:v>官方抽样调查</x:v>
      </x:c>
    </x:row>
    <x:row r="17" ht="46" customHeight="1">
      <x:c r="A17" s="14" t="str">
        <x:v>S14</x:v>
      </x:c>
      <x:c r="B17" s="97" t="str">
        <x:v>A股收盘价</x:v>
      </x:c>
      <x:c r="C17" s="169" t="n">
        <x:v>5.97</x:v>
      </x:c>
      <x:c r="D17" s="97" t="str">
        <x:v>RMB/股</x:v>
      </x:c>
      <x:c r="E17" s="97" t="str">
        <x:v>2026-08-21</x:v>
      </x:c>
      <x:c r="F17" s="97" t="str">
        <x:v>中财网行情页</x:v>
      </x:c>
      <x:c r="G17" s="97" t="str">
        <x:v>https://data.cfi.cn/300144.html</x:v>
      </x:c>
      <x:c r="H17" s="97" t="str">
        <x:v>二级市场延迟行情；前一交易日收市</x:v>
      </x:c>
    </x:row>
    <x:row r="18" ht="46" customHeight="1">
      <x:c r="A18" s="14" t="str">
        <x:v>A1</x:v>
      </x:c>
      <x:c r="B18" s="97" t="str">
        <x:v>基准正常化利润</x:v>
      </x:c>
      <x:c r="C18" s="169" t="n">
        <x:v>0.8</x:v>
      </x:c>
      <x:c r="D18" s="97" t="str">
        <x:v>RMB bn</x:v>
      </x:c>
      <x:c r="E18" s="97" t="str">
        <x:v>Base</x:v>
      </x:c>
      <x:c r="F18" s="97" t="str">
        <x:v>分析假设</x:v>
      </x:c>
      <x:c r="G18" s="97" t="str"/>
      <x:c r="H18" s="97" t="str">
        <x:v>不是一致预期</x:v>
      </x:c>
    </x:row>
    <x:row r="19" ht="46" customHeight="1">
      <x:c r="A19" s="16" t="str">
        <x:v>A2</x:v>
      </x:c>
      <x:c r="B19" s="100" t="str">
        <x:v>基准P/E</x:v>
      </x:c>
      <x:c r="C19" s="170" t="n">
        <x:v>18</x:v>
      </x:c>
      <x:c r="D19" s="100" t="str">
        <x:v>x</x:v>
      </x:c>
      <x:c r="E19" s="100" t="str">
        <x:v>Base</x:v>
      </x:c>
      <x:c r="F19" s="100" t="str">
        <x:v>分析假设</x:v>
      </x:c>
      <x:c r="G19" s="100" t="str"/>
      <x:c r="H19" s="100" t="str">
        <x:v>反映品牌现金流与治理折价</x:v>
      </x:c>
    </x:row>
  </x:sheetData>
  <x:mergeCells>
    <x:mergeCell ref="A1:H1"/>
  </x:mergeCells>
  <x:pageMargins left="0.7" right="0.7" top="0.75" bottom="0.75" header="0.3" footer="0.3"/>
</x:worksheet>
</file>
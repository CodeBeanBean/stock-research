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d8667cd63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5edad998d174199"/>
    <x:sheet xmlns:r="http://schemas.openxmlformats.org/officeDocument/2006/relationships" name="Valuation" sheetId="2" r:id="R8d1df7127fd44538"/>
    <x:sheet xmlns:r="http://schemas.openxmlformats.org/officeDocument/2006/relationships" name="Checks" sheetId="3" r:id="R4e9e1c4094dc4002"/>
    <x:sheet xmlns:r="http://schemas.openxmlformats.org/officeDocument/2006/relationships" name="Historical" sheetId="4" r:id="R1572e90c335247ac"/>
    <x:sheet xmlns:r="http://schemas.openxmlformats.org/officeDocument/2006/relationships" name="Segments" sheetId="5" r:id="Rf5ea1ca01f7b4e0c"/>
    <x:sheet xmlns:r="http://schemas.openxmlformats.org/officeDocument/2006/relationships" name="Balance &amp; Cash" sheetId="6" r:id="R77cb2003e76e41fd"/>
    <x:sheet xmlns:r="http://schemas.openxmlformats.org/officeDocument/2006/relationships" name="Assumptions" sheetId="7" r:id="R99eaefc5aaad4a67"/>
    <x:sheet xmlns:r="http://schemas.openxmlformats.org/officeDocument/2006/relationships" name="Sources Audit" sheetId="8" r:id="Rb0fad90db5ec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HK$0.00"/>
    <x:numFmt numFmtId="201" formatCode="#,##0.0"/>
    <x:numFmt numFmtId="202" formatCode="0.0%"/>
    <x:numFmt numFmtId="203" formatCode="0.00x"/>
    <x:numFmt numFmtId="204" formatCode="0.00"/>
    <x:numFmt numFmtId="205" formatCode="#,##0"/>
    <x:numFmt numFmtId="206" formatCode="0.0000"/>
    <x:numFmt numFmtId="207" formatCode="0.0x"/>
    <x:numFmt numFmtId="208" formatCode="0.000"/>
    <x:numFmt numFmtId="209" formatCode="#,##0.0;(#,##0.0);-"/>
  </x:numFmts>
  <x:fonts count="10">
    <x:font>
      <x:sz val="11"/>
      <x:name val="Carlito"/>
    </x:font>
    <x:font>
      <x:sz val="10"/>
      <x:color rgb="FF202020"/>
      <x:name val="Arial"/>
    </x:font>
    <x:font>
      <x:b/>
      <x:sz val="15"/>
      <x:color rgb="FF1F4E78"/>
      <x:name val="Arial"/>
    </x:font>
    <x:font>
      <x:sz val="10"/>
      <x:color rgb="FF008000"/>
      <x:name val="Arial"/>
    </x:font>
    <x:font>
      <x:b/>
      <x:sz val="10"/>
      <x:color rgb="FF1F4E78"/>
      <x:name val="Arial"/>
    </x:font>
    <x:font>
      <x:b/>
      <x:sz val="10"/>
      <x:color rgb="FF203040"/>
      <x:name val="Arial"/>
    </x:font>
    <x:font>
      <x:b/>
      <x:sz val="10"/>
      <x:color rgb="FFFFFFFF"/>
      <x:name val="Arial"/>
    </x:font>
    <x:font>
      <x:b/>
      <x:sz val="10"/>
      <x:color rgb="FF0000FF"/>
      <x:name val="Arial"/>
    </x:font>
    <x:font>
      <x:sz val="10"/>
      <x:color rgb="FF0000FF"/>
      <x:name val="Arial"/>
    </x:font>
    <x:font>
      <x:i/>
      <x:sz val="10"/>
      <x:color rgb="FF40404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2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left style="thin">
        <x:color rgb="FFC6D5E1"/>
      </x:left>
      <x:top style="thin">
        <x:color rgb="FFC6D5E1"/>
      </x:top>
      <x:bottom style="thin">
        <x:color rgb="FF9FBAD0"/>
      </x:bottom>
    </x:border>
    <x:border>
      <x:top style="thin">
        <x:color rgb="FFC6D5E1"/>
      </x:top>
      <x:bottom style="thin">
        <x:color rgb="FF9FBAD0"/>
      </x:bottom>
    </x:border>
    <x:border>
      <x:right style="thin">
        <x:color rgb="FFC6D5E1"/>
      </x:right>
      <x:top style="thin">
        <x:color rgb="FFC6D5E1"/>
      </x:top>
      <x:bottom style="thin">
        <x:color rgb="FF9FBAD0"/>
      </x:bottom>
    </x:border>
    <x:border>
      <x:left style="thin">
        <x:color rgb="FFC6D5E1"/>
      </x:left>
    </x:border>
    <x:border>
      <x:right style="thin">
        <x:color rgb="FFC6D5E1"/>
      </x:right>
    </x:border>
    <x:border>
      <x:left style="thin">
        <x:color rgb="FFC6D5E1"/>
      </x:left>
      <x:bottom style="thin">
        <x:color rgb="FFC6D5E1"/>
      </x:bottom>
    </x:border>
    <x:border>
      <x:bottom style="thin">
        <x:color rgb="FFC6D5E1"/>
      </x:bottom>
    </x:border>
    <x:border>
      <x:right style="thin">
        <x:color rgb="FFC6D5E1"/>
      </x:right>
      <x:bottom style="thin">
        <x:color rgb="FFC6D5E1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205" fontId="3" fillId="0" borderId="0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206" fontId="3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3" fontId="3" fillId="0" borderId="1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1" fillId="0" borderId="1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9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9" fontId="1" fillId="0" borderId="1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200" fontId="7" fillId="5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1" fontId="8" fillId="5" borderId="0" xfId="0" applyNumberFormat="1" applyFont="1" applyFill="1" applyBorder="1" applyAlignment="1">
      <x:alignment vertical="center"/>
    </x:xf>
    <x:xf numFmtId="206" fontId="8" fillId="5" borderId="0" xfId="0" applyNumberFormat="1" applyFont="1" applyFill="1" applyBorder="1" applyAlignment="1">
      <x:alignment vertical="center"/>
    </x:xf>
    <x:xf numFmtId="203" fontId="8" fillId="5" borderId="0" xfId="0" applyNumberFormat="1" applyFont="1" applyFill="1" applyBorder="1" applyAlignment="1">
      <x:alignment vertical="center"/>
    </x:xf>
    <x:xf numFmtId="202" fontId="8" fillId="5" borderId="0" xfId="0" applyNumberFormat="1" applyFont="1" applyFill="1" applyBorder="1" applyAlignment="1">
      <x:alignment vertical="center"/>
    </x:xf>
    <x:xf numFmtId="207" fontId="8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200" fontId="7" fillId="5" borderId="5" xfId="0" applyNumberFormat="1" applyFont="1" applyFill="1" applyBorder="1" applyAlignment="1">
      <x:alignment horizontal="center" vertical="center" wrapText="1"/>
    </x:xf>
    <x:xf numFmtId="207" fontId="8" fillId="5" borderId="1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94cf1f0c34c26" /><Relationship Type="http://schemas.openxmlformats.org/officeDocument/2006/relationships/theme" Target="/xl/theme/theme1.xml" Id="R9a2e60f2779c444e" /><Relationship Type="http://schemas.openxmlformats.org/officeDocument/2006/relationships/sharedStrings" Target="/xl/sharedStrings.xml" Id="Rfe776245c8b6455a" /><Relationship Type="http://schemas.openxmlformats.org/officeDocument/2006/relationships/worksheet" Target="/xl/worksheets/sheet1.xml" Id="R55edad998d174199" /><Relationship Type="http://schemas.openxmlformats.org/officeDocument/2006/relationships/worksheet" Target="/xl/worksheets/sheet2.xml" Id="R8d1df7127fd44538" /><Relationship Type="http://schemas.openxmlformats.org/officeDocument/2006/relationships/worksheet" Target="/xl/worksheets/sheet3.xml" Id="R4e9e1c4094dc4002" /><Relationship Type="http://schemas.openxmlformats.org/officeDocument/2006/relationships/worksheet" Target="/xl/worksheets/sheet4.xml" Id="R1572e90c335247ac" /><Relationship Type="http://schemas.openxmlformats.org/officeDocument/2006/relationships/worksheet" Target="/xl/worksheets/sheet5.xml" Id="Rf5ea1ca01f7b4e0c" /><Relationship Type="http://schemas.openxmlformats.org/officeDocument/2006/relationships/worksheet" Target="/xl/worksheets/sheet6.xml" Id="R77cb2003e76e41fd" /><Relationship Type="http://schemas.openxmlformats.org/officeDocument/2006/relationships/worksheet" Target="/xl/worksheets/sheet7.xml" Id="R99eaefc5aaad4a67" /><Relationship Type="http://schemas.openxmlformats.org/officeDocument/2006/relationships/worksheet" Target="/xl/worksheets/sheet8.xml" Id="Rb0fad90db5ec49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dde35e405d4938" /><Relationship Type="http://schemas.openxmlformats.org/officeDocument/2006/relationships/chart" Target="/xl/drawings/charts/chart2.xml" Id="R3dc0c729fc784b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情景价值与当前价格（港元）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每股价值</c:v>
          </c:tx>
          <c:cat>
            <c:strRef>
              <c:f>'Cover'!$D$5:$D$8</c:f>
              <c:strCache>
                <c:ptCount val="0"/>
              </c:strCache>
            </c:strRef>
          </c:cat>
          <c:val>
            <c:numRef>
              <c:f>'Cover'!$E$5:$E$8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HK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2026H1收入结构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人民币百万元</c:v>
          </c:tx>
          <c:cat>
            <c:strRef>
              <c:f>'Cover'!$D$19:$D$21</c:f>
              <c:strCache>
                <c:ptCount val="0"/>
              </c:strCache>
            </c:strRef>
          </c:cat>
          <c:val>
            <c:numRef>
              <c:f>'Cover'!$E$19:$E$21</c:f>
              <c:numCache>
                <c:formatCode>#,##0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dde35e405d4938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c0c729fc784b5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cab437c6ee42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龙湖集团（00960.HK）财务与估值模型</x:v>
      </x:c>
      <x:c r="B2" s="3" t="str">
        <x:v>龙湖集团（00960.HK）财务与估值模型</x:v>
      </x:c>
      <x:c r="C2" s="3" t="str">
        <x:v>龙湖集团（00960.HK）财务与估值模型</x:v>
      </x:c>
      <x:c r="D2" s="3" t="str">
        <x:v>龙湖集团（00960.HK）财务与估值模型</x:v>
      </x:c>
      <x:c r="E2" s="3" t="str">
        <x:v>龙湖集团（00960.HK）财务与估值模型</x:v>
      </x:c>
      <x:c r="F2" s="3" t="str">
        <x:v>龙湖集团（00960.HK）财务与估值模型</x:v>
      </x:c>
      <x:c r="G2" s="3" t="str">
        <x:v>龙湖集团（00960.HK）财务与估值模型</x:v>
      </x:c>
      <x:c r="H2" s="3" t="str">
        <x:v>龙湖集团（00960.HK）财务与估值模型</x:v>
      </x:c>
      <x:c r="I2" s="2"/>
      <x:c r="J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6" t="str">
        <x:v>资料截止</x:v>
      </x:c>
      <x:c r="B4" s="7" t="str">
        <x:v>2026-09-14</x:v>
      </x:c>
      <x:c r="C4" s="2"/>
      <x:c r="D4" s="15" t="str">
        <x:v>情景</x:v>
      </x:c>
      <x:c r="E4" s="16" t="str">
        <x:v>每股价值</x:v>
      </x:c>
      <x:c r="F4" s="2"/>
      <x:c r="G4" s="2"/>
      <x:c r="H4" s="2"/>
      <x:c r="I4" s="2"/>
      <x:c r="J4" s="2"/>
    </x:row>
    <x:row r="5" ht="22" customHeight="1">
      <x:c r="A5" s="6" t="str">
        <x:v>价格基准</x:v>
      </x:c>
      <x:c r="B5" s="7" t="str">
        <x:v>2026-09-11收盘</x:v>
      </x:c>
      <x:c r="C5" s="2"/>
      <x:c r="D5" s="2" t="str">
        <x:v>现价</x:v>
      </x:c>
      <x:c r="E5" s="20" t="n">
        <x:f>Assumptions!B4</x:f>
        <x:v>5.67</x:v>
      </x:c>
      <x:c r="F5" s="2"/>
      <x:c r="G5" s="2"/>
      <x:c r="H5" s="2"/>
      <x:c r="I5" s="2"/>
      <x:c r="J5" s="2"/>
    </x:row>
    <x:row r="6" ht="22" customHeight="1">
      <x:c r="A6" s="6" t="str">
        <x:v>当前价格（港元）</x:v>
      </x:c>
      <x:c r="B6" s="8" t="n">
        <x:f>Assumptions!B4</x:f>
        <x:v>5.67</x:v>
      </x:c>
      <x:c r="C6" s="2"/>
      <x:c r="D6" s="2" t="str">
        <x:v>Bear</x:v>
      </x:c>
      <x:c r="E6" s="20" t="n">
        <x:f>Valuation!D15</x:f>
        <x:v>4.352904134179044</x:v>
      </x:c>
      <x:c r="F6" s="2"/>
      <x:c r="G6" s="2"/>
      <x:c r="H6" s="2"/>
      <x:c r="I6" s="2"/>
      <x:c r="J6" s="2"/>
    </x:row>
    <x:row r="7" ht="22" customHeight="1">
      <x:c r="A7" s="6" t="str">
        <x:v>当前判断</x:v>
      </x:c>
      <x:c r="B7" s="7" t="str">
        <x:v>中性观察</x:v>
      </x:c>
      <x:c r="C7" s="2"/>
      <x:c r="D7" s="2" t="str">
        <x:v>Base</x:v>
      </x:c>
      <x:c r="E7" s="20" t="n">
        <x:f>Valuation!D16</x:f>
        <x:v>8.161695251585709</x:v>
      </x:c>
      <x:c r="F7" s="2"/>
      <x:c r="G7" s="2"/>
      <x:c r="H7" s="2"/>
      <x:c r="I7" s="2"/>
      <x:c r="J7" s="2"/>
    </x:row>
    <x:row r="8" ht="22" customHeight="1">
      <x:c r="A8" s="6" t="str">
        <x:v>业务质量</x:v>
      </x:c>
      <x:c r="B8" s="7" t="str">
        <x:v>中</x:v>
      </x:c>
      <x:c r="C8" s="2"/>
      <x:c r="D8" s="2" t="str">
        <x:v>Bull</x:v>
      </x:c>
      <x:c r="E8" s="20" t="n">
        <x:f>Valuation!D17</x:f>
        <x:v>12.242542877378563</x:v>
      </x:c>
      <x:c r="F8" s="2"/>
      <x:c r="G8" s="2"/>
      <x:c r="H8" s="2"/>
      <x:c r="I8" s="2"/>
      <x:c r="J8" s="2"/>
    </x:row>
    <x:row r="9" ht="22" customHeight="1">
      <x:c r="A9" s="6" t="str">
        <x:v>盈利可见度</x:v>
      </x:c>
      <x:c r="B9" s="7" t="str">
        <x:v>低</x:v>
      </x:c>
      <x:c r="C9" s="2"/>
      <x:c r="D9" s="2"/>
      <x:c r="E9" s="2"/>
      <x:c r="F9" s="2"/>
      <x:c r="G9" s="2"/>
      <x:c r="H9" s="2"/>
      <x:c r="I9" s="2"/>
      <x:c r="J9" s="2"/>
    </x:row>
    <x:row r="10" ht="22" customHeight="1">
      <x:c r="A10" s="6" t="str">
        <x:v>估值置信度</x:v>
      </x:c>
      <x:c r="B10" s="7" t="str">
        <x:v>低</x:v>
      </x:c>
      <x:c r="C10" s="2"/>
      <x:c r="D10" s="2"/>
      <x:c r="E10" s="2"/>
      <x:c r="F10" s="2"/>
      <x:c r="G10" s="2"/>
      <x:c r="H10" s="2"/>
      <x:c r="I10" s="2"/>
      <x:c r="J10" s="2"/>
    </x:row>
    <x:row r="11" ht="22" customHeight="1">
      <x:c r="A11" s="6" t="str">
        <x:v>主要方法</x:v>
      </x:c>
      <x:c r="B11" s="7" t="str">
        <x:v>2026H1归母净资产P/B</x:v>
      </x:c>
      <x:c r="C11" s="2"/>
      <x:c r="D11" s="2"/>
      <x:c r="E11" s="2"/>
      <x:c r="F11" s="2"/>
      <x:c r="G11" s="2"/>
      <x:c r="H11" s="2"/>
      <x:c r="I11" s="2"/>
      <x:c r="J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2" customHeight="1">
      <x:c r="A13" s="15" t="str">
        <x:v>关键指标</x:v>
      </x:c>
      <x:c r="B13" s="16" t="str">
        <x:v>数值</x:v>
      </x:c>
      <x:c r="C13" s="2"/>
      <x:c r="D13" s="2"/>
      <x:c r="E13" s="2"/>
      <x:c r="F13" s="2"/>
      <x:c r="G13" s="2"/>
      <x:c r="H13" s="2"/>
      <x:c r="I13" s="2"/>
      <x:c r="J13" s="2"/>
    </x:row>
    <x:row r="14" ht="22" customHeight="1">
      <x:c r="A14" s="2" t="str">
        <x:v>2026H1开发分部利润</x:v>
      </x:c>
      <x:c r="B14" s="17" t="n">
        <x:f>Segments!D7</x:f>
        <x:v>-4114.162</x:v>
      </x:c>
      <x:c r="C14" s="2"/>
      <x:c r="D14" s="2"/>
      <x:c r="E14" s="2"/>
      <x:c r="F14" s="2"/>
      <x:c r="G14" s="2"/>
      <x:c r="H14" s="2"/>
      <x:c r="I14" s="2"/>
      <x:c r="J14" s="2"/>
    </x:row>
    <x:row r="15" ht="22" customHeight="1">
      <x:c r="A15" s="2" t="str">
        <x:v>运营+服务分部利润</x:v>
      </x:c>
      <x:c r="B15" s="17" t="n">
        <x:f>Segments!D12</x:f>
        <x:v>6962.446</x:v>
      </x:c>
      <x:c r="C15" s="2"/>
      <x:c r="D15" s="2"/>
      <x:c r="E15" s="2"/>
      <x:c r="F15" s="2"/>
      <x:c r="G15" s="2"/>
      <x:c r="H15" s="2"/>
      <x:c r="I15" s="2"/>
      <x:c r="J15" s="2"/>
    </x:row>
    <x:row r="16" ht="22" customHeight="1">
      <x:c r="A16" s="2" t="str">
        <x:v>核心归母利润</x:v>
      </x:c>
      <x:c r="B16" s="17" t="n">
        <x:f>Historical!F9</x:f>
        <x:v>64</x:v>
      </x:c>
      <x:c r="C16" s="2"/>
      <x:c r="D16" s="2"/>
      <x:c r="E16" s="2"/>
      <x:c r="F16" s="2"/>
      <x:c r="G16" s="2"/>
      <x:c r="H16" s="2"/>
      <x:c r="I16" s="2"/>
      <x:c r="J16" s="2"/>
    </x:row>
    <x:row r="17" ht="22" customHeight="1">
      <x:c r="A17" s="2" t="str">
        <x:v>8个月合同销售同比</x:v>
      </x:c>
      <x:c r="B17" s="18" t="n">
        <x:f>Segments!E18</x:f>
        <x:v>-0.5443812855268911</x:v>
      </x:c>
      <x:c r="C17" s="2"/>
      <x:c r="D17" s="2"/>
      <x:c r="E17" s="2"/>
      <x:c r="F17" s="2"/>
      <x:c r="G17" s="2"/>
      <x:c r="H17" s="2"/>
      <x:c r="I17" s="2"/>
      <x:c r="J17" s="2"/>
    </x:row>
    <x:row r="18" ht="22" customHeight="1">
      <x:c r="A18" s="2" t="str">
        <x:v>净债务/总权益</x:v>
      </x:c>
      <x:c r="B18" s="18" t="n">
        <x:f>'Balance &amp; Cash'!D14</x:f>
        <x:v>0.519995046154646</x:v>
      </x:c>
      <x:c r="C18" s="2"/>
      <x:c r="D18" s="15" t="str">
        <x:v>2026H1收入</x:v>
      </x:c>
      <x:c r="E18" s="16" t="str">
        <x:v>人民币百万元</x:v>
      </x:c>
      <x:c r="F18" s="2"/>
      <x:c r="G18" s="2"/>
      <x:c r="H18" s="2"/>
      <x:c r="I18" s="2"/>
      <x:c r="J18" s="2"/>
    </x:row>
    <x:row r="19" ht="22" customHeight="1">
      <x:c r="A19" s="2" t="str">
        <x:v>可动用现金/一年内债务</x:v>
      </x:c>
      <x:c r="B19" s="19" t="n">
        <x:f>'Balance &amp; Cash'!D19</x:f>
        <x:v>1.0416077054810722</x:v>
      </x:c>
      <x:c r="C19" s="2"/>
      <x:c r="D19" s="2" t="str">
        <x:v>开发</x:v>
      </x:c>
      <x:c r="E19" s="25" t="n">
        <x:f>Segments!D5</x:f>
        <x:v>26095.048</x:v>
      </x:c>
      <x:c r="F19" s="2"/>
      <x:c r="G19" s="2"/>
      <x:c r="H19" s="2"/>
      <x:c r="I19" s="2"/>
      <x:c r="J19" s="2"/>
    </x:row>
    <x:row r="20" ht="22" customHeight="1">
      <x:c r="A20" s="2" t="str">
        <x:v>当前P/B</x:v>
      </x:c>
      <x:c r="B20" s="19" t="n">
        <x:f>Valuation!B10</x:f>
        <x:v>0.2084125843426362</x:v>
      </x:c>
      <x:c r="C20" s="2"/>
      <x:c r="D20" s="2" t="str">
        <x:v>运营</x:v>
      </x:c>
      <x:c r="E20" s="25" t="n">
        <x:f>Segments!D8</x:f>
        <x:v>7301.21</x:v>
      </x:c>
      <x:c r="F20" s="2"/>
      <x:c r="G20" s="2"/>
      <x:c r="H20" s="2"/>
      <x:c r="I20" s="2"/>
      <x:c r="J20" s="2"/>
    </x:row>
    <x:row r="21" ht="22" customHeight="1">
      <x:c r="A21" s="2" t="str">
        <x:v>Base每股价值</x:v>
      </x:c>
      <x:c r="B21" s="20" t="n">
        <x:f>Valuation!D16</x:f>
        <x:v>8.161695251585709</x:v>
      </x:c>
      <x:c r="C21" s="2"/>
      <x:c r="D21" s="2" t="str">
        <x:v>服务</x:v>
      </x:c>
      <x:c r="E21" s="25" t="n">
        <x:f>Segments!D10</x:f>
        <x:v>6398.985</x:v>
      </x:c>
      <x:c r="F21" s="2"/>
      <x:c r="G21" s="2"/>
      <x:c r="H21" s="2"/>
      <x:c r="I21" s="2"/>
      <x:c r="J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2" customHeight="1">
      <x:c r="A23" s="22" t="str">
        <x:v>研究结论</x:v>
      </x:c>
      <x:c r="B23" s="22" t="str">
        <x:v>研究结论</x:v>
      </x:c>
      <x:c r="C23" s="22" t="str">
        <x:v>研究结论</x:v>
      </x:c>
      <x:c r="D23" s="22" t="str">
        <x:v>研究结论</x:v>
      </x:c>
      <x:c r="E23" s="22" t="str">
        <x:v>研究结论</x:v>
      </x:c>
      <x:c r="F23" s="2"/>
      <x:c r="G23" s="2"/>
      <x:c r="H23" s="2"/>
      <x:c r="I23" s="2"/>
      <x:c r="J23" s="2"/>
    </x:row>
    <x:row r="24" ht="24" customHeight="1">
      <x:c r="A24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B24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C24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D24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E24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F24" s="2"/>
      <x:c r="G24" s="2"/>
      <x:c r="H24" s="2"/>
      <x:c r="I24" s="2"/>
      <x:c r="J24" s="2"/>
    </x:row>
    <x:row r="25" ht="24" customHeight="1">
      <x:c r="A25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B25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C25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D25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E25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F25" s="2"/>
      <x:c r="G25" s="2"/>
      <x:c r="H25" s="2"/>
      <x:c r="I25" s="2"/>
      <x:c r="J25" s="2"/>
    </x:row>
    <x:row r="26" ht="24" customHeight="1">
      <x:c r="A26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B26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C26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D26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E26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F26" s="2"/>
      <x:c r="G26" s="2"/>
      <x:c r="H26" s="2"/>
      <x:c r="I26" s="2"/>
      <x:c r="J26" s="2"/>
    </x:row>
    <x:row r="27" ht="24" customHeight="1">
      <x:c r="A27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B27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C27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D27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E27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F27" s="2"/>
      <x:c r="G27" s="2"/>
      <x:c r="H27" s="2"/>
      <x:c r="I27" s="2"/>
      <x:c r="J27" s="2"/>
    </x:row>
    <x:row r="28" ht="24" customHeight="1">
      <x:c r="A28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B28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C28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D28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E28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F28" s="2"/>
      <x:c r="G28" s="2"/>
      <x:c r="H28" s="2"/>
      <x:c r="I28" s="2"/>
      <x:c r="J28" s="2"/>
    </x:row>
    <x:row r="29" ht="24" customHeight="1">
      <x:c r="A29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B29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C29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D29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E29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F29" s="2"/>
      <x:c r="G29" s="2"/>
      <x:c r="H29" s="2"/>
      <x:c r="I29" s="2"/>
      <x:c r="J29" s="2"/>
    </x:row>
    <x:row r="30" ht="24" customHeight="1">
      <x:c r="A30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B30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C30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D30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E30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F30" s="2"/>
      <x:c r="G30" s="2"/>
      <x:c r="H30" s="2"/>
      <x:c r="I30" s="2"/>
      <x:c r="J30" s="2"/>
    </x:row>
    <x:row r="31" ht="24" customHeight="1">
      <x:c r="A31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B31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C31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D31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E31" s="24" t="str">
        <x:v>商业运营正在变好，但住宅开发恶化得更快。2026H1运营与服务分部调整利润合计69.62亿元，开发分部亏损41.14亿元；报告归母利润19.61亿元，核心归母仅0.64亿元，且97.3%的借款利息被资本化。5.67港元约为0.21倍P/B，但扣监管资金后的现金只略高于一年内债务。Base价值8.16港元，需以销售企稳、开发亏损收窄和持续降债验证。</x:v>
      </x:c>
      <x:c r="F31" s="2"/>
      <x:c r="G31" s="2"/>
      <x:c r="H31" s="2"/>
      <x:c r="I31" s="2"/>
      <x:c r="J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mergeCells>
    <x:mergeCell ref="A2:H2"/>
    <x:mergeCell ref="A23:E23"/>
    <x:mergeCell ref="A24:E31"/>
  </x:mergeCells>
  <x:pageMargins left="0.7" right="0.7" top="0.75" bottom="0.75" header="0.3" footer="0.3"/>
  <x:drawing xmlns:r="http://schemas.openxmlformats.org/officeDocument/2006/relationships" r:id="Rf7cab437c6ee420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估值：归母净资产P/B与运营服务盈利校验</x:v>
      </x:c>
      <x:c r="B2" s="3" t="str">
        <x:v>估值：归母净资产P/B与运营服务盈利校验</x:v>
      </x:c>
      <x:c r="C2" s="3" t="str">
        <x:v>估值：归母净资产P/B与运营服务盈利校验</x:v>
      </x:c>
      <x:c r="D2" s="3" t="str">
        <x:v>估值：归母净资产P/B与运营服务盈利校验</x:v>
      </x:c>
      <x:c r="E2" s="3" t="str">
        <x:v>估值：归母净资产P/B与运营服务盈利校验</x:v>
      </x:c>
      <x:c r="F2" s="3" t="str">
        <x:v>估值：归母净资产P/B与运营服务盈利校验</x:v>
      </x:c>
      <x:c r="G2" s="3" t="str">
        <x:v>估值：归母净资产P/B与运营服务盈利校验</x:v>
      </x:c>
      <x:c r="H2" s="3" t="str">
        <x:v>估值：归母净资产P/B与运营服务盈利校验</x:v>
      </x:c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15" t="str">
        <x:v>市场与账面输入</x:v>
      </x:c>
      <x:c r="B4" s="28" t="str">
        <x:v>数值</x:v>
      </x:c>
      <x:c r="C4" s="16" t="str">
        <x:v>说明</x:v>
      </x:c>
      <x:c r="D4" s="2"/>
      <x:c r="E4" s="2"/>
      <x:c r="F4" s="2"/>
      <x:c r="G4" s="2"/>
      <x:c r="H4" s="2"/>
      <x:c r="I4" s="2"/>
      <x:c r="J4" s="2"/>
    </x:row>
    <x:row r="5">
      <x:c r="A5" s="2" t="str">
        <x:v>当前价格</x:v>
      </x:c>
      <x:c r="B5" s="20" t="n">
        <x:f>Assumptions!B4</x:f>
        <x:v>5.67</x:v>
      </x:c>
      <x:c r="C5" s="2" t="str">
        <x:v>2026-09-11收盘</x:v>
      </x:c>
      <x:c r="D5" s="2"/>
      <x:c r="E5" s="2"/>
      <x:c r="F5" s="2"/>
      <x:c r="G5" s="2"/>
      <x:c r="H5" s="2"/>
      <x:c r="I5" s="2"/>
      <x:c r="J5" s="2"/>
    </x:row>
    <x:row r="6">
      <x:c r="A6" s="2" t="str">
        <x:v>发行股数（百万）</x:v>
      </x:c>
      <x:c r="B6" s="17" t="n">
        <x:f>Assumptions!B5</x:f>
        <x:v>7097.402528</x:v>
      </x:c>
      <x:c r="C6" s="2" t="str">
        <x:v>2026-08-31</x:v>
      </x:c>
      <x:c r="D6" s="2"/>
      <x:c r="E6" s="2"/>
      <x:c r="F6" s="2"/>
      <x:c r="G6" s="2"/>
      <x:c r="H6" s="2"/>
      <x:c r="I6" s="2"/>
      <x:c r="J6" s="2"/>
    </x:row>
    <x:row r="7">
      <x:c r="A7" s="2" t="str">
        <x:v>人民币/港元</x:v>
      </x:c>
      <x:c r="B7" s="29" t="n">
        <x:f>Assumptions!B6</x:f>
        <x:v>1.1691</x:v>
      </x:c>
      <x:c r="C7" s="2" t="str">
        <x:v>2026-09-11</x:v>
      </x:c>
      <x:c r="D7" s="2"/>
      <x:c r="E7" s="2"/>
      <x:c r="F7" s="2"/>
      <x:c r="G7" s="2"/>
      <x:c r="H7" s="2"/>
      <x:c r="I7" s="2"/>
      <x:c r="J7" s="2"/>
    </x:row>
    <x:row r="8">
      <x:c r="A8" s="2" t="str">
        <x:v>归母权益（RMB m）</x:v>
      </x:c>
      <x:c r="B8" s="17" t="n">
        <x:f>'Balance &amp; Cash'!D12</x:f>
        <x:v>165160.769</x:v>
      </x:c>
      <x:c r="C8" s="2" t="str">
        <x:v>2026-06-30</x:v>
      </x:c>
      <x:c r="D8" s="2"/>
      <x:c r="E8" s="2"/>
      <x:c r="F8" s="2"/>
      <x:c r="G8" s="2"/>
      <x:c r="H8" s="2"/>
      <x:c r="I8" s="2"/>
      <x:c r="J8" s="2"/>
    </x:row>
    <x:row r="9">
      <x:c r="A9" s="2" t="str">
        <x:v>每股归母净资产（HKD）</x:v>
      </x:c>
      <x:c r="B9" s="30" t="n">
        <x:f>B8*B7/B6</x:f>
        <x:v>27.20565083861903</x:v>
      </x:c>
      <x:c r="C9" s="2" t="str">
        <x:v>归母权益×汇率/股数</x:v>
      </x:c>
      <x:c r="D9" s="2"/>
      <x:c r="E9" s="2"/>
      <x:c r="F9" s="2"/>
      <x:c r="G9" s="2"/>
      <x:c r="H9" s="2"/>
      <x:c r="I9" s="2"/>
      <x:c r="J9" s="2"/>
    </x:row>
    <x:row r="10">
      <x:c r="A10" s="2" t="str">
        <x:v>当前P/B</x:v>
      </x:c>
      <x:c r="B10" s="31" t="n">
        <x:f>B5/B9</x:f>
        <x:v>0.2084125843426362</x:v>
      </x:c>
      <x:c r="C10" s="2" t="str">
        <x:v>价格/BVPS</x:v>
      </x:c>
      <x:c r="D10" s="2"/>
      <x:c r="E10" s="2"/>
      <x:c r="F10" s="2"/>
      <x:c r="G10" s="2"/>
      <x:c r="H10" s="2"/>
      <x:c r="I10" s="2"/>
      <x:c r="J10" s="2"/>
    </x:row>
    <x:row r="11">
      <x:c r="A11" s="2" t="str">
        <x:v>当前市值（HKD m）</x:v>
      </x:c>
      <x:c r="B11" s="32" t="n">
        <x:f>B5*B6</x:f>
        <x:v>40242.27233376</x:v>
      </x:c>
      <x:c r="C11" s="2" t="str">
        <x:v>价格×股数</x:v>
      </x:c>
      <x:c r="D11" s="2"/>
      <x:c r="E11" s="2"/>
      <x:c r="F11" s="2"/>
      <x:c r="G11" s="2"/>
      <x:c r="H11" s="2"/>
      <x:c r="I11" s="2"/>
      <x:c r="J11" s="2"/>
    </x:row>
    <x:row r="12">
      <x:c r="A12" s="2" t="str">
        <x:v>净债务（RMB m）</x:v>
      </x:c>
      <x:c r="B12" s="32" t="n">
        <x:f>'Balance &amp; Cash'!D11</x:f>
        <x:v>122237.29</x:v>
      </x:c>
      <x:c r="C12" s="2" t="str">
        <x:v>借款-在手现金</x:v>
      </x:c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36" t="str">
        <x:v>情景</x:v>
      </x:c>
      <x:c r="B14" s="37" t="str">
        <x:v>目标P/B</x:v>
      </x:c>
      <x:c r="C14" s="37" t="str">
        <x:v>BVPS</x:v>
      </x:c>
      <x:c r="D14" s="37" t="str">
        <x:v>每股价值</x:v>
      </x:c>
      <x:c r="E14" s="37" t="str">
        <x:v>相对现价</x:v>
      </x:c>
      <x:c r="F14" s="38" t="str">
        <x:v>核心假设</x:v>
      </x:c>
      <x:c r="G14" s="2"/>
      <x:c r="H14" s="2"/>
      <x:c r="I14" s="2"/>
      <x:c r="J14" s="2"/>
    </x:row>
    <x:row r="15">
      <x:c r="A15" s="39" t="str">
        <x:v>Bear</x:v>
      </x:c>
      <x:c r="B15" s="19" t="n">
        <x:f>Assumptions!B7</x:f>
        <x:v>0.16</x:v>
      </x:c>
      <x:c r="C15" s="30" t="n">
        <x:f>$B$9</x:f>
        <x:v>27.20565083861903</x:v>
      </x:c>
      <x:c r="D15" s="30" t="n">
        <x:f>B15*C15</x:f>
        <x:v>4.352904134179044</x:v>
      </x:c>
      <x:c r="E15" s="33" t="n">
        <x:f>D15/$B$5-1</x:f>
        <x:v>-0.23229203982732904</x:v>
      </x:c>
      <x:c r="F15" s="40" t="str">
        <x:v>销售继续下降、减值扩大、融资折价上升</x:v>
      </x:c>
      <x:c r="G15" s="2"/>
      <x:c r="H15" s="2"/>
      <x:c r="I15" s="2"/>
      <x:c r="J15" s="2"/>
    </x:row>
    <x:row r="16">
      <x:c r="A16" s="39" t="str">
        <x:v>Base</x:v>
      </x:c>
      <x:c r="B16" s="19" t="n">
        <x:f>Assumptions!B8</x:f>
        <x:v>0.3</x:v>
      </x:c>
      <x:c r="C16" s="30" t="n">
        <x:f>$B$9</x:f>
        <x:v>27.20565083861903</x:v>
      </x:c>
      <x:c r="D16" s="30" t="n">
        <x:f>B16*C16</x:f>
        <x:v>8.161695251585709</x:v>
      </x:c>
      <x:c r="E16" s="33" t="n">
        <x:f>D16/$B$5-1</x:f>
        <x:v>0.43945242532375817</x:v>
      </x:c>
      <x:c r="F16" s="40" t="str">
        <x:v>商业增长、开发亏损收窄、净债务下降</x:v>
      </x:c>
      <x:c r="G16" s="2"/>
      <x:c r="H16" s="2"/>
      <x:c r="I16" s="2"/>
      <x:c r="J16" s="2"/>
    </x:row>
    <x:row r="17">
      <x:c r="A17" s="41" t="str">
        <x:v>Bull</x:v>
      </x:c>
      <x:c r="B17" s="42" t="n">
        <x:f>Assumptions!B9</x:f>
        <x:v>0.45</x:v>
      </x:c>
      <x:c r="C17" s="43" t="n">
        <x:f>$B$9</x:f>
        <x:v>27.20565083861903</x:v>
      </x:c>
      <x:c r="D17" s="43" t="n">
        <x:f>B17*C17</x:f>
        <x:v>12.242542877378563</x:v>
      </x:c>
      <x:c r="E17" s="44" t="n">
        <x:f>D17/$B$5-1</x:f>
        <x:v>1.159178637985637</x:v>
      </x:c>
      <x:c r="F17" s="45" t="str">
        <x:v>销售企稳、开发转盈、融资与现金分红恢复</x:v>
      </x:c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15" t="str">
        <x:v>概率加权</x:v>
      </x:c>
      <x:c r="B19" s="28" t="str">
        <x:v>数值</x:v>
      </x:c>
      <x:c r="C19" s="16" t="str">
        <x:v>说明</x:v>
      </x:c>
      <x:c r="D19" s="2"/>
      <x:c r="E19" s="2"/>
      <x:c r="F19" s="2"/>
      <x:c r="G19" s="2"/>
      <x:c r="H19" s="2"/>
      <x:c r="I19" s="2"/>
      <x:c r="J19" s="2"/>
    </x:row>
    <x:row r="20">
      <x:c r="A20" s="2" t="str">
        <x:v>Bear/Base/Bull概率</x:v>
      </x:c>
      <x:c r="B20" s="4" t="str">
        <x:f>TEXT(Assumptions!B10,"0%")&amp;" / "&amp;TEXT(Assumptions!B11,"0%")&amp;" / "&amp;TEXT(Assumptions!B12,"0%")</x:f>
        <x:v>30% / 50% / 20%</x:v>
      </x:c>
      <x:c r="C20" s="2" t="str">
        <x:v>分析概率，不是预测</x:v>
      </x:c>
      <x:c r="D20" s="2"/>
      <x:c r="E20" s="2"/>
      <x:c r="F20" s="2"/>
      <x:c r="G20" s="2"/>
      <x:c r="H20" s="2"/>
      <x:c r="I20" s="2"/>
      <x:c r="J20" s="2"/>
    </x:row>
    <x:row r="21">
      <x:c r="A21" s="2" t="str">
        <x:v>概率加权价值</x:v>
      </x:c>
      <x:c r="B21" s="30" t="n">
        <x:f>D15*Assumptions!B10+D16*Assumptions!B11+D17*Assumptions!B12</x:f>
        <x:v>7.835227441522281</x:v>
      </x:c>
      <x:c r="C21" s="2" t="str">
        <x:v>仅作风险回报参考</x:v>
      </x:c>
      <x:c r="D21" s="2"/>
      <x:c r="E21" s="2"/>
      <x:c r="F21" s="2"/>
      <x:c r="G21" s="2"/>
      <x:c r="H21" s="2"/>
      <x:c r="I21" s="2"/>
      <x:c r="J21" s="2"/>
    </x:row>
    <x:row r="22">
      <x:c r="A22" s="2" t="str">
        <x:v>相对现价</x:v>
      </x:c>
      <x:c r="B22" s="33" t="n">
        <x:f>B21/B5-1</x:f>
        <x:v>0.3818743283108079</x:v>
      </x:c>
      <x:c r="C22" s="2" t="str">
        <x:v>概率加权价值/现价</x:v>
      </x:c>
      <x:c r="D22" s="2"/>
      <x:c r="E22" s="2"/>
      <x:c r="F22" s="2"/>
      <x:c r="G22" s="2"/>
      <x:c r="H22" s="2"/>
      <x:c r="I22" s="2"/>
      <x:c r="J22" s="2"/>
    </x:row>
    <x:row r="23">
      <x:c r="A23" s="2" t="str">
        <x:v>Base与盈利校验差异</x:v>
      </x:c>
      <x:c r="B23" s="33" t="n">
        <x:f>D16/B32-1</x:f>
        <x:v>0.04852052156277531</x:v>
      </x:c>
      <x:c r="C23" s="2" t="str">
        <x:v>两种方法接近为合理性校验</x:v>
      </x:c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15" t="str">
        <x:v>运营+服务盈利交叉验证</x:v>
      </x:c>
      <x:c r="B25" s="28" t="str">
        <x:v>数值</x:v>
      </x:c>
      <x:c r="C25" s="16" t="str">
        <x:v>口径</x:v>
      </x:c>
      <x:c r="D25" s="2"/>
      <x:c r="E25" s="2"/>
      <x:c r="F25" s="2"/>
      <x:c r="G25" s="2"/>
      <x:c r="H25" s="2"/>
      <x:c r="I25" s="2"/>
      <x:c r="J25" s="2"/>
    </x:row>
    <x:row r="26">
      <x:c r="A26" s="2" t="str">
        <x:v>H1运营+服务分部利润（RMB m）</x:v>
      </x:c>
      <x:c r="B26" s="17" t="n">
        <x:f>Segments!D12</x:f>
        <x:v>6962.446</x:v>
      </x:c>
      <x:c r="C26" s="2" t="str">
        <x:v>分部调整利润</x:v>
      </x:c>
      <x:c r="D26" s="2"/>
      <x:c r="E26" s="2"/>
      <x:c r="F26" s="2"/>
      <x:c r="G26" s="2"/>
      <x:c r="H26" s="2"/>
      <x:c r="I26" s="2"/>
      <x:c r="J26" s="2"/>
    </x:row>
    <x:row r="27">
      <x:c r="A27" s="2" t="str">
        <x:v>年化分部利润（RMB m）</x:v>
      </x:c>
      <x:c r="B27" s="32" t="n">
        <x:f>B26*2</x:f>
        <x:v>13924.892</x:v>
      </x:c>
      <x:c r="C27" s="2" t="str">
        <x:v>简单年化</x:v>
      </x:c>
      <x:c r="D27" s="2"/>
      <x:c r="E27" s="2"/>
      <x:c r="F27" s="2"/>
      <x:c r="G27" s="2"/>
      <x:c r="H27" s="2"/>
      <x:c r="I27" s="2"/>
      <x:c r="J27" s="2"/>
    </x:row>
    <x:row r="28">
      <x:c r="A28" s="2" t="str">
        <x:v>减：年化总部费用（RMB m）</x:v>
      </x:c>
      <x:c r="B28" s="17" t="n">
        <x:f>Assumptions!B13</x:f>
        <x:v>2715.248</x:v>
      </x:c>
      <x:c r="C28" s="2" t="str">
        <x:v>H1未分配费用×2</x:v>
      </x:c>
      <x:c r="D28" s="2"/>
      <x:c r="E28" s="2"/>
      <x:c r="F28" s="2"/>
      <x:c r="G28" s="2"/>
      <x:c r="H28" s="2"/>
      <x:c r="I28" s="2"/>
      <x:c r="J28" s="2"/>
    </x:row>
    <x:row r="29">
      <x:c r="A29" s="2" t="str">
        <x:v>税后归母比例</x:v>
      </x:c>
      <x:c r="B29" s="18" t="n">
        <x:f>(1-Assumptions!B14)*Assumptions!B15</x:f>
        <x:v>0.52695</x:v>
      </x:c>
      <x:c r="C29" s="2" t="str">
        <x:v>25%税率×归母权益占比</x:v>
      </x:c>
      <x:c r="D29" s="2"/>
      <x:c r="E29" s="2"/>
      <x:c r="F29" s="2"/>
      <x:c r="G29" s="2"/>
      <x:c r="H29" s="2"/>
      <x:c r="I29" s="2"/>
      <x:c r="J29" s="2"/>
    </x:row>
    <x:row r="30">
      <x:c r="A30" s="2" t="str">
        <x:v>正常化归母利润代理（RMB m）</x:v>
      </x:c>
      <x:c r="B30" s="17" t="n">
        <x:f>(B27-B28)*B29</x:f>
        <x:v>5906.921905800001</x:v>
      </x:c>
      <x:c r="C30" s="2" t="str">
        <x:v>不赋予开发业务正利润</x:v>
      </x:c>
      <x:c r="D30" s="2"/>
      <x:c r="E30" s="2"/>
      <x:c r="F30" s="2"/>
      <x:c r="G30" s="2"/>
      <x:c r="H30" s="2"/>
      <x:c r="I30" s="2"/>
      <x:c r="J30" s="2"/>
    </x:row>
    <x:row r="31">
      <x:c r="A31" s="2" t="str">
        <x:v>P/E倍数</x:v>
      </x:c>
      <x:c r="B31" s="34" t="n">
        <x:f>Assumptions!B16</x:f>
        <x:v>8</x:v>
      </x:c>
      <x:c r="C31" s="2" t="str">
        <x:v>低于独立物管估值</x:v>
      </x:c>
      <x:c r="D31" s="2"/>
      <x:c r="E31" s="2"/>
      <x:c r="F31" s="2"/>
      <x:c r="G31" s="2"/>
      <x:c r="H31" s="2"/>
      <x:c r="I31" s="2"/>
      <x:c r="J31" s="2"/>
    </x:row>
    <x:row r="32">
      <x:c r="A32" s="2" t="str">
        <x:v>每股价值（HKD）</x:v>
      </x:c>
      <x:c r="B32" s="30" t="n">
        <x:f>B30*B31*$B$7/$B$6</x:f>
        <x:v>7.784010979032674</x:v>
      </x:c>
      <x:c r="C32" s="2" t="str">
        <x:v>近似校验</x:v>
      </x:c>
      <x:c r="D32" s="2"/>
      <x:c r="E32" s="2"/>
      <x:c r="F32" s="2"/>
      <x:c r="G32" s="2"/>
      <x:c r="H32" s="2"/>
      <x:c r="I32" s="2"/>
      <x:c r="J32" s="2"/>
    </x:row>
    <x:row r="33">
      <x:c r="A33" s="2" t="str">
        <x:v>年化核心归母P/E</x:v>
      </x:c>
      <x:c r="B33" s="35" t="n">
        <x:f>B11/(Historical!F9*2*$B$7)</x:f>
        <x:v>268.91861483833713</x:v>
      </x:c>
      <x:c r="C33" s="2" t="str">
        <x:v>核心利润接近零导致失真</x:v>
      </x:c>
      <x:c r="D33" s="2"/>
      <x:c r="E33" s="2"/>
      <x:c r="F33" s="2"/>
      <x:c r="G33" s="2"/>
      <x:c r="H33" s="2"/>
      <x:c r="I33" s="2"/>
      <x:c r="J33" s="2"/>
    </x:row>
    <x:row r="34">
      <x:c r="A34" s="2" t="str">
        <x:v>EV/年化运营服务分部利润</x:v>
      </x:c>
      <x:c r="B34" s="35" t="n">
        <x:f>(B11+B12*$B$7)/(B27*$B$7)</x:f>
        <x:v>11.250275599933353</x:v>
      </x:c>
      <x:c r="C34" s="2" t="str">
        <x:v>未扣总部、利息与税</x:v>
      </x:c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模型勾稽</x:v>
      </x:c>
      <x:c r="B2" s="3" t="str">
        <x:v>模型勾稽</x:v>
      </x:c>
      <x:c r="C2" s="3" t="str">
        <x:v>模型勾稽</x:v>
      </x:c>
      <x:c r="D2" s="3" t="str">
        <x:v>模型勾稽</x:v>
      </x:c>
      <x:c r="E2" s="3" t="str">
        <x:v>模型勾稽</x:v>
      </x:c>
      <x:c r="F2" s="3" t="str">
        <x:v>模型勾稽</x:v>
      </x:c>
      <x:c r="G2" s="3" t="str">
        <x:v>模型勾稽</x:v>
      </x:c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6" t="str">
        <x:v>检查项</x:v>
      </x:c>
      <x:c r="B4" s="37" t="str">
        <x:v>实际值</x:v>
      </x:c>
      <x:c r="C4" s="37" t="str">
        <x:v>预期值</x:v>
      </x:c>
      <x:c r="D4" s="37" t="str">
        <x:v>差异</x:v>
      </x:c>
      <x:c r="E4" s="37" t="str">
        <x:v>容差</x:v>
      </x:c>
      <x:c r="F4" s="37" t="str">
        <x:v>状态</x:v>
      </x:c>
      <x:c r="G4" s="38" t="str">
        <x:v>说明</x:v>
      </x:c>
      <x:c r="H4" s="2"/>
      <x:c r="I4" s="2"/>
      <x:c r="J4" s="2"/>
    </x:row>
    <x:row r="5">
      <x:c r="A5" s="39" t="str">
        <x:v>2026H1收入分部求和</x:v>
      </x:c>
      <x:c r="B5" s="46" t="n">
        <x:f>SUM(Segments!D5,Segments!D8,Segments!D10)</x:f>
        <x:v>39795.243</x:v>
      </x:c>
      <x:c r="C5" s="46" t="n">
        <x:v>39795.243</x:v>
      </x:c>
      <x:c r="D5" s="46" t="n">
        <x:f>B5-C5</x:f>
        <x:v>0</x:v>
      </x:c>
      <x:c r="E5" s="46" t="n">
        <x:v>0.01</x:v>
      </x:c>
      <x:c r="F5" s="2" t="str">
        <x:f>IF(ABS(D5)&lt;=E5,"OK","检查")</x:f>
        <x:v>OK</x:v>
      </x:c>
      <x:c r="G5" s="40" t="str">
        <x:v>开发+运营+服务</x:v>
      </x:c>
      <x:c r="H5" s="2"/>
      <x:c r="I5" s="2"/>
      <x:c r="J5" s="2"/>
    </x:row>
    <x:row r="6">
      <x:c r="A6" s="39" t="str">
        <x:v>2026H1分部利润求和</x:v>
      </x:c>
      <x:c r="B6" s="46" t="n">
        <x:f>SUM(Segments!D7,Segments!D9,Segments!D11)</x:f>
        <x:v>2848.284</x:v>
      </x:c>
      <x:c r="C6" s="46" t="n">
        <x:v>2848.284</x:v>
      </x:c>
      <x:c r="D6" s="46" t="n">
        <x:f>B6-C6</x:f>
        <x:v>0</x:v>
      </x:c>
      <x:c r="E6" s="46" t="n">
        <x:v>0.01</x:v>
      </x:c>
      <x:c r="F6" s="2" t="str">
        <x:f>IF(ABS(D6)&lt;=E6,"OK","检查")</x:f>
        <x:v>OK</x:v>
      </x:c>
      <x:c r="G6" s="40" t="str">
        <x:v>三分部调整利润</x:v>
      </x:c>
      <x:c r="H6" s="2"/>
      <x:c r="I6" s="2"/>
      <x:c r="J6" s="2"/>
    </x:row>
    <x:row r="7">
      <x:c r="A7" s="39" t="str">
        <x:v>2026H1总借款</x:v>
      </x:c>
      <x:c r="B7" s="46" t="n">
        <x:f>'Balance &amp; Cash'!D10</x:f>
        <x:v>147120.574</x:v>
      </x:c>
      <x:c r="C7" s="46" t="n">
        <x:v>147120.574</x:v>
      </x:c>
      <x:c r="D7" s="46" t="n">
        <x:f>B7-C7</x:f>
        <x:v>0</x:v>
      </x:c>
      <x:c r="E7" s="46" t="n">
        <x:v>0.01</x:v>
      </x:c>
      <x:c r="F7" s="2" t="str">
        <x:f>IF(ABS(D7)&lt;=E7,"OK","检查")</x:f>
        <x:v>OK</x:v>
      </x:c>
      <x:c r="G7" s="40" t="str">
        <x:v>流动与非流动融资</x:v>
      </x:c>
      <x:c r="H7" s="2"/>
      <x:c r="I7" s="2"/>
      <x:c r="J7" s="2"/>
    </x:row>
    <x:row r="8">
      <x:c r="A8" s="39" t="str">
        <x:v>2026H1净债务</x:v>
      </x:c>
      <x:c r="B8" s="46" t="n">
        <x:f>'Balance &amp; Cash'!D11</x:f>
        <x:v>122237.29</x:v>
      </x:c>
      <x:c r="C8" s="46" t="n">
        <x:v>122237.29</x:v>
      </x:c>
      <x:c r="D8" s="46" t="n">
        <x:f>B8-C8</x:f>
        <x:v>0</x:v>
      </x:c>
      <x:c r="E8" s="46" t="n">
        <x:v>0.01</x:v>
      </x:c>
      <x:c r="F8" s="2" t="str">
        <x:f>IF(ABS(D8)&lt;=E8,"OK","检查")</x:f>
        <x:v>OK</x:v>
      </x:c>
      <x:c r="G8" s="40" t="str">
        <x:v>借款-在手现金</x:v>
      </x:c>
      <x:c r="H8" s="2"/>
      <x:c r="I8" s="2"/>
      <x:c r="J8" s="2"/>
    </x:row>
    <x:row r="9">
      <x:c r="A9" s="39" t="str">
        <x:v>可动用现金</x:v>
      </x:c>
      <x:c r="B9" s="46" t="n">
        <x:f>'Balance &amp; Cash'!D18</x:f>
        <x:v>16513.284</x:v>
      </x:c>
      <x:c r="C9" s="46" t="n">
        <x:v>16513.284</x:v>
      </x:c>
      <x:c r="D9" s="46" t="n">
        <x:f>B9-C9</x:f>
        <x:v>0</x:v>
      </x:c>
      <x:c r="E9" s="46" t="n">
        <x:v>0.01</x:v>
      </x:c>
      <x:c r="F9" s="2" t="str">
        <x:f>IF(ABS(D9)&lt;=E9,"OK","检查")</x:f>
        <x:v>OK</x:v>
      </x:c>
      <x:c r="G9" s="40" t="str">
        <x:v>在手现金-监管资金</x:v>
      </x:c>
      <x:c r="H9" s="2"/>
      <x:c r="I9" s="2"/>
      <x:c r="J9" s="2"/>
    </x:row>
    <x:row r="10">
      <x:c r="A10" s="39" t="str">
        <x:v>可动用现金/一年债务</x:v>
      </x:c>
      <x:c r="B10" s="46" t="n">
        <x:f>'Balance &amp; Cash'!D19</x:f>
        <x:v>1.0416077054810722</x:v>
      </x:c>
      <x:c r="C10" s="46" t="n">
        <x:v>1.041608</x:v>
      </x:c>
      <x:c r="D10" s="46" t="n">
        <x:f>B10-C10</x:f>
        <x:v>-2.9451892791243495e-7</x:v>
      </x:c>
      <x:c r="E10" s="46" t="n">
        <x:v>0.0001</x:v>
      </x:c>
      <x:c r="F10" s="2" t="str">
        <x:f>IF(ABS(D10)&lt;=E10,"OK","检查")</x:f>
        <x:v>OK</x:v>
      </x:c>
      <x:c r="G10" s="40" t="str">
        <x:v>流动性近似</x:v>
      </x:c>
      <x:c r="H10" s="2"/>
      <x:c r="I10" s="2"/>
      <x:c r="J10" s="2"/>
    </x:row>
    <x:row r="11">
      <x:c r="A11" s="39" t="str">
        <x:v>2026H1 BVPS</x:v>
      </x:c>
      <x:c r="B11" s="46" t="n">
        <x:f>Valuation!B9</x:f>
        <x:v>27.20565083861903</x:v>
      </x:c>
      <x:c r="C11" s="46" t="n">
        <x:v>27.205651</x:v>
      </x:c>
      <x:c r="D11" s="46" t="n">
        <x:f>B11-C11</x:f>
        <x:v>-1.613809708089775e-7</x:v>
      </x:c>
      <x:c r="E11" s="46" t="n">
        <x:v>0.0001</x:v>
      </x:c>
      <x:c r="F11" s="2" t="str">
        <x:f>IF(ABS(D11)&lt;=E11,"OK","检查")</x:f>
        <x:v>OK</x:v>
      </x:c>
      <x:c r="G11" s="40" t="str">
        <x:v>归母权益×汇率/股数</x:v>
      </x:c>
      <x:c r="H11" s="2"/>
      <x:c r="I11" s="2"/>
      <x:c r="J11" s="2"/>
    </x:row>
    <x:row r="12">
      <x:c r="A12" s="39" t="str">
        <x:v>当前市值</x:v>
      </x:c>
      <x:c r="B12" s="46" t="n">
        <x:f>Valuation!B11</x:f>
        <x:v>40242.27233376</x:v>
      </x:c>
      <x:c r="C12" s="46" t="n">
        <x:v>40242.272</x:v>
      </x:c>
      <x:c r="D12" s="46" t="n">
        <x:f>B12-C12</x:f>
        <x:v>0.0003337599991937168</x:v>
      </x:c>
      <x:c r="E12" s="46" t="n">
        <x:v>0.01</x:v>
      </x:c>
      <x:c r="F12" s="2" t="str">
        <x:f>IF(ABS(D12)&lt;=E12,"OK","检查")</x:f>
        <x:v>OK</x:v>
      </x:c>
      <x:c r="G12" s="40" t="str">
        <x:v>价格×股数</x:v>
      </x:c>
      <x:c r="H12" s="2"/>
      <x:c r="I12" s="2"/>
      <x:c r="J12" s="2"/>
    </x:row>
    <x:row r="13">
      <x:c r="A13" s="39" t="str">
        <x:v>当前P/B</x:v>
      </x:c>
      <x:c r="B13" s="46" t="n">
        <x:f>Valuation!B10</x:f>
        <x:v>0.2084125843426362</x:v>
      </x:c>
      <x:c r="C13" s="46" t="n">
        <x:v>0.208413</x:v>
      </x:c>
      <x:c r="D13" s="46" t="n">
        <x:f>B13-C13</x:f>
        <x:v>-4.1565736377813245e-7</x:v>
      </x:c>
      <x:c r="E13" s="46" t="n">
        <x:v>0.0001</x:v>
      </x:c>
      <x:c r="F13" s="2" t="str">
        <x:f>IF(ABS(D13)&lt;=E13,"OK","检查")</x:f>
        <x:v>OK</x:v>
      </x:c>
      <x:c r="G13" s="40" t="str">
        <x:v>价格/BVPS</x:v>
      </x:c>
      <x:c r="H13" s="2"/>
      <x:c r="I13" s="2"/>
      <x:c r="J13" s="2"/>
    </x:row>
    <x:row r="14">
      <x:c r="A14" s="39" t="str">
        <x:v>Base价值</x:v>
      </x:c>
      <x:c r="B14" s="46" t="n">
        <x:f>Valuation!D16</x:f>
        <x:v>8.161695251585709</x:v>
      </x:c>
      <x:c r="C14" s="46" t="n">
        <x:v>8.161695</x:v>
      </x:c>
      <x:c r="D14" s="46" t="n">
        <x:f>B14-C14</x:f>
        <x:v>2.515857087104223e-7</x:v>
      </x:c>
      <x:c r="E14" s="46" t="n">
        <x:v>0.0001</x:v>
      </x:c>
      <x:c r="F14" s="2" t="str">
        <x:f>IF(ABS(D14)&lt;=E14,"OK","检查")</x:f>
        <x:v>OK</x:v>
      </x:c>
      <x:c r="G14" s="40" t="str">
        <x:v>0.30×BVPS</x:v>
      </x:c>
      <x:c r="H14" s="2"/>
      <x:c r="I14" s="2"/>
      <x:c r="J14" s="2"/>
    </x:row>
    <x:row r="15">
      <x:c r="A15" s="39" t="str">
        <x:v>概率合计</x:v>
      </x:c>
      <x:c r="B15" s="46" t="n">
        <x:f>SUM(Assumptions!B10:B12)</x:f>
        <x:v>1</x:v>
      </x:c>
      <x:c r="C15" s="46" t="n">
        <x:v>1</x:v>
      </x:c>
      <x:c r="D15" s="46" t="n">
        <x:f>B15-C15</x:f>
        <x:v>0</x:v>
      </x:c>
      <x:c r="E15" s="46" t="n">
        <x:v>0.0001</x:v>
      </x:c>
      <x:c r="F15" s="2" t="str">
        <x:f>IF(ABS(D15)&lt;=E15,"OK","检查")</x:f>
        <x:v>OK</x:v>
      </x:c>
      <x:c r="G15" s="40" t="str">
        <x:v>30%+50%+20%</x:v>
      </x:c>
      <x:c r="H15" s="2"/>
      <x:c r="I15" s="2"/>
      <x:c r="J15" s="2"/>
    </x:row>
    <x:row r="16">
      <x:c r="A16" s="39" t="str">
        <x:v>情景价值递增</x:v>
      </x:c>
      <x:c r="B16" s="46" t="n">
        <x:f>Valuation!D17-Valuation!D15</x:f>
        <x:v>7.8896387431995185</x:v>
      </x:c>
      <x:c r="C16" s="46" t="n">
        <x:v>7.889639</x:v>
      </x:c>
      <x:c r="D16" s="46" t="n">
        <x:f>B16-C16</x:f>
        <x:v>-2.568004813241487e-7</x:v>
      </x:c>
      <x:c r="E16" s="46" t="n">
        <x:v>0.0001</x:v>
      </x:c>
      <x:c r="F16" s="2" t="str">
        <x:f>IF(ABS(D16)&lt;=E16,"OK","检查")</x:f>
        <x:v>OK</x:v>
      </x:c>
      <x:c r="G16" s="40" t="str">
        <x:v>Bull高于Bear</x:v>
      </x:c>
      <x:c r="H16" s="2"/>
      <x:c r="I16" s="2"/>
      <x:c r="J16" s="2"/>
    </x:row>
    <x:row r="17">
      <x:c r="A17" s="41" t="str">
        <x:v>盈利校验</x:v>
      </x:c>
      <x:c r="B17" s="47" t="n">
        <x:f>Valuation!B32</x:f>
        <x:v>7.784010979032674</x:v>
      </x:c>
      <x:c r="C17" s="47" t="n">
        <x:v>7.784011</x:v>
      </x:c>
      <x:c r="D17" s="47" t="n">
        <x:f>B17-C17</x:f>
        <x:v>-2.0967325653487023e-8</x:v>
      </x:c>
      <x:c r="E17" s="47" t="n">
        <x:v>0.0001</x:v>
      </x:c>
      <x:c r="F17" s="48" t="str">
        <x:f>IF(ABS(D17)&lt;=E17,"OK","检查")</x:f>
        <x:v>OK</x:v>
      </x:c>
      <x:c r="G17" s="45" t="str">
        <x:v>运营服务交叉验证</x:v>
      </x:c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mergeCells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历史财务与现金流（人民币百万元）</x:v>
      </x:c>
      <x:c r="B2" s="3" t="str">
        <x:v>历史财务与现金流（人民币百万元）</x:v>
      </x:c>
      <x:c r="C2" s="3" t="str">
        <x:v>历史财务与现金流（人民币百万元）</x:v>
      </x:c>
      <x:c r="D2" s="3" t="str">
        <x:v>历史财务与现金流（人民币百万元）</x:v>
      </x:c>
      <x:c r="E2" s="3" t="str">
        <x:v>历史财务与现金流（人民币百万元）</x:v>
      </x:c>
      <x:c r="F2" s="3" t="str">
        <x:v>历史财务与现金流（人民币百万元）</x:v>
      </x:c>
      <x:c r="G2" s="3" t="str">
        <x:v>历史财务与现金流（人民币百万元）</x:v>
      </x:c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6" t="str">
        <x:v>指标</x:v>
      </x:c>
      <x:c r="B4" s="37" t="str">
        <x:v>2023A</x:v>
      </x:c>
      <x:c r="C4" s="37" t="str">
        <x:v>2024A</x:v>
      </x:c>
      <x:c r="D4" s="37" t="str">
        <x:v>2025A</x:v>
      </x:c>
      <x:c r="E4" s="37" t="str">
        <x:v>2025H1</x:v>
      </x:c>
      <x:c r="F4" s="37" t="str">
        <x:v>2026H1</x:v>
      </x:c>
      <x:c r="G4" s="38" t="str">
        <x:v>TTM</x:v>
      </x:c>
      <x:c r="H4" s="2"/>
      <x:c r="I4" s="2"/>
      <x:c r="J4" s="2"/>
    </x:row>
    <x:row r="5">
      <x:c r="A5" s="39" t="str">
        <x:v>营业收入</x:v>
      </x:c>
      <x:c r="B5" s="49" t="n">
        <x:v>180736.575</x:v>
      </x:c>
      <x:c r="C5" s="49" t="n">
        <x:v>127474.948</x:v>
      </x:c>
      <x:c r="D5" s="49" t="n">
        <x:v>97308.631</x:v>
      </x:c>
      <x:c r="E5" s="49" t="n">
        <x:v>58750.323</x:v>
      </x:c>
      <x:c r="F5" s="49" t="n">
        <x:v>39795.243</x:v>
      </x:c>
      <x:c r="G5" s="50" t="n">
        <x:f>D5-E5+F5</x:f>
        <x:v>78353.551</x:v>
      </x:c>
      <x:c r="H5" s="2"/>
      <x:c r="I5" s="2"/>
      <x:c r="J5" s="2"/>
    </x:row>
    <x:row r="6">
      <x:c r="A6" s="39" t="str">
        <x:v>毛利</x:v>
      </x:c>
      <x:c r="B6" s="49"/>
      <x:c r="C6" s="49" t="n">
        <x:v>20411.071</x:v>
      </x:c>
      <x:c r="D6" s="49" t="n">
        <x:v>9434.861</x:v>
      </x:c>
      <x:c r="E6" s="49" t="n">
        <x:v>7422.342</x:v>
      </x:c>
      <x:c r="F6" s="49" t="n">
        <x:v>4423.546</x:v>
      </x:c>
      <x:c r="G6" s="50" t="n">
        <x:f>D6-E6+F6</x:f>
        <x:v>6436.065000000001</x:v>
      </x:c>
      <x:c r="H6" s="2"/>
      <x:c r="I6" s="2"/>
      <x:c r="J6" s="2"/>
    </x:row>
    <x:row r="7">
      <x:c r="A7" s="39" t="str">
        <x:v>毛利率</x:v>
      </x:c>
      <x:c r="B7" s="33"/>
      <x:c r="C7" s="33" t="n">
        <x:v>0.16012</x:v>
      </x:c>
      <x:c r="D7" s="33" t="n">
        <x:v>0.09696</x:v>
      </x:c>
      <x:c r="E7" s="33" t="n">
        <x:v>0.12634</x:v>
      </x:c>
      <x:c r="F7" s="33" t="n">
        <x:v>0.11116</x:v>
      </x:c>
      <x:c r="G7" s="51" t="n">
        <x:f>G6/G5</x:f>
        <x:v>0.08214133141202498</x:v>
      </x:c>
      <x:c r="H7" s="2"/>
      <x:c r="I7" s="2"/>
      <x:c r="J7" s="2"/>
    </x:row>
    <x:row r="8">
      <x:c r="A8" s="39" t="str">
        <x:v>报告归母利润</x:v>
      </x:c>
      <x:c r="B8" s="49" t="n">
        <x:v>12850.011</x:v>
      </x:c>
      <x:c r="C8" s="49" t="n">
        <x:v>10401.171</x:v>
      </x:c>
      <x:c r="D8" s="49" t="n">
        <x:v>1021.85</x:v>
      </x:c>
      <x:c r="E8" s="49" t="n">
        <x:v>3215.852</x:v>
      </x:c>
      <x:c r="F8" s="49" t="n">
        <x:v>1961.42</x:v>
      </x:c>
      <x:c r="G8" s="50" t="n">
        <x:f>D8-E8+F8</x:f>
        <x:v>-232.58199999999988</x:v>
      </x:c>
      <x:c r="H8" s="2"/>
      <x:c r="I8" s="2"/>
      <x:c r="J8" s="2"/>
    </x:row>
    <x:row r="9">
      <x:c r="A9" s="39" t="str">
        <x:v>核心归母利润</x:v>
      </x:c>
      <x:c r="B9" s="49"/>
      <x:c r="C9" s="49" t="n">
        <x:v>6970</x:v>
      </x:c>
      <x:c r="D9" s="49" t="n">
        <x:v>-1700</x:v>
      </x:c>
      <x:c r="E9" s="49" t="n">
        <x:v>1380</x:v>
      </x:c>
      <x:c r="F9" s="49" t="n">
        <x:v>64</x:v>
      </x:c>
      <x:c r="G9" s="50" t="n">
        <x:f>D9-E9+F9</x:f>
        <x:v>-3016</x:v>
      </x:c>
      <x:c r="H9" s="2"/>
      <x:c r="I9" s="2"/>
      <x:c r="J9" s="2"/>
    </x:row>
    <x:row r="10">
      <x:c r="A10" s="39" t="str">
        <x:v>投资物业公允价值收益</x:v>
      </x:c>
      <x:c r="B10" s="49"/>
      <x:c r="C10" s="49" t="n">
        <x:v>4758.637</x:v>
      </x:c>
      <x:c r="D10" s="49" t="n">
        <x:v>4699.132</x:v>
      </x:c>
      <x:c r="E10" s="49" t="n">
        <x:v>2819.775</x:v>
      </x:c>
      <x:c r="F10" s="49" t="n">
        <x:v>3005.712</x:v>
      </x:c>
      <x:c r="G10" s="50" t="n">
        <x:f>D10-E10+F10</x:f>
        <x:v>4885.0689999999995</x:v>
      </x:c>
      <x:c r="H10" s="2"/>
      <x:c r="I10" s="2"/>
      <x:c r="J10" s="2"/>
    </x:row>
    <x:row r="11">
      <x:c r="A11" s="39" t="str">
        <x:v>经营现金流</x:v>
      </x:c>
      <x:c r="B11" s="49"/>
      <x:c r="C11" s="49" t="n">
        <x:v>29745.62</x:v>
      </x:c>
      <x:c r="D11" s="49" t="n">
        <x:v>21876.349</x:v>
      </x:c>
      <x:c r="E11" s="49"/>
      <x:c r="F11" s="49"/>
      <x:c r="G11" s="50"/>
      <x:c r="H11" s="2"/>
      <x:c r="I11" s="2"/>
      <x:c r="J11" s="2"/>
    </x:row>
    <x:row r="12">
      <x:c r="A12" s="39" t="str">
        <x:v>投资物业新增</x:v>
      </x:c>
      <x:c r="B12" s="49"/>
      <x:c r="C12" s="49" t="n">
        <x:v>5838.36</x:v>
      </x:c>
      <x:c r="D12" s="49" t="n">
        <x:v>4995.413</x:v>
      </x:c>
      <x:c r="E12" s="49"/>
      <x:c r="F12" s="49"/>
      <x:c r="G12" s="50"/>
      <x:c r="H12" s="2"/>
      <x:c r="I12" s="2"/>
      <x:c r="J12" s="2"/>
    </x:row>
    <x:row r="13">
      <x:c r="A13" s="39" t="str">
        <x:v>简化自由现金流</x:v>
      </x:c>
      <x:c r="B13" s="49"/>
      <x:c r="C13" s="49" t="n">
        <x:v>23860.693</x:v>
      </x:c>
      <x:c r="D13" s="49" t="n">
        <x:v>16832.623</x:v>
      </x:c>
      <x:c r="E13" s="49"/>
      <x:c r="F13" s="49"/>
      <x:c r="G13" s="50"/>
      <x:c r="H13" s="2"/>
      <x:c r="I13" s="2"/>
      <x:c r="J13" s="2"/>
    </x:row>
    <x:row r="14">
      <x:c r="A14" s="39" t="str">
        <x:v>总资产</x:v>
      </x:c>
      <x:c r="B14" s="49" t="n">
        <x:v>700406.875</x:v>
      </x:c>
      <x:c r="C14" s="49" t="n">
        <x:v>665641.785</x:v>
      </x:c>
      <x:c r="D14" s="49" t="n">
        <x:v>595862.357</x:v>
      </x:c>
      <x:c r="E14" s="49"/>
      <x:c r="F14" s="49" t="n">
        <x:v>565719.012</x:v>
      </x:c>
      <x:c r="G14" s="50" t="n">
        <x:v>565719.012</x:v>
      </x:c>
      <x:c r="H14" s="2"/>
      <x:c r="I14" s="2"/>
      <x:c r="J14" s="2"/>
    </x:row>
    <x:row r="15">
      <x:c r="A15" s="39" t="str">
        <x:v>归母权益</x:v>
      </x:c>
      <x:c r="B15" s="49" t="n">
        <x:v>151966.709</x:v>
      </x:c>
      <x:c r="C15" s="49" t="n">
        <x:v>161431.062</x:v>
      </x:c>
      <x:c r="D15" s="49" t="n">
        <x:v>162809.853</x:v>
      </x:c>
      <x:c r="E15" s="49"/>
      <x:c r="F15" s="49" t="n">
        <x:v>165160.769</x:v>
      </x:c>
      <x:c r="G15" s="50" t="n">
        <x:v>165160.769</x:v>
      </x:c>
      <x:c r="H15" s="2"/>
      <x:c r="I15" s="2"/>
      <x:c r="J15" s="2"/>
    </x:row>
    <x:row r="16">
      <x:c r="A16" s="39" t="str">
        <x:v>合同销售</x:v>
      </x:c>
      <x:c r="B16" s="49"/>
      <x:c r="C16" s="49" t="n">
        <x:v>101120</x:v>
      </x:c>
      <x:c r="D16" s="49" t="n">
        <x:v>63160</x:v>
      </x:c>
      <x:c r="E16" s="49" t="n">
        <x:v>35010</x:v>
      </x:c>
      <x:c r="F16" s="49" t="n">
        <x:v>16550</x:v>
      </x:c>
      <x:c r="G16" s="50"/>
      <x:c r="H16" s="2"/>
      <x:c r="I16" s="2"/>
      <x:c r="J16" s="2"/>
    </x:row>
    <x:row r="17">
      <x:c r="A17" s="41" t="str">
        <x:v>报告归母ROE近似</x:v>
      </x:c>
      <x:c r="B17" s="44" t="n">
        <x:v>0.0874</x:v>
      </x:c>
      <x:c r="C17" s="44" t="n">
        <x:v>0.0664</x:v>
      </x:c>
      <x:c r="D17" s="44" t="n">
        <x:v>0.0063</x:v>
      </x:c>
      <x:c r="E17" s="44"/>
      <x:c r="F17" s="44" t="n">
        <x:v>0.0239</x:v>
      </x:c>
      <x:c r="G17" s="5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mergeCells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分部与经营数据（人民币百万元，除面积与比率）</x:v>
      </x:c>
      <x:c r="B2" s="3" t="str">
        <x:v>分部与经营数据（人民币百万元，除面积与比率）</x:v>
      </x:c>
      <x:c r="C2" s="3" t="str">
        <x:v>分部与经营数据（人民币百万元，除面积与比率）</x:v>
      </x:c>
      <x:c r="D2" s="3" t="str">
        <x:v>分部与经营数据（人民币百万元，除面积与比率）</x:v>
      </x:c>
      <x:c r="E2" s="3" t="str">
        <x:v>分部与经营数据（人民币百万元，除面积与比率）</x:v>
      </x:c>
      <x:c r="F2" s="3" t="str">
        <x:v>分部与经营数据（人民币百万元，除面积与比率）</x:v>
      </x:c>
      <x:c r="G2" s="3" t="str">
        <x:v>分部与经营数据（人民币百万元，除面积与比率）</x:v>
      </x:c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6" t="str">
        <x:v>指标</x:v>
      </x:c>
      <x:c r="B4" s="37" t="str">
        <x:v>2025A</x:v>
      </x:c>
      <x:c r="C4" s="37" t="str">
        <x:v>2025H1</x:v>
      </x:c>
      <x:c r="D4" s="37" t="str">
        <x:v>2026H1</x:v>
      </x:c>
      <x:c r="E4" s="37" t="str">
        <x:v>H1同比</x:v>
      </x:c>
      <x:c r="F4" s="37" t="str">
        <x:v>单位/口径</x:v>
      </x:c>
      <x:c r="G4" s="38" t="str">
        <x:v>判断</x:v>
      </x:c>
      <x:c r="H4" s="2"/>
      <x:c r="I4" s="2"/>
      <x:c r="J4" s="2"/>
    </x:row>
    <x:row r="5">
      <x:c r="A5" s="39" t="str">
        <x:v>开发收入</x:v>
      </x:c>
      <x:c r="B5" s="32" t="n">
        <x:v>70535.868</x:v>
      </x:c>
      <x:c r="C5" s="32" t="n">
        <x:v>45478.268</x:v>
      </x:c>
      <x:c r="D5" s="32" t="n">
        <x:v>26095.048</x:v>
      </x:c>
      <x:c r="E5" s="33" t="n">
        <x:f>D5/C5-1</x:f>
        <x:v>-0.42620840353902656</x:v>
      </x:c>
      <x:c r="F5" s="2" t="str">
        <x:v>外部收入</x:v>
      </x:c>
      <x:c r="G5" s="40" t="str">
        <x:v>结转下降</x:v>
      </x:c>
      <x:c r="H5" s="2"/>
      <x:c r="I5" s="2"/>
      <x:c r="J5" s="2"/>
    </x:row>
    <x:row r="6">
      <x:c r="A6" s="39" t="str">
        <x:v>开发收入占比</x:v>
      </x:c>
      <x:c r="B6" s="33" t="n">
        <x:v>0.725</x:v>
      </x:c>
      <x:c r="C6" s="33" t="n">
        <x:v>0.774</x:v>
      </x:c>
      <x:c r="D6" s="33" t="n">
        <x:v>0.656</x:v>
      </x:c>
      <x:c r="E6" s="33" t="n">
        <x:f>D6-C6</x:f>
        <x:v>-0.118</x:v>
      </x:c>
      <x:c r="F6" s="2" t="str">
        <x:v>占集团收入</x:v>
      </x:c>
      <x:c r="G6" s="40" t="str">
        <x:v>绝对额仍最大</x:v>
      </x:c>
      <x:c r="H6" s="2"/>
      <x:c r="I6" s="2"/>
      <x:c r="J6" s="2"/>
    </x:row>
    <x:row r="7">
      <x:c r="A7" s="39" t="str">
        <x:v>开发分部调整利润</x:v>
      </x:c>
      <x:c r="B7" s="49" t="n">
        <x:v>-8140.181</x:v>
      </x:c>
      <x:c r="C7" s="49" t="n">
        <x:v>-1182.231</x:v>
      </x:c>
      <x:c r="D7" s="49" t="n">
        <x:v>-4114.162</x:v>
      </x:c>
      <x:c r="E7" s="33" t="n">
        <x:f>D7/C7-1</x:f>
        <x:v>2.4799984097862433</x:v>
      </x:c>
      <x:c r="F7" s="2" t="str">
        <x:v>管理口径</x:v>
      </x:c>
      <x:c r="G7" s="40" t="str">
        <x:v>亏损扩大</x:v>
      </x:c>
      <x:c r="H7" s="2"/>
      <x:c r="I7" s="2"/>
      <x:c r="J7" s="2"/>
    </x:row>
    <x:row r="8">
      <x:c r="A8" s="39" t="str">
        <x:v>运营收入</x:v>
      </x:c>
      <x:c r="B8" s="49" t="n">
        <x:v>14186.393</x:v>
      </x:c>
      <x:c r="C8" s="49" t="n">
        <x:v>7008.234</x:v>
      </x:c>
      <x:c r="D8" s="49" t="n">
        <x:v>7301.21</x:v>
      </x:c>
      <x:c r="E8" s="33" t="n">
        <x:f>D8/C8-1</x:f>
        <x:v>0.04180454020228197</x:v>
      </x:c>
      <x:c r="F8" s="2" t="str">
        <x:v>外部收入</x:v>
      </x:c>
      <x:c r="G8" s="40" t="str">
        <x:v>稳定增长</x:v>
      </x:c>
      <x:c r="H8" s="2"/>
      <x:c r="I8" s="2"/>
      <x:c r="J8" s="2"/>
    </x:row>
    <x:row r="9">
      <x:c r="A9" s="39" t="str">
        <x:v>运营分部调整利润</x:v>
      </x:c>
      <x:c r="B9" s="49" t="n">
        <x:v>8837.682</x:v>
      </x:c>
      <x:c r="C9" s="49" t="n">
        <x:v>4126.116</x:v>
      </x:c>
      <x:c r="D9" s="49" t="n">
        <x:v>4558.394</x:v>
      </x:c>
      <x:c r="E9" s="33" t="n">
        <x:f>D9/C9-1</x:f>
        <x:v>0.10476632261429408</x:v>
      </x:c>
      <x:c r="F9" s="2" t="str">
        <x:v>管理口径</x:v>
      </x:c>
      <x:c r="G9" s="40" t="str">
        <x:v>利润增长</x:v>
      </x:c>
      <x:c r="H9" s="2"/>
      <x:c r="I9" s="2"/>
      <x:c r="J9" s="2"/>
    </x:row>
    <x:row r="10">
      <x:c r="A10" s="39" t="str">
        <x:v>服务收入</x:v>
      </x:c>
      <x:c r="B10" s="49" t="n">
        <x:v>12586.37</x:v>
      </x:c>
      <x:c r="C10" s="49" t="n">
        <x:v>6263.821</x:v>
      </x:c>
      <x:c r="D10" s="49" t="n">
        <x:v>6398.985</x:v>
      </x:c>
      <x:c r="E10" s="33" t="n">
        <x:f>D10/C10-1</x:f>
        <x:v>0.021578522119326093</x:v>
      </x:c>
      <x:c r="F10" s="2" t="str">
        <x:v>外部收入</x:v>
      </x:c>
      <x:c r="G10" s="40" t="str">
        <x:v>温和增长</x:v>
      </x:c>
      <x:c r="H10" s="2"/>
      <x:c r="I10" s="2"/>
      <x:c r="J10" s="2"/>
    </x:row>
    <x:row r="11">
      <x:c r="A11" s="39" t="str">
        <x:v>服务分部调整利润</x:v>
      </x:c>
      <x:c r="B11" s="49" t="n">
        <x:v>4892.022</x:v>
      </x:c>
      <x:c r="C11" s="49" t="n">
        <x:v>2556.138</x:v>
      </x:c>
      <x:c r="D11" s="49" t="n">
        <x:v>2404.052</x:v>
      </x:c>
      <x:c r="E11" s="33" t="n">
        <x:f>D11/C11-1</x:f>
        <x:v>-0.05949835259285685</x:v>
      </x:c>
      <x:c r="F11" s="2" t="str">
        <x:v>管理口径</x:v>
      </x:c>
      <x:c r="G11" s="40" t="str">
        <x:v>利润下降</x:v>
      </x:c>
      <x:c r="H11" s="2"/>
      <x:c r="I11" s="2"/>
      <x:c r="J11" s="2"/>
    </x:row>
    <x:row r="12">
      <x:c r="A12" s="41" t="str">
        <x:v>运营+服务分部利润</x:v>
      </x:c>
      <x:c r="B12" s="54" t="n">
        <x:v>13729.704</x:v>
      </x:c>
      <x:c r="C12" s="54" t="n">
        <x:v>6682.254</x:v>
      </x:c>
      <x:c r="D12" s="54" t="n">
        <x:v>6962.446</x:v>
      </x:c>
      <x:c r="E12" s="44" t="n">
        <x:f>D12/C12-1</x:f>
        <x:v>0.04193076168610177</x:v>
      </x:c>
      <x:c r="F12" s="48" t="str">
        <x:v>运营+服务</x:v>
      </x:c>
      <x:c r="G12" s="45" t="str">
        <x:v>抵消开发亏损</x:v>
      </x:c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36" t="str">
        <x:v>经营指标</x:v>
      </x:c>
      <x:c r="B14" s="37" t="str">
        <x:v>2024/2025基准</x:v>
      </x:c>
      <x:c r="C14" s="37" t="str">
        <x:v>2025同期</x:v>
      </x:c>
      <x:c r="D14" s="37" t="str">
        <x:v>2026最新</x:v>
      </x:c>
      <x:c r="E14" s="37" t="str">
        <x:v>同比</x:v>
      </x:c>
      <x:c r="F14" s="37" t="str">
        <x:v>单位</x:v>
      </x:c>
      <x:c r="G14" s="38" t="str">
        <x:v>说明</x:v>
      </x:c>
      <x:c r="H14" s="2"/>
      <x:c r="I14" s="2"/>
      <x:c r="J14" s="2"/>
    </x:row>
    <x:row r="15">
      <x:c r="A15" s="39" t="str">
        <x:v>年度/8个月合同销售</x:v>
      </x:c>
      <x:c r="B15" s="53" t="n">
        <x:v>63160</x:v>
      </x:c>
      <x:c r="C15" s="53" t="n">
        <x:v>35010</x:v>
      </x:c>
      <x:c r="D15" s="53" t="n">
        <x:v>16550</x:v>
      </x:c>
      <x:c r="E15" s="33" t="n">
        <x:f>D15/C15-1</x:f>
        <x:v>-0.527277920594116</x:v>
      </x:c>
      <x:c r="F15" s="2" t="str">
        <x:v>RMB m</x:v>
      </x:c>
      <x:c r="G15" s="40" t="str">
        <x:v>2025A/H1</x:v>
      </x:c>
      <x:c r="H15" s="2"/>
      <x:c r="I15" s="2"/>
      <x:c r="J15" s="2"/>
    </x:row>
    <x:row r="16">
      <x:c r="A16" s="39" t="str">
        <x:v>合同销售面积</x:v>
      </x:c>
      <x:c r="B16" s="46" t="n">
        <x:v>5.186</x:v>
      </x:c>
      <x:c r="C16" s="46" t="n">
        <x:v>2.614</x:v>
      </x:c>
      <x:c r="D16" s="46" t="n">
        <x:v>1.75</x:v>
      </x:c>
      <x:c r="E16" s="33" t="n">
        <x:f>D16/C16-1</x:f>
        <x:v>-0.3305279265493496</x:v>
      </x:c>
      <x:c r="F16" s="2" t="str">
        <x:v>百万平方米</x:v>
      </x:c>
      <x:c r="G16" s="40" t="str">
        <x:v>2025A/H1</x:v>
      </x:c>
      <x:c r="H16" s="2"/>
      <x:c r="I16" s="2"/>
      <x:c r="J16" s="2"/>
    </x:row>
    <x:row r="17">
      <x:c r="A17" s="39" t="str">
        <x:v>合同销售均价</x:v>
      </x:c>
      <x:c r="B17" s="53" t="n">
        <x:v>12179</x:v>
      </x:c>
      <x:c r="C17" s="53" t="n">
        <x:v>13393</x:v>
      </x:c>
      <x:c r="D17" s="53" t="n">
        <x:v>9460</x:v>
      </x:c>
      <x:c r="E17" s="33" t="n">
        <x:f>D17/C17-1</x:f>
        <x:v>-0.29366086761741206</x:v>
      </x:c>
      <x:c r="F17" s="2" t="str">
        <x:v>RMB/平方米</x:v>
      </x:c>
      <x:c r="G17" s="40" t="str">
        <x:v>结构与降价</x:v>
      </x:c>
      <x:c r="H17" s="2"/>
      <x:c r="I17" s="2"/>
      <x:c r="J17" s="2"/>
    </x:row>
    <x:row r="18">
      <x:c r="A18" s="39" t="str">
        <x:v>8个月合同销售</x:v>
      </x:c>
      <x:c r="B18" s="53"/>
      <x:c r="C18" s="53" t="n">
        <x:v>45740</x:v>
      </x:c>
      <x:c r="D18" s="53" t="n">
        <x:v>20840</x:v>
      </x:c>
      <x:c r="E18" s="33" t="n">
        <x:f>D18/C18-1</x:f>
        <x:v>-0.5443812855268911</x:v>
      </x:c>
      <x:c r="F18" s="2" t="str">
        <x:v>RMB m</x:v>
      </x:c>
      <x:c r="G18" s="40" t="str">
        <x:v>截至8月底</x:v>
      </x:c>
      <x:c r="H18" s="2"/>
      <x:c r="I18" s="2"/>
      <x:c r="J18" s="2"/>
    </x:row>
    <x:row r="19">
      <x:c r="A19" s="39" t="str">
        <x:v>8个月合同销售面积</x:v>
      </x:c>
      <x:c r="B19" s="46"/>
      <x:c r="C19" s="46" t="n">
        <x:v>3.496</x:v>
      </x:c>
      <x:c r="D19" s="46" t="n">
        <x:v>2.239</x:v>
      </x:c>
      <x:c r="E19" s="33" t="n">
        <x:f>D19/C19-1</x:f>
        <x:v>-0.35955377574370717</x:v>
      </x:c>
      <x:c r="F19" s="2" t="str">
        <x:v>百万平方米</x:v>
      </x:c>
      <x:c r="G19" s="40" t="str">
        <x:v>截至8月底</x:v>
      </x:c>
      <x:c r="H19" s="2"/>
      <x:c r="I19" s="2"/>
      <x:c r="J19" s="2"/>
    </x:row>
    <x:row r="20">
      <x:c r="A20" s="39" t="str">
        <x:v>8个月合同销售均价</x:v>
      </x:c>
      <x:c r="B20" s="53"/>
      <x:c r="C20" s="53" t="n">
        <x:v>13084</x:v>
      </x:c>
      <x:c r="D20" s="53" t="n">
        <x:v>9308</x:v>
      </x:c>
      <x:c r="E20" s="33" t="n">
        <x:f>D20/C20-1</x:f>
        <x:v>-0.2885967594007949</x:v>
      </x:c>
      <x:c r="F20" s="2" t="str">
        <x:v>RMB/平方米</x:v>
      </x:c>
      <x:c r="G20" s="40" t="str">
        <x:v>研究计算</x:v>
      </x:c>
      <x:c r="H20" s="2"/>
      <x:c r="I20" s="2"/>
      <x:c r="J20" s="2"/>
    </x:row>
    <x:row r="21">
      <x:c r="A21" s="39" t="str">
        <x:v>商场租金收入</x:v>
      </x:c>
      <x:c r="B21" s="53" t="n">
        <x:v>11210</x:v>
      </x:c>
      <x:c r="C21" s="53" t="n">
        <x:v>5501</x:v>
      </x:c>
      <x:c r="D21" s="53" t="n">
        <x:v>5980</x:v>
      </x:c>
      <x:c r="E21" s="33" t="n">
        <x:f>D21/C21-1</x:f>
        <x:v>0.08707507725868013</x:v>
      </x:c>
      <x:c r="F21" s="2" t="str">
        <x:v>RMB m</x:v>
      </x:c>
      <x:c r="G21" s="40" t="str">
        <x:v>H1同比+8.7%</x:v>
      </x:c>
      <x:c r="H21" s="2"/>
      <x:c r="I21" s="2"/>
      <x:c r="J21" s="2"/>
    </x:row>
    <x:row r="22">
      <x:c r="A22" s="39" t="str">
        <x:v>商场出租率</x:v>
      </x:c>
      <x:c r="B22" s="33" t="n">
        <x:v>0.968</x:v>
      </x:c>
      <x:c r="C22" s="33"/>
      <x:c r="D22" s="33" t="n">
        <x:v>0.974</x:v>
      </x:c>
      <x:c r="E22" s="33" t="n">
        <x:f>D22-B22</x:f>
        <x:v>0.006000000000000005</x:v>
      </x:c>
      <x:c r="F22" s="2" t="str">
        <x:v>期末</x:v>
      </x:c>
      <x:c r="G22" s="40" t="str">
        <x:v>高位</x:v>
      </x:c>
      <x:c r="H22" s="2"/>
      <x:c r="I22" s="2"/>
      <x:c r="J22" s="2"/>
    </x:row>
    <x:row r="23">
      <x:c r="A23" s="39" t="str">
        <x:v>物业服务收入</x:v>
      </x:c>
      <x:c r="B23" s="53" t="n">
        <x:v>11230</x:v>
      </x:c>
      <x:c r="C23" s="53" t="n">
        <x:v>5523</x:v>
      </x:c>
      <x:c r="D23" s="53" t="n">
        <x:v>5650</x:v>
      </x:c>
      <x:c r="E23" s="33" t="n">
        <x:f>D23/C23-1</x:f>
        <x:v>0.02299474923049072</x:v>
      </x:c>
      <x:c r="F23" s="2" t="str">
        <x:v>RMB m</x:v>
      </x:c>
      <x:c r="G23" s="40" t="str">
        <x:v>H1同比+2.3%</x:v>
      </x:c>
      <x:c r="H23" s="2"/>
      <x:c r="I23" s="2"/>
      <x:c r="J23" s="2"/>
    </x:row>
    <x:row r="24">
      <x:c r="A24" s="41" t="str">
        <x:v>H1土地储备</x:v>
      </x:c>
      <x:c r="B24" s="43" t="n">
        <x:v>22.35</x:v>
      </x:c>
      <x:c r="C24" s="43"/>
      <x:c r="D24" s="43" t="n">
        <x:v>20.11</x:v>
      </x:c>
      <x:c r="E24" s="44" t="n">
        <x:f>D24/B24-1</x:f>
        <x:v>-0.10022371364653249</x:v>
      </x:c>
      <x:c r="F24" s="48" t="str">
        <x:v>百万平方米</x:v>
      </x:c>
      <x:c r="G24" s="45" t="str">
        <x:v>去库存为主</x:v>
      </x:c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mergeCells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资产负债表、流动性与利息（人民币百万元）</x:v>
      </x:c>
      <x:c r="B2" s="3" t="str">
        <x:v>资产负债表、流动性与利息（人民币百万元）</x:v>
      </x:c>
      <x:c r="C2" s="3" t="str">
        <x:v>资产负债表、流动性与利息（人民币百万元）</x:v>
      </x:c>
      <x:c r="D2" s="3" t="str">
        <x:v>资产负债表、流动性与利息（人民币百万元）</x:v>
      </x:c>
      <x:c r="E2" s="3" t="str">
        <x:v>资产负债表、流动性与利息（人民币百万元）</x:v>
      </x:c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6" t="str">
        <x:v>指标</x:v>
      </x:c>
      <x:c r="B4" s="37" t="str">
        <x:v>2024A</x:v>
      </x:c>
      <x:c r="C4" s="37" t="str">
        <x:v>2025A</x:v>
      </x:c>
      <x:c r="D4" s="37" t="str">
        <x:v>2026H1</x:v>
      </x:c>
      <x:c r="E4" s="38" t="str">
        <x:v>说明</x:v>
      </x:c>
      <x:c r="F4" s="2"/>
      <x:c r="G4" s="2"/>
      <x:c r="H4" s="2"/>
      <x:c r="I4" s="2"/>
      <x:c r="J4" s="2"/>
    </x:row>
    <x:row r="5">
      <x:c r="A5" s="39" t="str">
        <x:v>投资物业</x:v>
      </x:c>
      <x:c r="B5" s="32" t="n">
        <x:v>210924.077</x:v>
      </x:c>
      <x:c r="C5" s="32" t="n">
        <x:v>224058.628</x:v>
      </x:c>
      <x:c r="D5" s="32" t="n">
        <x:v>227192.182</x:v>
      </x:c>
      <x:c r="E5" s="40" t="str">
        <x:v>公允价值计量</x:v>
      </x:c>
      <x:c r="F5" s="2"/>
      <x:c r="G5" s="2"/>
      <x:c r="H5" s="2"/>
      <x:c r="I5" s="2"/>
      <x:c r="J5" s="2"/>
    </x:row>
    <x:row r="6">
      <x:c r="A6" s="39" t="str">
        <x:v>物业存货</x:v>
      </x:c>
      <x:c r="B6" s="32" t="n">
        <x:v>220995.189</x:v>
      </x:c>
      <x:c r="C6" s="32" t="n">
        <x:v>176866.197</x:v>
      </x:c>
      <x:c r="D6" s="32" t="n">
        <x:v>157503.22</x:v>
      </x:c>
      <x:c r="E6" s="40" t="str">
        <x:v>半年下降10.9%</x:v>
      </x:c>
      <x:c r="F6" s="2"/>
      <x:c r="G6" s="2"/>
      <x:c r="H6" s="2"/>
      <x:c r="I6" s="2"/>
      <x:c r="J6" s="2"/>
    </x:row>
    <x:row r="7">
      <x:c r="A7" s="39" t="str">
        <x:v>合同负债</x:v>
      </x:c>
      <x:c r="B7" s="32" t="n">
        <x:v>91847.431</x:v>
      </x:c>
      <x:c r="C7" s="32" t="n">
        <x:v>73127.537</x:v>
      </x:c>
      <x:c r="D7" s="32" t="n">
        <x:v>57312.289</x:v>
      </x:c>
      <x:c r="E7" s="40" t="str">
        <x:v>预售回款</x:v>
      </x:c>
      <x:c r="F7" s="2"/>
      <x:c r="G7" s="2"/>
      <x:c r="H7" s="2"/>
      <x:c r="I7" s="2"/>
      <x:c r="J7" s="2"/>
    </x:row>
    <x:row r="8">
      <x:c r="A8" s="39" t="str">
        <x:v>在手现金</x:v>
      </x:c>
      <x:c r="B8" s="32" t="n">
        <x:v>49416.068</x:v>
      </x:c>
      <x:c r="C8" s="32" t="n">
        <x:v>29201.113</x:v>
      </x:c>
      <x:c r="D8" s="32" t="n">
        <x:v>24883.284</x:v>
      </x:c>
      <x:c r="E8" s="40" t="str">
        <x:v>现金+抵押存款</x:v>
      </x:c>
      <x:c r="F8" s="2"/>
      <x:c r="G8" s="2"/>
      <x:c r="H8" s="2"/>
      <x:c r="I8" s="2"/>
      <x:c r="J8" s="2"/>
    </x:row>
    <x:row r="9">
      <x:c r="A9" s="39" t="str">
        <x:v>预售监管资金</x:v>
      </x:c>
      <x:c r="B9" s="32"/>
      <x:c r="C9" s="32" t="n">
        <x:v>9370</x:v>
      </x:c>
      <x:c r="D9" s="32" t="n">
        <x:v>8370</x:v>
      </x:c>
      <x:c r="E9" s="40" t="str">
        <x:v>不可完全自由调度</x:v>
      </x:c>
      <x:c r="F9" s="2"/>
      <x:c r="G9" s="2"/>
      <x:c r="H9" s="2"/>
      <x:c r="I9" s="2"/>
      <x:c r="J9" s="2"/>
    </x:row>
    <x:row r="10">
      <x:c r="A10" s="39" t="str">
        <x:v>总借款</x:v>
      </x:c>
      <x:c r="B10" s="32" t="n">
        <x:v>176321.978</x:v>
      </x:c>
      <x:c r="C10" s="32" t="n">
        <x:v>152809.316</x:v>
      </x:c>
      <x:c r="D10" s="32" t="n">
        <x:v>147120.574</x:v>
      </x:c>
      <x:c r="E10" s="40" t="str">
        <x:v>银行及其他借款+优先票据</x:v>
      </x:c>
      <x:c r="F10" s="2"/>
      <x:c r="G10" s="2"/>
      <x:c r="H10" s="2"/>
      <x:c r="I10" s="2"/>
      <x:c r="J10" s="2"/>
    </x:row>
    <x:row r="11">
      <x:c r="A11" s="39" t="str">
        <x:v>净债务</x:v>
      </x:c>
      <x:c r="B11" s="32" t="n">
        <x:f>B10-B8</x:f>
        <x:v>126905.91</x:v>
      </x:c>
      <x:c r="C11" s="32" t="n">
        <x:f>C10-C8</x:f>
        <x:v>123608.203</x:v>
      </x:c>
      <x:c r="D11" s="32" t="n">
        <x:f>D10-D8</x:f>
        <x:v>122237.29</x:v>
      </x:c>
      <x:c r="E11" s="40" t="str">
        <x:v>借款-在手现金</x:v>
      </x:c>
      <x:c r="F11" s="2"/>
      <x:c r="G11" s="2"/>
      <x:c r="H11" s="2"/>
      <x:c r="I11" s="2"/>
      <x:c r="J11" s="2"/>
    </x:row>
    <x:row r="12">
      <x:c r="A12" s="39" t="str">
        <x:v>归母权益</x:v>
      </x:c>
      <x:c r="B12" s="32" t="n">
        <x:v>161431.062</x:v>
      </x:c>
      <x:c r="C12" s="32" t="n">
        <x:v>162809.853</x:v>
      </x:c>
      <x:c r="D12" s="32" t="n">
        <x:v>165160.769</x:v>
      </x:c>
      <x:c r="E12" s="40" t="str">
        <x:v>估值账面基础</x:v>
      </x:c>
      <x:c r="F12" s="2"/>
      <x:c r="G12" s="2"/>
      <x:c r="H12" s="2"/>
      <x:c r="I12" s="2"/>
      <x:c r="J12" s="2"/>
    </x:row>
    <x:row r="13">
      <x:c r="A13" s="39" t="str">
        <x:v>总权益</x:v>
      </x:c>
      <x:c r="B13" s="32" t="n">
        <x:v>245476.811</x:v>
      </x:c>
      <x:c r="C13" s="32" t="n">
        <x:v>237002.551</x:v>
      </x:c>
      <x:c r="D13" s="32" t="n">
        <x:v>235073.951</x:v>
      </x:c>
      <x:c r="E13" s="40" t="str">
        <x:v>公司净负债率分母</x:v>
      </x:c>
      <x:c r="F13" s="2"/>
      <x:c r="G13" s="2"/>
      <x:c r="H13" s="2"/>
      <x:c r="I13" s="2"/>
      <x:c r="J13" s="2"/>
    </x:row>
    <x:row r="14">
      <x:c r="A14" s="39" t="str">
        <x:v>净债务/总权益</x:v>
      </x:c>
      <x:c r="B14" s="33" t="n">
        <x:f>B11/B13</x:f>
        <x:v>0.5169771820117054</x:v>
      </x:c>
      <x:c r="C14" s="33" t="n">
        <x:f>C11/C13</x:f>
        <x:v>0.5215479853632461</x:v>
      </x:c>
      <x:c r="D14" s="33" t="n">
        <x:f>D11/D13</x:f>
        <x:v>0.519995046154646</x:v>
      </x:c>
      <x:c r="E14" s="40" t="str">
        <x:v>公司口径</x:v>
      </x:c>
      <x:c r="F14" s="2"/>
      <x:c r="G14" s="2"/>
      <x:c r="H14" s="2"/>
      <x:c r="I14" s="2"/>
      <x:c r="J14" s="2"/>
    </x:row>
    <x:row r="15">
      <x:c r="A15" s="39" t="str">
        <x:v>一年内到期债务</x:v>
      </x:c>
      <x:c r="B15" s="32" t="n">
        <x:v>30244.198</x:v>
      </x:c>
      <x:c r="C15" s="32" t="n">
        <x:v>15794.719</x:v>
      </x:c>
      <x:c r="D15" s="32" t="n">
        <x:v>15853.65</x:v>
      </x:c>
      <x:c r="E15" s="40" t="str">
        <x:v>H1含优先票据</x:v>
      </x:c>
      <x:c r="F15" s="2"/>
      <x:c r="G15" s="2"/>
      <x:c r="H15" s="2"/>
      <x:c r="I15" s="2"/>
      <x:c r="J15" s="2"/>
    </x:row>
    <x:row r="16">
      <x:c r="A16" s="39" t="str">
        <x:v>一年内债务占比</x:v>
      </x:c>
      <x:c r="B16" s="33" t="n">
        <x:f>B15/B10</x:f>
        <x:v>0.17152823682592763</x:v>
      </x:c>
      <x:c r="C16" s="33" t="n">
        <x:f>C15/C10</x:f>
        <x:v>0.10336227799095704</x:v>
      </x:c>
      <x:c r="D16" s="33" t="n">
        <x:f>D15/D10</x:f>
        <x:v>0.10775957141113383</x:v>
      </x:c>
      <x:c r="E16" s="40" t="str">
        <x:v>公司披露</x:v>
      </x:c>
      <x:c r="F16" s="2"/>
      <x:c r="G16" s="2"/>
      <x:c r="H16" s="2"/>
      <x:c r="I16" s="2"/>
      <x:c r="J16" s="2"/>
    </x:row>
    <x:row r="17">
      <x:c r="A17" s="39" t="str">
        <x:v>项目相关应收净额</x:v>
      </x:c>
      <x:c r="B17" s="32" t="n">
        <x:v>48498.169</x:v>
      </x:c>
      <x:c r="C17" s="32" t="n">
        <x:v>46242.418</x:v>
      </x:c>
      <x:c r="D17" s="32" t="n">
        <x:v>41698.028</x:v>
      </x:c>
      <x:c r="E17" s="40" t="str">
        <x:v>应收NCI/合联营-对应应付</x:v>
      </x:c>
      <x:c r="F17" s="2"/>
      <x:c r="G17" s="2"/>
      <x:c r="H17" s="2"/>
      <x:c r="I17" s="2"/>
      <x:c r="J17" s="2"/>
    </x:row>
    <x:row r="18">
      <x:c r="A18" s="39" t="str">
        <x:v>可动用现金</x:v>
      </x:c>
      <x:c r="B18" s="32"/>
      <x:c r="C18" s="32" t="n">
        <x:f>C8-C9</x:f>
        <x:v>19831.113</x:v>
      </x:c>
      <x:c r="D18" s="32" t="n">
        <x:f>D8-D9</x:f>
        <x:v>16513.284</x:v>
      </x:c>
      <x:c r="E18" s="40" t="str">
        <x:v>在手现金-监管资金</x:v>
      </x:c>
      <x:c r="F18" s="2"/>
      <x:c r="G18" s="2"/>
      <x:c r="H18" s="2"/>
      <x:c r="I18" s="2"/>
      <x:c r="J18" s="2"/>
    </x:row>
    <x:row r="19">
      <x:c r="A19" s="39" t="str">
        <x:v>可动用现金/一年债务</x:v>
      </x:c>
      <x:c r="B19" s="31"/>
      <x:c r="C19" s="31" t="n">
        <x:f>C18/C15</x:f>
        <x:v>1.2555533909783392</x:v>
      </x:c>
      <x:c r="D19" s="31" t="n">
        <x:f>D18/D15</x:f>
        <x:v>1.0416077054810722</x:v>
      </x:c>
      <x:c r="E19" s="40" t="str">
        <x:v>研究近似</x:v>
      </x:c>
      <x:c r="F19" s="2"/>
      <x:c r="G19" s="2"/>
      <x:c r="H19" s="2"/>
      <x:c r="I19" s="2"/>
      <x:c r="J19" s="2"/>
    </x:row>
    <x:row r="20">
      <x:c r="A20" s="41" t="str">
        <x:v>流动资产净额</x:v>
      </x:c>
      <x:c r="B20" s="55" t="n">
        <x:v>154129.345</x:v>
      </x:c>
      <x:c r="C20" s="55" t="n">
        <x:v>129773.039</x:v>
      </x:c>
      <x:c r="D20" s="55" t="n">
        <x:v>120331.666</x:v>
      </x:c>
      <x:c r="E20" s="45" t="str">
        <x:v>含大量存货和项目往来</x:v>
      </x:c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36" t="str">
        <x:v>利息与融资</x:v>
      </x:c>
      <x:c r="B22" s="37" t="str">
        <x:v>2024A</x:v>
      </x:c>
      <x:c r="C22" s="37" t="str">
        <x:v>2025A</x:v>
      </x:c>
      <x:c r="D22" s="37" t="str">
        <x:v>2026H1</x:v>
      </x:c>
      <x:c r="E22" s="38" t="str">
        <x:v>说明</x:v>
      </x:c>
      <x:c r="F22" s="2"/>
      <x:c r="G22" s="2"/>
      <x:c r="H22" s="2"/>
      <x:c r="I22" s="2"/>
      <x:c r="J22" s="2"/>
    </x:row>
    <x:row r="23">
      <x:c r="A23" s="39" t="str">
        <x:v>总借款利息</x:v>
      </x:c>
      <x:c r="B23" s="32" t="n">
        <x:v>7491.012</x:v>
      </x:c>
      <x:c r="C23" s="32" t="n">
        <x:v>5322.468</x:v>
      </x:c>
      <x:c r="D23" s="32" t="n">
        <x:v>2536.273</x:v>
      </x:c>
      <x:c r="E23" s="40" t="str">
        <x:v>H1未年化</x:v>
      </x:c>
      <x:c r="F23" s="2"/>
      <x:c r="G23" s="2"/>
      <x:c r="H23" s="2"/>
      <x:c r="I23" s="2"/>
      <x:c r="J23" s="2"/>
    </x:row>
    <x:row r="24">
      <x:c r="A24" s="39" t="str">
        <x:v>资本化利息</x:v>
      </x:c>
      <x:c r="B24" s="32" t="n">
        <x:v>7406.176</x:v>
      </x:c>
      <x:c r="C24" s="32" t="n">
        <x:v>5238.034</x:v>
      </x:c>
      <x:c r="D24" s="32" t="n">
        <x:v>2468.369</x:v>
      </x:c>
      <x:c r="E24" s="40" t="str">
        <x:v>计入存货/投资物业</x:v>
      </x:c>
      <x:c r="F24" s="2"/>
      <x:c r="G24" s="2"/>
      <x:c r="H24" s="2"/>
      <x:c r="I24" s="2"/>
      <x:c r="J24" s="2"/>
    </x:row>
    <x:row r="25">
      <x:c r="A25" s="39" t="str">
        <x:v>资本化比例</x:v>
      </x:c>
      <x:c r="B25" s="33" t="n">
        <x:f>B24/B23</x:f>
        <x:v>0.9886749614070837</x:v>
      </x:c>
      <x:c r="C25" s="33" t="n">
        <x:f>C24/C23</x:f>
        <x:v>0.9841363066908058</x:v>
      </x:c>
      <x:c r="D25" s="33" t="n">
        <x:f>D24/D23</x:f>
        <x:v>0.97322685688804</x:v>
      </x:c>
      <x:c r="E25" s="40" t="str">
        <x:v>资本化利息/总利息</x:v>
      </x:c>
      <x:c r="F25" s="2"/>
      <x:c r="G25" s="2"/>
      <x:c r="H25" s="2"/>
      <x:c r="I25" s="2"/>
      <x:c r="J25" s="2"/>
    </x:row>
    <x:row r="26">
      <x:c r="A26" s="39" t="str">
        <x:v>损益表融资成本</x:v>
      </x:c>
      <x:c r="B26" s="32" t="n">
        <x:v>84.836</x:v>
      </x:c>
      <x:c r="C26" s="32" t="n">
        <x:v>84.434</x:v>
      </x:c>
      <x:c r="D26" s="32" t="n">
        <x:v>67.904</x:v>
      </x:c>
      <x:c r="E26" s="40" t="str">
        <x:v>远低于真实现金利息</x:v>
      </x:c>
      <x:c r="F26" s="2"/>
      <x:c r="G26" s="2"/>
      <x:c r="H26" s="2"/>
      <x:c r="I26" s="2"/>
      <x:c r="J26" s="2"/>
    </x:row>
    <x:row r="27">
      <x:c r="A27" s="39" t="str">
        <x:v>平均融资成本</x:v>
      </x:c>
      <x:c r="B27" s="33" t="n">
        <x:v>0.04</x:v>
      </x:c>
      <x:c r="C27" s="33" t="n">
        <x:v>0.0351</x:v>
      </x:c>
      <x:c r="D27" s="33" t="n">
        <x:v>0.0336</x:v>
      </x:c>
      <x:c r="E27" s="40" t="str">
        <x:v>公司披露</x:v>
      </x:c>
      <x:c r="F27" s="2"/>
      <x:c r="G27" s="2"/>
      <x:c r="H27" s="2"/>
      <x:c r="I27" s="2"/>
      <x:c r="J27" s="2"/>
    </x:row>
    <x:row r="28">
      <x:c r="A28" s="39" t="str">
        <x:v>固定利率债务占比</x:v>
      </x:c>
      <x:c r="B28" s="33"/>
      <x:c r="C28" s="33" t="n">
        <x:v>0.13</x:v>
      </x:c>
      <x:c r="D28" s="33" t="n">
        <x:v>0.11</x:v>
      </x:c>
      <x:c r="E28" s="40" t="str">
        <x:v>其余主要浮息</x:v>
      </x:c>
      <x:c r="F28" s="2"/>
      <x:c r="G28" s="2"/>
      <x:c r="H28" s="2"/>
      <x:c r="I28" s="2"/>
      <x:c r="J28" s="2"/>
    </x:row>
    <x:row r="29">
      <x:c r="A29" s="39" t="str">
        <x:v>无抵押债务占比</x:v>
      </x:c>
      <x:c r="B29" s="33"/>
      <x:c r="C29" s="33"/>
      <x:c r="D29" s="33" t="n">
        <x:v>0.217</x:v>
      </x:c>
      <x:c r="E29" s="40" t="str">
        <x:v>抵押融资占比较高</x:v>
      </x:c>
      <x:c r="F29" s="2"/>
      <x:c r="G29" s="2"/>
      <x:c r="H29" s="2"/>
      <x:c r="I29" s="2"/>
      <x:c r="J29" s="2"/>
    </x:row>
    <x:row r="30">
      <x:c r="A30" s="41" t="str">
        <x:v>外币债务占比</x:v>
      </x:c>
      <x:c r="B30" s="44" t="n">
        <x:v>0.1</x:v>
      </x:c>
      <x:c r="C30" s="44" t="n">
        <x:v>0.1</x:v>
      </x:c>
      <x:c r="D30" s="44" t="n">
        <x:v>0.1</x:v>
      </x:c>
      <x:c r="E30" s="45" t="str">
        <x:v>全部汇率掉期</x:v>
      </x:c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mergeCells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估值与交叉验证假设</x:v>
      </x:c>
      <x:c r="B2" s="3" t="str">
        <x:v>估值与交叉验证假设</x:v>
      </x:c>
      <x:c r="C2" s="3" t="str">
        <x:v>估值与交叉验证假设</x:v>
      </x:c>
      <x:c r="D2" s="3" t="str">
        <x:v>估值与交叉验证假设</x:v>
      </x:c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6" t="str">
        <x:v>当前价格</x:v>
      </x:c>
      <x:c r="B4" s="69" t="n">
        <x:v>5.67</x:v>
      </x:c>
      <x:c r="C4" s="37" t="str">
        <x:v>HKD/股</x:v>
      </x:c>
      <x:c r="D4" s="38" t="str">
        <x:v>2026-09-11收盘</x:v>
      </x:c>
      <x:c r="E4" s="2"/>
      <x:c r="F4" s="2"/>
      <x:c r="G4" s="2"/>
      <x:c r="H4" s="2"/>
      <x:c r="I4" s="2"/>
      <x:c r="J4" s="2"/>
    </x:row>
    <x:row r="5">
      <x:c r="A5" s="39" t="str">
        <x:v>发行股数</x:v>
      </x:c>
      <x:c r="B5" s="61" t="n">
        <x:v>7097.402528</x:v>
      </x:c>
      <x:c r="C5" s="2" t="str">
        <x:v>百万股</x:v>
      </x:c>
      <x:c r="D5" s="40" t="str">
        <x:v>2026-08-31</x:v>
      </x:c>
      <x:c r="E5" s="2"/>
      <x:c r="F5" s="2"/>
      <x:c r="G5" s="2"/>
      <x:c r="H5" s="2"/>
      <x:c r="I5" s="2"/>
      <x:c r="J5" s="2"/>
    </x:row>
    <x:row r="6">
      <x:c r="A6" s="39" t="str">
        <x:v>人民币/港元</x:v>
      </x:c>
      <x:c r="B6" s="62" t="n">
        <x:v>1.1691</x:v>
      </x:c>
      <x:c r="C6" s="2" t="str">
        <x:v>HKD/RMB</x:v>
      </x:c>
      <x:c r="D6" s="40" t="str">
        <x:v>2026-09-11</x:v>
      </x:c>
      <x:c r="E6" s="2"/>
      <x:c r="F6" s="2"/>
      <x:c r="G6" s="2"/>
      <x:c r="H6" s="2"/>
      <x:c r="I6" s="2"/>
      <x:c r="J6" s="2"/>
    </x:row>
    <x:row r="7">
      <x:c r="A7" s="39" t="str">
        <x:v>Bear P/B</x:v>
      </x:c>
      <x:c r="B7" s="63" t="n">
        <x:v>0.16</x:v>
      </x:c>
      <x:c r="C7" s="2" t="str">
        <x:v>倍</x:v>
      </x:c>
      <x:c r="D7" s="40" t="str">
        <x:v>深度资产折价</x:v>
      </x:c>
      <x:c r="E7" s="2"/>
      <x:c r="F7" s="2"/>
      <x:c r="G7" s="2"/>
      <x:c r="H7" s="2"/>
      <x:c r="I7" s="2"/>
      <x:c r="J7" s="2"/>
    </x:row>
    <x:row r="8">
      <x:c r="A8" s="39" t="str">
        <x:v>Base P/B</x:v>
      </x:c>
      <x:c r="B8" s="63" t="n">
        <x:v>0.3</x:v>
      </x:c>
      <x:c r="C8" s="2" t="str">
        <x:v>倍</x:v>
      </x:c>
      <x:c r="D8" s="40" t="str">
        <x:v>商业稳定、开发改善</x:v>
      </x:c>
      <x:c r="E8" s="2"/>
      <x:c r="F8" s="2"/>
      <x:c r="G8" s="2"/>
      <x:c r="H8" s="2"/>
      <x:c r="I8" s="2"/>
      <x:c r="J8" s="2"/>
    </x:row>
    <x:row r="9">
      <x:c r="A9" s="39" t="str">
        <x:v>Bull P/B</x:v>
      </x:c>
      <x:c r="B9" s="63" t="n">
        <x:v>0.45</x:v>
      </x:c>
      <x:c r="C9" s="2" t="str">
        <x:v>倍</x:v>
      </x:c>
      <x:c r="D9" s="40" t="str">
        <x:v>销售与融资明显修复</x:v>
      </x:c>
      <x:c r="E9" s="2"/>
      <x:c r="F9" s="2"/>
      <x:c r="G9" s="2"/>
      <x:c r="H9" s="2"/>
      <x:c r="I9" s="2"/>
      <x:c r="J9" s="2"/>
    </x:row>
    <x:row r="10">
      <x:c r="A10" s="39" t="str">
        <x:v>Bear概率</x:v>
      </x:c>
      <x:c r="B10" s="64" t="n">
        <x:v>0.3</x:v>
      </x:c>
      <x:c r="C10" s="2" t="str">
        <x:v>%</x:v>
      </x:c>
      <x:c r="D10" s="40" t="str">
        <x:v>分析假设</x:v>
      </x:c>
      <x:c r="E10" s="2"/>
      <x:c r="F10" s="2"/>
      <x:c r="G10" s="2"/>
      <x:c r="H10" s="2"/>
      <x:c r="I10" s="2"/>
      <x:c r="J10" s="2"/>
    </x:row>
    <x:row r="11">
      <x:c r="A11" s="39" t="str">
        <x:v>Base概率</x:v>
      </x:c>
      <x:c r="B11" s="64" t="n">
        <x:v>0.5</x:v>
      </x:c>
      <x:c r="C11" s="2" t="str">
        <x:v>%</x:v>
      </x:c>
      <x:c r="D11" s="40" t="str">
        <x:v>分析假设</x:v>
      </x:c>
      <x:c r="E11" s="2"/>
      <x:c r="F11" s="2"/>
      <x:c r="G11" s="2"/>
      <x:c r="H11" s="2"/>
      <x:c r="I11" s="2"/>
      <x:c r="J11" s="2"/>
    </x:row>
    <x:row r="12">
      <x:c r="A12" s="39" t="str">
        <x:v>Bull概率</x:v>
      </x:c>
      <x:c r="B12" s="64" t="n">
        <x:v>0.2</x:v>
      </x:c>
      <x:c r="C12" s="2" t="str">
        <x:v>%</x:v>
      </x:c>
      <x:c r="D12" s="40" t="str">
        <x:v>分析假设</x:v>
      </x:c>
      <x:c r="E12" s="2"/>
      <x:c r="F12" s="2"/>
      <x:c r="G12" s="2"/>
      <x:c r="H12" s="2"/>
      <x:c r="I12" s="2"/>
      <x:c r="J12" s="2"/>
    </x:row>
    <x:row r="13">
      <x:c r="A13" s="39" t="str">
        <x:v>年化总部费用</x:v>
      </x:c>
      <x:c r="B13" s="61" t="n">
        <x:v>2715.248</x:v>
      </x:c>
      <x:c r="C13" s="2" t="str">
        <x:v>RMB m</x:v>
      </x:c>
      <x:c r="D13" s="40" t="str">
        <x:v>2026H1未分配费用×2</x:v>
      </x:c>
      <x:c r="E13" s="2"/>
      <x:c r="F13" s="2"/>
      <x:c r="G13" s="2"/>
      <x:c r="H13" s="2"/>
      <x:c r="I13" s="2"/>
      <x:c r="J13" s="2"/>
    </x:row>
    <x:row r="14">
      <x:c r="A14" s="39" t="str">
        <x:v>税率</x:v>
      </x:c>
      <x:c r="B14" s="64" t="n">
        <x:v>0.25</x:v>
      </x:c>
      <x:c r="C14" s="2" t="str">
        <x:v>%</x:v>
      </x:c>
      <x:c r="D14" s="40" t="str">
        <x:v>简化假设</x:v>
      </x:c>
      <x:c r="E14" s="2"/>
      <x:c r="F14" s="2"/>
      <x:c r="G14" s="2"/>
      <x:c r="H14" s="2"/>
      <x:c r="I14" s="2"/>
      <x:c r="J14" s="2"/>
    </x:row>
    <x:row r="15">
      <x:c r="A15" s="39" t="str">
        <x:v>归母权益占总权益</x:v>
      </x:c>
      <x:c r="B15" s="64" t="n">
        <x:v>0.7026</x:v>
      </x:c>
      <x:c r="C15" s="2" t="str">
        <x:v>%</x:v>
      </x:c>
      <x:c r="D15" s="40" t="str">
        <x:v>2026H1权益比例</x:v>
      </x:c>
      <x:c r="E15" s="2"/>
      <x:c r="F15" s="2"/>
      <x:c r="G15" s="2"/>
      <x:c r="H15" s="2"/>
      <x:c r="I15" s="2"/>
      <x:c r="J15" s="2"/>
    </x:row>
    <x:row r="16">
      <x:c r="A16" s="41" t="str">
        <x:v>运营服务P/E</x:v>
      </x:c>
      <x:c r="B16" s="70" t="n">
        <x:v>8</x:v>
      </x:c>
      <x:c r="C16" s="48" t="str">
        <x:v>倍</x:v>
      </x:c>
      <x:c r="D16" s="45" t="str">
        <x:v>盈利校验</x:v>
      </x:c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68" t="str">
        <x:v>说明：P/B综合承载存货、投资物业估值、项目往来、杠杆和治理折价；净债务已进入账面权益，不再重复扣减。盈利校验未精确分配分部债务，仅用于判断Base数量级。</x:v>
      </x:c>
      <x:c r="B18" s="68" t="str">
        <x:v>说明：P/B综合承载存货、投资物业估值、项目往来、杠杆和治理折价；净债务已进入账面权益，不再重复扣减。盈利校验未精确分配分部债务，仅用于判断Base数量级。</x:v>
      </x:c>
      <x:c r="C18" s="68" t="str">
        <x:v>说明：P/B综合承载存货、投资物业估值、项目往来、杠杆和治理折价；净债务已进入账面权益，不再重复扣减。盈利校验未精确分配分部债务，仅用于判断Base数量级。</x:v>
      </x:c>
      <x:c r="D18" s="68" t="str">
        <x:v>说明：P/B综合承载存货、投资物业估值、项目往来、杠杆和治理折价；净债务已进入账面权益，不再重复扣减。盈利校验未精确分配分部债务，仅用于判断Base数量级。</x:v>
      </x:c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mergeCells>
    <x:mergeCell ref="A2:D2"/>
    <x:mergeCell ref="A18:D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40" hidden="0" customWidth="1"/>
    <x:col min="5" max="5" width="34" hidden="0" customWidth="1"/>
    <x:col min="6" max="6" width="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来源与口径审计</x:v>
      </x:c>
      <x:c r="B2" s="3" t="str">
        <x:v>来源与口径审计</x:v>
      </x:c>
      <x:c r="C2" s="3" t="str">
        <x:v>来源与口径审计</x:v>
      </x:c>
      <x:c r="D2" s="3" t="str">
        <x:v>来源与口径审计</x:v>
      </x:c>
      <x:c r="E2" s="3" t="str">
        <x:v>来源与口径审计</x:v>
      </x:c>
      <x:c r="F2" s="3" t="str">
        <x:v>来源与口径审计</x:v>
      </x:c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6" t="str">
        <x:v>来源</x:v>
      </x:c>
      <x:c r="B4" s="37" t="str">
        <x:v>日期</x:v>
      </x:c>
      <x:c r="C4" s="37" t="str">
        <x:v>覆盖期</x:v>
      </x:c>
      <x:c r="D4" s="37" t="str">
        <x:v>本地文件</x:v>
      </x:c>
      <x:c r="E4" s="37" t="str">
        <x:v>主要用途</x:v>
      </x:c>
      <x:c r="F4" s="38" t="str">
        <x:v>原始链接</x:v>
      </x:c>
      <x:c r="G4" s="2"/>
      <x:c r="H4" s="2"/>
      <x:c r="I4" s="2"/>
      <x:c r="J4" s="2"/>
    </x:row>
    <x:row r="5" ht="42" customHeight="1">
      <x:c r="A5" s="71" t="str">
        <x:v>2025年年度报告</x:v>
      </x:c>
      <x:c r="B5" s="72" t="str">
        <x:v>2026-04-28</x:v>
      </x:c>
      <x:c r="C5" s="72" t="str">
        <x:v>2021-2025</x:v>
      </x:c>
      <x:c r="D5" s="72" t="str">
        <x:v>source-documents/2025-annual-report.pdf</x:v>
      </x:c>
      <x:c r="E5" s="72" t="str">
        <x:v>审计财务、分部、现金流、债务、股权</x:v>
      </x:c>
      <x:c r="F5" s="73" t="str">
        <x:v>https://www1.hkexnews.hk/listedco/listconews/sehk/2026/0428/2026042800003.pdf</x:v>
      </x:c>
      <x:c r="G5" s="2"/>
      <x:c r="H5" s="2"/>
      <x:c r="I5" s="2"/>
      <x:c r="J5" s="2"/>
    </x:row>
    <x:row r="6" ht="42" customHeight="1">
      <x:c r="A6" s="71" t="str">
        <x:v>2026H1业绩公告</x:v>
      </x:c>
      <x:c r="B6" s="72" t="str">
        <x:v>2026-08-28</x:v>
      </x:c>
      <x:c r="C6" s="72" t="str">
        <x:v>2026H1</x:v>
      </x:c>
      <x:c r="D6" s="72" t="str">
        <x:v>source-documents/2026-h1-results.pdf</x:v>
      </x:c>
      <x:c r="E6" s="72" t="str">
        <x:v>H1财务、分部、销售、商业和融资</x:v>
      </x:c>
      <x:c r="F6" s="73" t="str">
        <x:v>https://www.hkexnews.hk/listedco/listconews/sehk/2026/0828/2026082800288_c.pdf</x:v>
      </x:c>
      <x:c r="G6" s="2"/>
      <x:c r="H6" s="2"/>
      <x:c r="I6" s="2"/>
      <x:c r="J6" s="2"/>
    </x:row>
    <x:row r="7" ht="42" customHeight="1">
      <x:c r="A7" s="71" t="str">
        <x:v>2026H1盈利预警</x:v>
      </x:c>
      <x:c r="B7" s="72" t="str">
        <x:v>2026-08-14</x:v>
      </x:c>
      <x:c r="C7" s="72" t="str">
        <x:v>2026H1</x:v>
      </x:c>
      <x:c r="D7" s="72" t="str">
        <x:v>source-documents/2026-h1-profit-warning.pdf</x:v>
      </x:c>
      <x:c r="E7" s="72" t="str">
        <x:v>核心利润下降原因</x:v>
      </x:c>
      <x:c r="F7" s="73" t="str">
        <x:v>https://www1.hkexnews.hk/listedco/listconews/sehk/2026/0814/2026081401709.pdf</x:v>
      </x:c>
      <x:c r="G7" s="2"/>
      <x:c r="H7" s="2"/>
      <x:c r="I7" s="2"/>
      <x:c r="J7" s="2"/>
    </x:row>
    <x:row r="8" ht="42" customHeight="1">
      <x:c r="A8" s="71" t="str">
        <x:v>2026年1-6月经营数据</x:v>
      </x:c>
      <x:c r="B8" s="72" t="str">
        <x:v>2026-07-13</x:v>
      </x:c>
      <x:c r="C8" s="72" t="str">
        <x:v>2026H1</x:v>
      </x:c>
      <x:c r="D8" s="72" t="str">
        <x:v>source-documents/2026-jan-jun-operating-data.pdf</x:v>
      </x:c>
      <x:c r="E8" s="72" t="str">
        <x:v>合同销售、运营服务、土地</x:v>
      </x:c>
      <x:c r="F8" s="73" t="str">
        <x:v>https://www1.hkexnews.hk/listedco/listconews/sehk/2026/0713/2026071300318.pdf</x:v>
      </x:c>
      <x:c r="G8" s="2"/>
      <x:c r="H8" s="2"/>
      <x:c r="I8" s="2"/>
      <x:c r="J8" s="2"/>
    </x:row>
    <x:row r="9" ht="42" customHeight="1">
      <x:c r="A9" s="71" t="str">
        <x:v>2026年8月经营数据</x:v>
      </x:c>
      <x:c r="B9" s="72" t="str">
        <x:v>2026-09-07</x:v>
      </x:c>
      <x:c r="C9" s="72" t="str">
        <x:v>2026M8</x:v>
      </x:c>
      <x:c r="D9" s="72" t="str">
        <x:v>source-documents/2026-aug-operating-data.pdf</x:v>
      </x:c>
      <x:c r="E9" s="72" t="str">
        <x:v>8个月销售及运营服务</x:v>
      </x:c>
      <x:c r="F9" s="73" t="str">
        <x:v>https://www1.hkexnews.hk/listedco/listconews/sehk/2026/0907/2026090701309.pdf</x:v>
      </x:c>
      <x:c r="G9" s="2"/>
      <x:c r="H9" s="2"/>
      <x:c r="I9" s="2"/>
      <x:c r="J9" s="2"/>
    </x:row>
    <x:row r="10" ht="42" customHeight="1">
      <x:c r="A10" s="71" t="str">
        <x:v>2026年8月证券月报</x:v>
      </x:c>
      <x:c r="B10" s="72" t="str">
        <x:v>2026-09-02</x:v>
      </x:c>
      <x:c r="C10" s="72" t="str">
        <x:v>2026-08-31</x:v>
      </x:c>
      <x:c r="D10" s="72" t="str">
        <x:v>source-documents/2026-aug-monthly-return.pdf</x:v>
      </x:c>
      <x:c r="E10" s="72" t="str">
        <x:v>发行股数</x:v>
      </x:c>
      <x:c r="F10" s="73" t="str">
        <x:v>https://www1.hkexnews.hk/listedco/listconews/sehk/2026/0902/2026090200766.pdf</x:v>
      </x:c>
      <x:c r="G10" s="2"/>
      <x:c r="H10" s="2"/>
      <x:c r="I10" s="2"/>
      <x:c r="J10" s="2"/>
    </x:row>
    <x:row r="11" ht="42" customHeight="1">
      <x:c r="A11" s="71" t="str">
        <x:v>董事变更</x:v>
      </x:c>
      <x:c r="B11" s="72" t="str">
        <x:v>2026-08-28</x:v>
      </x:c>
      <x:c r="C11" s="72" t="str">
        <x:v>治理</x:v>
      </x:c>
      <x:c r="D11" s="72" t="str">
        <x:v>source-documents/2026-08-28-director-change.pdf</x:v>
      </x:c>
      <x:c r="E11" s="72" t="str">
        <x:v>沈鹰辞任及包玮任命</x:v>
      </x:c>
      <x:c r="F11" s="73" t="str">
        <x:v>https://www1.hkexnews.hk/listedco/listconews/sehk/2026/0828/2026082800267.pdf</x:v>
      </x:c>
      <x:c r="G11" s="2"/>
      <x:c r="H11" s="2"/>
      <x:c r="I11" s="2"/>
      <x:c r="J11" s="2"/>
    </x:row>
    <x:row r="12" ht="42" customHeight="1">
      <x:c r="A12" s="74" t="str">
        <x:v>历史价格与汇率</x:v>
      </x:c>
      <x:c r="B12" s="75" t="str">
        <x:v>2026-09-11</x:v>
      </x:c>
      <x:c r="C12" s="75" t="str">
        <x:v>估值日期</x:v>
      </x:c>
      <x:c r="D12" s="75" t="str">
        <x:v>二级市场页面</x:v>
      </x:c>
      <x:c r="E12" s="75" t="str">
        <x:v>价格5.67港元、汇率1.1691</x:v>
      </x:c>
      <x:c r="F12" s="76" t="str">
        <x:v>https://stockanalysis.com/quote/hkg/0960/history/ ; https://www.exchangerates.org.uk/CNY-HKD-spot-exchange-rates-history-2026.html</x:v>
      </x:c>
      <x:c r="G12" s="2"/>
      <x:c r="H12" s="2"/>
      <x:c r="I12" s="2"/>
      <x:c r="J12" s="2"/>
    </x:row>
    <x:row r="13">
      <x:c r="A13" s="72"/>
      <x:c r="B13" s="72"/>
      <x:c r="C13" s="72"/>
      <x:c r="D13" s="72"/>
      <x:c r="E13" s="72"/>
      <x:c r="F13" s="72"/>
      <x:c r="G13" s="2"/>
      <x:c r="H13" s="2"/>
      <x:c r="I13" s="2"/>
      <x:c r="J13" s="2"/>
    </x:row>
    <x:row r="14">
      <x:c r="A14" s="68" t="str">
        <x:v>财务事实优先采用港交所披露；2026H1未经审计。核心利润和分部调整利润为公司口径。市场价格与汇率为固定日期二级数据。Bear/Base/Bull为分析假设。</x:v>
      </x:c>
      <x:c r="B14" s="68" t="str">
        <x:v>财务事实优先采用港交所披露；2026H1未经审计。核心利润和分部调整利润为公司口径。市场价格与汇率为固定日期二级数据。Bear/Base/Bull为分析假设。</x:v>
      </x:c>
      <x:c r="C14" s="68" t="str">
        <x:v>财务事实优先采用港交所披露；2026H1未经审计。核心利润和分部调整利润为公司口径。市场价格与汇率为固定日期二级数据。Bear/Base/Bull为分析假设。</x:v>
      </x:c>
      <x:c r="D14" s="68" t="str">
        <x:v>财务事实优先采用港交所披露；2026H1未经审计。核心利润和分部调整利润为公司口径。市场价格与汇率为固定日期二级数据。Bear/Base/Bull为分析假设。</x:v>
      </x:c>
      <x:c r="E14" s="68" t="str">
        <x:v>财务事实优先采用港交所披露；2026H1未经审计。核心利润和分部调整利润为公司口径。市场价格与汇率为固定日期二级数据。Bear/Base/Bull为分析假设。</x:v>
      </x:c>
      <x:c r="F14" s="68" t="str">
        <x:v>财务事实优先采用港交所披露；2026H1未经审计。核心利润和分部调整利润为公司口径。市场价格与汇率为固定日期二级数据。Bear/Base/Bull为分析假设。</x:v>
      </x:c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mergeCells>
    <x:mergeCell ref="A2:F2"/>
    <x:mergeCell ref="A14:F14"/>
  </x:mergeCells>
  <x:pageMargins left="0.7" right="0.7" top="0.75" bottom="0.75" header="0.3" footer="0.3"/>
</x:worksheet>
</file>
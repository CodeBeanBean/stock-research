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33d714cc1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1f87fead21c452b"/>
    <x:sheet xmlns:r="http://schemas.openxmlformats.org/officeDocument/2006/relationships" name="Historical" sheetId="2" r:id="R60cf63ea75b948a0"/>
    <x:sheet xmlns:r="http://schemas.openxmlformats.org/officeDocument/2006/relationships" name="Lianhua Bridge" sheetId="3" r:id="Rd82e8204c05f4f37"/>
    <x:sheet xmlns:r="http://schemas.openxmlformats.org/officeDocument/2006/relationships" name="Assumptions" sheetId="4" r:id="R0119211285be4ece"/>
    <x:sheet xmlns:r="http://schemas.openxmlformats.org/officeDocument/2006/relationships" name="Valuation" sheetId="5" r:id="Ra0d9d7e0eedd4db2"/>
    <x:sheet xmlns:r="http://schemas.openxmlformats.org/officeDocument/2006/relationships" name="Checks" sheetId="6" r:id="R166c07649b0c4e37"/>
    <x:sheet xmlns:r="http://schemas.openxmlformats.org/officeDocument/2006/relationships" name="Sources Audit" sheetId="7" r:id="Re2211cb67aeb4bbe"/>
  </x:sheets>
</x:workbook>
</file>

<file path=xl/comments1.xml><?xml version="1.0" encoding="utf-8"?>
<x:comments xmlns:x="http://schemas.openxmlformats.org/spreadsheetml/2006/main">
  <x:authors>
    <x:author>tc={EB67BA64-3722-40BA-8B78-C6C8D25B6EB1}</x:author>
    <x:author>tc={63BF8448-AC0A-41BB-A9EE-8F27029E7EDD}</x:author>
    <x:author>tc={5A0D98B7-730E-498F-8DF4-63E97E02E714}</x:author>
    <x:author>tc={FCF65C9E-561C-4C8B-876C-46FA19C4EFF7}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东方财富600827行情；2026-08-28收盘价7.78元。Retrieved 2026-08-29.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百联股份2026年半年度报告，归母净资产20.4482582989亿元。Published 2026-08-29.</x:t>
        </x:r>
      </x:text>
    </x:comment>
    <x:comment ref="C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Base正常化利润5.5亿元为分析假设，反映联华出表后利润口径改善、奥莱增长与核心零售仍承压；不是公司指引或一致预期。</x:t>
        </x:r>
      </x:text>
    </x:comment>
    <x:comment ref="C1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P/B由0.75x调至0.80x，理由是联华交易边界与备考财务已明确，但仍保留治理、现金可支配性与低ROE折价。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%"/>
    <x:numFmt numFmtId="202" formatCode="0.000"/>
    <x:numFmt numFmtId="203" formatCode="0.00x"/>
    <x:numFmt numFmtId="204" formatCode="0%"/>
    <x:numFmt numFmtId="205" formatCode="0.0000"/>
  </x:numFmts>
  <x:fonts count="11">
    <x:font>
      <x:sz val="11"/>
      <x:name val="Carlito"/>
    </x:font>
    <x:font>
      <x:sz val="10"/>
      <x:color rgb="FF1F2937"/>
      <x:name val="Microsoft YaHe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b/>
      <x:sz val="11"/>
      <x:color rgb="FF17365D"/>
      <x:name val="Microsoft YaHei"/>
    </x:font>
    <x:font>
      <x:sz val="9"/>
      <x:color rgb="FF1F2937"/>
      <x:name val="Microsoft YaHei"/>
    </x:font>
    <x:font>
      <x:sz val="10"/>
      <x:color rgb="FF0000FF"/>
      <x:name val="Microsoft YaHei"/>
    </x:font>
    <x:font>
      <x:sz val="10"/>
      <x:color rgb="FF008000"/>
      <x:name val="Microsoft YaHei"/>
    </x:font>
    <x:font>
      <x:b/>
      <x:sz val="10"/>
      <x:color rgb="FF008000"/>
      <x:name val="Microsoft YaHei"/>
    </x:font>
    <x:font>
      <x:sz val="9"/>
      <x:color rgb="FF2F75B5"/>
      <x:name val="Microsoft YaHei"/>
    </x:font>
    <x:font>
      <x:b/>
      <x:sz val="10"/>
      <x:color rgb="FF17365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left" vertical="center"/>
    </x:xf>
    <x:xf numFmtId="202" fontId="1" fillId="5" borderId="2" xfId="0" applyNumberFormat="1" applyFont="1" applyFill="1" applyBorder="1" applyAlignment="1">
      <x:alignment vertical="center"/>
    </x:xf>
    <x:xf numFmtId="201" fontId="1" fillId="5" borderId="2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203" fontId="1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204" fontId="1" fillId="0" borderId="2" xfId="0" applyNumberFormat="1" applyFont="1" applyFill="1" applyBorder="1" applyAlignment="1">
      <x:alignment vertical="center"/>
    </x:xf>
    <x:xf numFmtId="204" fontId="1" fillId="5" borderId="2" xfId="0" applyNumberFormat="1" applyFont="1" applyFill="1" applyBorder="1" applyAlignment="1">
      <x:alignment vertical="center"/>
    </x:xf>
    <x:xf numFmtId="203" fontId="1" fillId="5" borderId="2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5" fillId="7" borderId="7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vertical="center"/>
    </x:xf>
    <x:xf numFmtId="0" fontId="5" fillId="7" borderId="9" xfId="0" applyNumberFormat="1" applyFont="1" applyFill="1" applyBorder="1" applyAlignment="1">
      <x:alignment vertical="center"/>
    </x:xf>
    <x:xf numFmtId="0" fontId="5" fillId="7" borderId="10" xfId="0" applyNumberFormat="1" applyFont="1" applyFill="1" applyBorder="1" applyAlignment="1">
      <x:alignment vertical="center"/>
    </x:xf>
    <x:xf numFmtId="0" fontId="5" fillId="7" borderId="11" xfId="0" applyNumberFormat="1" applyFont="1" applyFill="1" applyBorder="1" applyAlignment="1">
      <x:alignment vertical="center"/>
    </x:xf>
    <x:xf numFmtId="0" fontId="5" fillId="7" borderId="12" xfId="0" applyNumberFormat="1" applyFont="1" applyFill="1" applyBorder="1" applyAlignment="1">
      <x:alignment vertical="center"/>
    </x:xf>
    <x:xf numFmtId="0" fontId="5" fillId="7" borderId="13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205" fontId="1" fillId="0" borderId="2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0" fillId="6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46bd246214f3e" /><Relationship Type="http://schemas.openxmlformats.org/officeDocument/2006/relationships/theme" Target="/xl/theme/theme1.xml" Id="Rfb8933258a7440cf" /><Relationship Type="http://schemas.openxmlformats.org/officeDocument/2006/relationships/sharedStrings" Target="/xl/sharedStrings.xml" Id="R60476bde687a4b51" /><Relationship Type="http://schemas.openxmlformats.org/officeDocument/2006/relationships/worksheet" Target="/xl/worksheets/sheet1.xml" Id="R21f87fead21c452b" /><Relationship Type="http://schemas.openxmlformats.org/officeDocument/2006/relationships/worksheet" Target="/xl/worksheets/sheet2.xml" Id="R60cf63ea75b948a0" /><Relationship Type="http://schemas.openxmlformats.org/officeDocument/2006/relationships/worksheet" Target="/xl/worksheets/sheet3.xml" Id="Rd82e8204c05f4f37" /><Relationship Type="http://schemas.openxmlformats.org/officeDocument/2006/relationships/worksheet" Target="/xl/worksheets/sheet4.xml" Id="R0119211285be4ece" /><Relationship Type="http://schemas.openxmlformats.org/officeDocument/2006/relationships/worksheet" Target="/xl/worksheets/sheet5.xml" Id="Ra0d9d7e0eedd4db2" /><Relationship Type="http://schemas.openxmlformats.org/officeDocument/2006/relationships/worksheet" Target="/xl/worksheets/sheet6.xml" Id="R166c07649b0c4e37" /><Relationship Type="http://schemas.openxmlformats.org/officeDocument/2006/relationships/worksheet" Target="/xl/worksheets/sheet7.xml" Id="Re2211cb67aeb4bbe" /><Relationship Type="http://schemas.microsoft.com/office/2017/10/relationships/person" Target="/xl/persons/person.xml" Id="Rb2a88cbce6754b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ca8ccf76d54b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当前价格与三种情景价值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人民币/股</c:v>
          </c:tx>
          <c:cat>
            <c:strRef>
              <c:f>'Cover'!$F$13:$F$16</c:f>
              <c:strCache>
                <c:ptCount val="0"/>
              </c:strCache>
            </c:strRef>
          </c:cat>
          <c:val>
            <c:numRef>
              <c:f>'Cover'!$G$13:$G$16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ca8ccf76d54b2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 Equity Research" id="{BFCB977E-B2BC-48B8-813B-41D1CC08D3C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29T10:41:56.395" personId="{BFCB977E-B2BC-48B8-813B-41D1CC08D3CE}" id="{EB67BA64-3722-40BA-8B78-C6C8D25B6EB1}">
    <xltc:text>Source: 东方财富600827行情；2026-08-28收盘价7.78元。Retrieved 2026-08-29.</xltc:text>
  </xltc:threadedComment>
  <xltc:threadedComment ref="B7" dT="2026-08-29T10:41:56.395" personId="{BFCB977E-B2BC-48B8-813B-41D1CC08D3CE}" id="{63BF8448-AC0A-41BB-A9EE-8F27029E7EDD}">
    <xltc:text>Source: 百联股份2026年半年度报告，归母净资产20.4482582989亿元。Published 2026-08-29.</xltc:text>
  </xltc:threadedComment>
  <xltc:threadedComment ref="C15" dT="2026-08-29T10:41:56.395" personId="{BFCB977E-B2BC-48B8-813B-41D1CC08D3CE}" id="{5A0D98B7-730E-498F-8DF4-63E97E02E714}">
    <xltc:text>Base正常化利润5.5亿元为分析假设，反映联华出表后利润口径改善、奥莱增长与核心零售仍承压；不是公司指引或一致预期。</xltc:text>
  </xltc:threadedComment>
  <xltc:threadedComment ref="C17" dT="2026-08-29T10:41:56.395" personId="{BFCB977E-B2BC-48B8-813B-41D1CC08D3CE}" id="{FCF65C9E-561C-4C8B-876C-46FA19C4EFF7}">
    <xltc:text>Base P/B由0.75x调至0.80x，理由是联华交易边界与备考财务已明确，但仍保留治理、现金可支配性与低ROE折价。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d3decdd2f3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82c658bc47cc491e" /><Relationship Type="http://schemas.openxmlformats.org/officeDocument/2006/relationships/vmlDrawing" Target="/xl/drawings/vmldrawing.vml" Id="R3545fff18d2f44dc" /><Relationship Type="http://schemas.microsoft.com/office/2017/10/relationships/threadedComment" Target="/xl/threadedcomments/threadedcomment.xml" Id="Ra3bd9e9f419842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1" hidden="0" customWidth="1"/>
    <x:col min="4" max="4" width="4" hidden="0" customWidth="1"/>
    <x:col min="5" max="5" width="4" hidden="0" customWidth="1"/>
    <x:col min="6" max="6" width="18" hidden="0" customWidth="1"/>
    <x:col min="7" max="7" width="16" hidden="0" customWidth="1"/>
    <x:col min="8" max="8" width="4" hidden="0" customWidth="1"/>
  </x:cols>
  <x:sheetData>
    <x:row r="1" ht="31" customHeight="1">
      <x:c r="A1" s="5" t="str">
        <x:v>百联股份（600827.SH）基本面与估值模型</x:v>
      </x:c>
      <x:c r="B1" s="5" t="str">
        <x:v>百联股份（600827.SH）基本面与估值模型</x:v>
      </x:c>
      <x:c r="C1" s="5" t="str">
        <x:v>百联股份（600827.SH）基本面与估值模型</x:v>
      </x:c>
      <x:c r="D1" s="5" t="str">
        <x:v>百联股份（600827.SH）基本面与估值模型</x:v>
      </x:c>
      <x:c r="E1" s="5" t="str">
        <x:v>百联股份（600827.SH）基本面与估值模型</x:v>
      </x:c>
      <x:c r="F1" s="5" t="str">
        <x:v>百联股份（600827.SH）基本面与估值模型</x:v>
      </x:c>
      <x:c r="G1" s="5" t="str">
        <x:v>百联股份（600827.SH）基本面与估值模型</x:v>
      </x:c>
      <x:c r="H1" s="5" t="str">
        <x:v>百联股份（600827.SH）基本面与估值模型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98" t="str">
        <x:v>公司</x:v>
      </x:c>
      <x:c r="B3" s="12" t="str">
        <x:v>上海百联集团股份有限公司</x:v>
      </x:c>
      <x:c r="C3" s="12"/>
      <x:c r="D3" s="2"/>
      <x:c r="E3" s="2"/>
      <x:c r="F3" s="2"/>
      <x:c r="G3" s="2"/>
      <x:c r="H3" s="2"/>
    </x:row>
    <x:row r="4">
      <x:c r="A4" s="98" t="str">
        <x:v>估值日期</x:v>
      </x:c>
      <x:c r="B4" s="12" t="str">
        <x:v>2026-08-28收盘</x:v>
      </x:c>
      <x:c r="C4" s="12"/>
      <x:c r="D4" s="2"/>
      <x:c r="E4" s="2"/>
      <x:c r="F4" s="2"/>
      <x:c r="G4" s="2"/>
      <x:c r="H4" s="2"/>
    </x:row>
    <x:row r="5">
      <x:c r="A5" s="98" t="str">
        <x:v>资料截止</x:v>
      </x:c>
      <x:c r="B5" s="12" t="str">
        <x:v>2026-08-29</x:v>
      </x:c>
      <x:c r="C5" s="12"/>
      <x:c r="D5" s="2"/>
      <x:c r="E5" s="2"/>
      <x:c r="F5" s="2"/>
      <x:c r="G5" s="2"/>
      <x:c r="H5" s="2"/>
    </x:row>
    <x:row r="6">
      <x:c r="A6" s="98" t="str">
        <x:v>报告货币</x:v>
      </x:c>
      <x:c r="B6" s="12" t="str">
        <x:v>人民币十亿元；每股价值为人民币</x:v>
      </x:c>
      <x:c r="C6" s="12"/>
      <x:c r="D6" s="2"/>
      <x:c r="E6" s="2"/>
      <x:c r="F6" s="2"/>
      <x:c r="G6" s="2"/>
      <x:c r="H6" s="2"/>
    </x:row>
    <x:row r="7">
      <x:c r="A7" s="98" t="str">
        <x:v>模型版本</x:v>
      </x:c>
      <x:c r="B7" s="12" t="str">
        <x:v>2026年中报更新 v2.0</x:v>
      </x:c>
      <x:c r="C7" s="12"/>
      <x:c r="D7" s="2"/>
      <x:c r="E7" s="2"/>
      <x:c r="F7" s="2"/>
      <x:c r="G7" s="2"/>
      <x:c r="H7" s="2"/>
    </x:row>
    <x:row r="8">
      <x:c r="A8" s="98" t="str">
        <x:v>估值框架</x:v>
      </x:c>
      <x:c r="B8" s="12" t="str">
        <x:v>60%折价净资产 + 40%正常化盈利</x:v>
      </x:c>
      <x:c r="C8" s="12"/>
      <x:c r="D8" s="2"/>
      <x:c r="E8" s="2"/>
      <x:c r="F8" s="2"/>
      <x:c r="G8" s="2"/>
      <x:c r="H8" s="2"/>
    </x:row>
    <x:row r="9">
      <x:c r="A9" s="98" t="str">
        <x:v>模型状态</x:v>
      </x:c>
      <x:c r="B9" s="94" t="str">
        <x:f>Checks!F2</x:f>
        <x:v>OK</x:v>
      </x:c>
      <x:c r="C9" s="12"/>
      <x:c r="D9" s="2"/>
      <x:c r="E9" s="2"/>
      <x:c r="F9" s="2"/>
      <x:c r="G9" s="2"/>
      <x:c r="H9" s="2"/>
    </x:row>
    <x:row r="10">
      <x:c r="A10" s="98" t="str">
        <x:v>当前判断</x:v>
      </x:c>
      <x:c r="B10" s="19" t="str">
        <x:v>中性</x:v>
      </x:c>
      <x:c r="C10" s="1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3" t="str">
        <x:v>关键估值输出</x:v>
      </x:c>
      <x:c r="B12" s="23" t="str">
        <x:v>关键估值输出</x:v>
      </x:c>
      <x:c r="C12" s="23" t="str">
        <x:v>关键估值输出</x:v>
      </x:c>
      <x:c r="D12" s="2"/>
      <x:c r="E12" s="2"/>
      <x:c r="F12" s="11" t="str">
        <x:v>情景</x:v>
      </x:c>
      <x:c r="G12" s="11" t="str">
        <x:v>人民币/股</x:v>
      </x:c>
      <x:c r="H12" s="2"/>
    </x:row>
    <x:row r="13">
      <x:c r="A13" s="12" t="str">
        <x:v>当前价格</x:v>
      </x:c>
      <x:c r="B13" s="13" t="n">
        <x:f>Assumptions!B5</x:f>
        <x:v>7.78</x:v>
      </x:c>
      <x:c r="C13" s="12" t="str">
        <x:v>2026-08-28 A股收盘</x:v>
      </x:c>
      <x:c r="D13" s="2"/>
      <x:c r="E13" s="2"/>
      <x:c r="F13" s="12" t="str">
        <x:v>当前价格</x:v>
      </x:c>
      <x:c r="G13" s="13" t="n">
        <x:f>Assumptions!B5</x:f>
        <x:v>7.78</x:v>
      </x:c>
      <x:c r="H13" s="2"/>
    </x:row>
    <x:row r="14">
      <x:c r="A14" s="12" t="str">
        <x:v>当前市值（RMB bn）</x:v>
      </x:c>
      <x:c r="B14" s="13" t="n">
        <x:f>Assumptions!B10</x:f>
        <x:v>13.88082795026</x:v>
      </x:c>
      <x:c r="C14" s="12" t="str">
        <x:v>按法定总股本换算</x:v>
      </x:c>
      <x:c r="D14" s="2"/>
      <x:c r="E14" s="2"/>
      <x:c r="F14" s="12" t="str">
        <x:v>熊市</x:v>
      </x:c>
      <x:c r="G14" s="13" t="n">
        <x:f>Valuation!F5</x:f>
        <x:v>4.589211723166893</x:v>
      </x:c>
      <x:c r="H14" s="2"/>
    </x:row>
    <x:row r="15">
      <x:c r="A15" s="12" t="str">
        <x:v>当前市净率</x:v>
      </x:c>
      <x:c r="B15" s="43" t="n">
        <x:f>Assumptions!B9</x:f>
        <x:v>0.6788269077668444</x:v>
      </x:c>
      <x:c r="C15" s="12" t="str">
        <x:v>以2026H1归母净资产计算</x:v>
      </x:c>
      <x:c r="D15" s="2"/>
      <x:c r="E15" s="2"/>
      <x:c r="F15" s="12" t="str">
        <x:v>基准</x:v>
      </x:c>
      <x:c r="G15" s="13" t="n">
        <x:f>Valuation!F6</x:f>
        <x:v>7.350856602865749</x:v>
      </x:c>
      <x:c r="H15" s="2"/>
    </x:row>
    <x:row r="16">
      <x:c r="A16" s="12" t="str">
        <x:v>熊市综合价值</x:v>
      </x:c>
      <x:c r="B16" s="13" t="n">
        <x:f>Valuation!F5</x:f>
        <x:v>4.589211723166893</x:v>
      </x:c>
      <x:c r="C16" s="12" t="str">
        <x:v>核心零售继续承压</x:v>
      </x:c>
      <x:c r="D16" s="2"/>
      <x:c r="E16" s="2"/>
      <x:c r="F16" s="12" t="str">
        <x:v>牛市</x:v>
      </x:c>
      <x:c r="G16" s="13" t="n">
        <x:f>Valuation!F7</x:f>
        <x:v>10.1049642169679</x:v>
      </x:c>
      <x:c r="H16" s="2"/>
    </x:row>
    <x:row r="17">
      <x:c r="A17" s="19" t="str">
        <x:v>基准综合价值</x:v>
      </x:c>
      <x:c r="B17" s="20" t="n">
        <x:f>Valuation!F6</x:f>
        <x:v>7.350856602865749</x:v>
      </x:c>
      <x:c r="C17" s="19" t="str">
        <x:v>联华边界清晰、利润温和修复</x:v>
      </x:c>
      <x:c r="D17" s="2"/>
      <x:c r="E17" s="2"/>
      <x:c r="F17" s="2"/>
      <x:c r="G17" s="2"/>
      <x:c r="H17" s="2"/>
    </x:row>
    <x:row r="18">
      <x:c r="A18" s="12" t="str">
        <x:v>牛市综合价值</x:v>
      </x:c>
      <x:c r="B18" s="13" t="n">
        <x:f>Valuation!F7</x:f>
        <x:v>10.1049642169679</x:v>
      </x:c>
      <x:c r="C18" s="12" t="str">
        <x:v>奥莱与资本回报显著改善</x:v>
      </x:c>
      <x:c r="D18" s="2"/>
      <x:c r="E18" s="2"/>
      <x:c r="F18" s="2"/>
      <x:c r="G18" s="2"/>
      <x:c r="H18" s="2"/>
    </x:row>
    <x:row r="19">
      <x:c r="A19" s="12" t="str">
        <x:v>基准相对当前价格</x:v>
      </x:c>
      <x:c r="B19" s="14" t="n">
        <x:f>Valuation!G6</x:f>
        <x:v>-0.055159819683065714</x:v>
      </x:c>
      <x:c r="C19" s="12" t="str">
        <x:v>情景差异，不是收益保证</x:v>
      </x:c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3" t="str">
        <x:v>研究结论</x:v>
      </x:c>
      <x:c r="B22" s="23" t="str">
        <x:v>研究结论</x:v>
      </x:c>
      <x:c r="C22" s="23" t="str">
        <x:v>研究结论</x:v>
      </x:c>
      <x:c r="D22" s="23" t="str">
        <x:v>研究结论</x:v>
      </x:c>
      <x:c r="E22" s="23" t="str">
        <x:v>研究结论</x:v>
      </x:c>
      <x:c r="F22" s="23" t="str">
        <x:v>研究结论</x:v>
      </x:c>
      <x:c r="G22" s="23" t="str">
        <x:v>研究结论</x:v>
      </x:c>
      <x:c r="H22" s="23" t="str">
        <x:v>研究结论</x:v>
      </x:c>
    </x:row>
    <x:row r="23" ht="24" customHeight="1">
      <x:c r="A23" s="117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B23" s="118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C23" s="118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D23" s="118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E23" s="118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F23" s="118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G23" s="118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H23" s="119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</x:row>
    <x:row r="24" ht="24" customHeight="1">
      <x:c r="A24" s="120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B24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C24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D24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E24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F24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G24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H24" s="122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</x:row>
    <x:row r="25" ht="24" customHeight="1">
      <x:c r="A25" s="120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B25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C25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D25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E25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F25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G25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H25" s="122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</x:row>
    <x:row r="26" ht="24" customHeight="1">
      <x:c r="A26" s="120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B26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C26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D26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E26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F26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G26" s="121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H26" s="122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</x:row>
    <x:row r="27" ht="24" customHeight="1">
      <x:c r="A27" s="123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B27" s="124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C27" s="124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D27" s="124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E27" s="124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F27" s="124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G27" s="124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  <x:c r="H27" s="125" t="str">
        <x:v>中报显示传统零售尚未反转：收入与毛利额下降，百货／购物中心毛利率下降6.24个百分点，经营现金流与简化自由现金流仍为负。积极面是扣非利润增长7.32%、奥莱收入增长10.18%，联华出表也已有完整草案与备考数据。交易将显著缩小收入和资产，但提高毛利率、降低杠杆；百联仍保留15.153%经济权益，且交易尚待股东会批准。当前7.78元略高于7.35元基准价值，观点为中性。</x:v>
      </x:c>
    </x:row>
  </x:sheetData>
  <x:mergeCells>
    <x:mergeCell ref="A1:H1"/>
    <x:mergeCell ref="A12:C12"/>
    <x:mergeCell ref="A22:H22"/>
    <x:mergeCell ref="A23:H27"/>
  </x:mergeCells>
  <x:pageMargins left="0.7" right="0.7" top="0.75" bottom="0.75" header="0.3" footer="0.3"/>
  <x:drawing xmlns:r="http://schemas.openxmlformats.org/officeDocument/2006/relationships" r:id="R15d3decdd2f341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1" customHeight="1">
      <x:c r="A1" s="5" t="str">
        <x:v>历史财务与经营质量</x:v>
      </x:c>
      <x:c r="B1" s="5" t="str">
        <x:v>历史财务与经营质量</x:v>
      </x:c>
      <x:c r="C1" s="5" t="str">
        <x:v>历史财务与经营质量</x:v>
      </x:c>
      <x:c r="D1" s="5" t="str">
        <x:v>历史财务与经营质量</x:v>
      </x:c>
      <x:c r="E1" s="5" t="str">
        <x:v>历史财务与经营质量</x:v>
      </x:c>
      <x:c r="F1" s="5" t="str">
        <x:v>历史财务与经营质量</x:v>
      </x:c>
    </x:row>
    <x:row r="2">
      <x:c r="A2" s="2"/>
      <x:c r="B2" s="2"/>
      <x:c r="C2" s="2"/>
      <x:c r="D2" s="2"/>
      <x:c r="E2" s="2"/>
      <x:c r="F2" s="2"/>
    </x:row>
    <x:row r="3">
      <x:c r="A3" s="11" t="str">
        <x:v>指标（人民币十亿元，除注明外）</x:v>
      </x:c>
      <x:c r="B3" s="11" t="str">
        <x:v>2023A</x:v>
      </x:c>
      <x:c r="C3" s="11" t="str">
        <x:v>2024A</x:v>
      </x:c>
      <x:c r="D3" s="11" t="str">
        <x:v>2025A</x:v>
      </x:c>
      <x:c r="E3" s="11" t="str">
        <x:v>2025H1</x:v>
      </x:c>
      <x:c r="F3" s="11" t="str">
        <x:v>2026H1</x:v>
      </x:c>
    </x:row>
    <x:row r="4">
      <x:c r="A4" s="12" t="str">
        <x:v>营业收入</x:v>
      </x:c>
      <x:c r="B4" s="13" t="n">
        <x:v>30.51894717711</x:v>
      </x:c>
      <x:c r="C4" s="13" t="n">
        <x:v>27.67474844784</x:v>
      </x:c>
      <x:c r="D4" s="13" t="n">
        <x:v>24.78487321191</x:v>
      </x:c>
      <x:c r="E4" s="13" t="n">
        <x:v>13.25715752324</x:v>
      </x:c>
      <x:c r="F4" s="13" t="n">
        <x:v>12.05322590807</x:v>
      </x:c>
    </x:row>
    <x:row r="5">
      <x:c r="A5" s="12" t="str">
        <x:v>营业成本</x:v>
      </x:c>
      <x:c r="B5" s="13" t="n">
        <x:v>22.42066814297</x:v>
      </x:c>
      <x:c r="C5" s="13" t="n">
        <x:v>20.51282390931</x:v>
      </x:c>
      <x:c r="D5" s="13" t="n">
        <x:v>18.6140634213</x:v>
      </x:c>
      <x:c r="E5" s="13" t="n">
        <x:v>9.93712306337</x:v>
      </x:c>
      <x:c r="F5" s="13" t="n">
        <x:v>9.14338389743</x:v>
      </x:c>
    </x:row>
    <x:row r="6">
      <x:c r="A6" s="16" t="str">
        <x:v>毛利</x:v>
      </x:c>
      <x:c r="B6" s="17" t="n">
        <x:f>B4-B5</x:f>
        <x:v>8.098279034139999</x:v>
      </x:c>
      <x:c r="C6" s="17" t="n">
        <x:f>C4-C5</x:f>
        <x:v>7.161924538529998</x:v>
      </x:c>
      <x:c r="D6" s="17" t="n">
        <x:f>D4-D5</x:f>
        <x:v>6.170809790610001</x:v>
      </x:c>
      <x:c r="E6" s="17" t="n">
        <x:f>E4-E5</x:f>
        <x:v>3.3200344598699996</x:v>
      </x:c>
      <x:c r="F6" s="17" t="n">
        <x:f>F4-F5</x:f>
        <x:v>2.9098420106400003</x:v>
      </x:c>
    </x:row>
    <x:row r="7">
      <x:c r="A7" s="16" t="str">
        <x:v>毛利率</x:v>
      </x:c>
      <x:c r="B7" s="18" t="n">
        <x:f>B6/B4</x:f>
        <x:v>0.26535250338563177</x:v>
      </x:c>
      <x:c r="C7" s="18" t="n">
        <x:f>C6/C4</x:f>
        <x:v>0.2587891467930934</x:v>
      </x:c>
      <x:c r="D7" s="18" t="n">
        <x:f>D6/D4</x:f>
        <x:v>0.24897483791221134</x:v>
      </x:c>
      <x:c r="E7" s="18" t="n">
        <x:f>E6/E4</x:f>
        <x:v>0.2504333567772675</x:v>
      </x:c>
      <x:c r="F7" s="18" t="n">
        <x:f>F6/F4</x:f>
        <x:v>0.2414160352451183</x:v>
      </x:c>
    </x:row>
    <x:row r="8">
      <x:c r="A8" s="12" t="str">
        <x:v>归母净利润</x:v>
      </x:c>
      <x:c r="B8" s="13" t="n">
        <x:v>0.39911487889</x:v>
      </x:c>
      <x:c r="C8" s="13" t="n">
        <x:v>1.56743800278</x:v>
      </x:c>
      <x:c r="D8" s="13" t="n">
        <x:v>0.6310783658</x:v>
      </x:c>
      <x:c r="E8" s="13" t="n">
        <x:v>0.31302437607</x:v>
      </x:c>
      <x:c r="F8" s="13" t="n">
        <x:v>0.91282113165</x:v>
      </x:c>
    </x:row>
    <x:row r="9">
      <x:c r="A9" s="12" t="str">
        <x:v>扣非归母净利润</x:v>
      </x:c>
      <x:c r="B9" s="13" t="n">
        <x:v>0.19442330022</x:v>
      </x:c>
      <x:c r="C9" s="13" t="n">
        <x:v>0.11105925767</x:v>
      </x:c>
      <x:c r="D9" s="13" t="n">
        <x:v>0.10352007981</x:v>
      </x:c>
      <x:c r="E9" s="13" t="n">
        <x:v>0.18482291098</x:v>
      </x:c>
      <x:c r="F9" s="13" t="n">
        <x:v>0.19835626924</x:v>
      </x:c>
    </x:row>
    <x:row r="10">
      <x:c r="A10" s="12" t="str">
        <x:v>非经常性损益</x:v>
      </x:c>
      <x:c r="B10" s="13" t="n">
        <x:f>B8-B9</x:f>
        <x:v>0.20469157867</x:v>
      </x:c>
      <x:c r="C10" s="13" t="n">
        <x:f>C8-C9</x:f>
        <x:v>1.4563787451099999</x:v>
      </x:c>
      <x:c r="D10" s="13" t="n">
        <x:f>D8-D9</x:f>
        <x:v>0.52755828599</x:v>
      </x:c>
      <x:c r="E10" s="13" t="n">
        <x:f>E8-E9</x:f>
        <x:v>0.12820146509</x:v>
      </x:c>
      <x:c r="F10" s="13" t="n">
        <x:f>F8-F9</x:f>
        <x:v>0.7144648624100001</x:v>
      </x:c>
    </x:row>
    <x:row r="11">
      <x:c r="A11" s="12" t="str">
        <x:v>经营现金流</x:v>
      </x:c>
      <x:c r="B11" s="13" t="n">
        <x:v>3.62269351583</x:v>
      </x:c>
      <x:c r="C11" s="13" t="n">
        <x:v>3.42476625928</x:v>
      </x:c>
      <x:c r="D11" s="13" t="n">
        <x:v>0.99321635799</x:v>
      </x:c>
      <x:c r="E11" s="13" t="n">
        <x:v>-0.36267871173</x:v>
      </x:c>
      <x:c r="F11" s="13" t="n">
        <x:v>-0.30061604721</x:v>
      </x:c>
    </x:row>
    <x:row r="12">
      <x:c r="A12" s="12" t="str">
        <x:v>长期资产现金支出</x:v>
      </x:c>
      <x:c r="B12" s="13" t="n">
        <x:v>1.12641270796</x:v>
      </x:c>
      <x:c r="C12" s="13" t="n">
        <x:v>1.01075737206</x:v>
      </x:c>
      <x:c r="D12" s="13" t="n">
        <x:v>1.49388510987</x:v>
      </x:c>
      <x:c r="E12" s="13" t="n">
        <x:v>0.59575328258</x:v>
      </x:c>
      <x:c r="F12" s="13" t="n">
        <x:v>0.44165645678</x:v>
      </x:c>
    </x:row>
    <x:row r="13">
      <x:c r="A13" s="16" t="str">
        <x:v>简化自由现金流</x:v>
      </x:c>
      <x:c r="B13" s="17" t="n">
        <x:f>B11-B12</x:f>
        <x:v>2.49628080787</x:v>
      </x:c>
      <x:c r="C13" s="17" t="n">
        <x:f>C11-C12</x:f>
        <x:v>2.41400888722</x:v>
      </x:c>
      <x:c r="D13" s="17" t="n">
        <x:f>D11-D12</x:f>
        <x:v>-0.5006687518799999</x:v>
      </x:c>
      <x:c r="E13" s="17" t="n">
        <x:f>E11-E12</x:f>
        <x:v>-0.95843199431</x:v>
      </x:c>
      <x:c r="F13" s="17" t="n">
        <x:f>F11-F12</x:f>
        <x:v>-0.74227250399</x:v>
      </x:c>
    </x:row>
    <x:row r="14">
      <x:c r="A14" s="12" t="str">
        <x:v>归母净资产</x:v>
      </x:c>
      <x:c r="B14" s="13" t="n">
        <x:v>17.79596823411</x:v>
      </x:c>
      <x:c r="C14" s="13" t="n">
        <x:v>19.66172754166</x:v>
      </x:c>
      <x:c r="D14" s="13" t="n">
        <x:v>20.39044213676</x:v>
      </x:c>
      <x:c r="E14" s="13"/>
      <x:c r="F14" s="13" t="n">
        <x:v>20.4482582989</x:v>
      </x:c>
    </x:row>
    <x:row r="15">
      <x:c r="A15" s="12" t="str">
        <x:v>总资产</x:v>
      </x:c>
      <x:c r="B15" s="13" t="n">
        <x:v>56.26607423142</x:v>
      </x:c>
      <x:c r="C15" s="13" t="n">
        <x:v>56.34519927065</x:v>
      </x:c>
      <x:c r="D15" s="13" t="n">
        <x:v>56.86760254405</x:v>
      </x:c>
      <x:c r="E15" s="13"/>
      <x:c r="F15" s="13" t="n">
        <x:v>52.11630267491</x:v>
      </x:c>
    </x:row>
    <x:row r="16">
      <x:c r="A16" s="12" t="str">
        <x:v>货币资金</x:v>
      </x:c>
      <x:c r="B16" s="13"/>
      <x:c r="C16" s="13" t="n">
        <x:v>17.5354229339</x:v>
      </x:c>
      <x:c r="D16" s="13" t="n">
        <x:v>10.22630535317</x:v>
      </x:c>
      <x:c r="E16" s="13"/>
      <x:c r="F16" s="13" t="n">
        <x:v>4.461796548</x:v>
      </x:c>
    </x:row>
    <x:row r="17">
      <x:c r="A17" s="12" t="str">
        <x:v>交易性金融资产</x:v>
      </x:c>
      <x:c r="B17" s="13"/>
      <x:c r="C17" s="13" t="n">
        <x:v>2.99501311994</x:v>
      </x:c>
      <x:c r="D17" s="13" t="n">
        <x:v>4.26482705334</x:v>
      </x:c>
      <x:c r="E17" s="13"/>
      <x:c r="F17" s="13" t="n">
        <x:v>4.69826781791</x:v>
      </x:c>
    </x:row>
    <x:row r="18">
      <x:c r="A18" s="12" t="str">
        <x:v>一年期以上定期存款及利息</x:v>
      </x:c>
      <x:c r="B18" s="13"/>
      <x:c r="C18" s="13"/>
      <x:c r="D18" s="13" t="n">
        <x:v>7.95473653081</x:v>
      </x:c>
      <x:c r="E18" s="13"/>
      <x:c r="F18" s="13" t="n">
        <x:v>10.29867976419</x:v>
      </x:c>
    </x:row>
    <x:row r="19">
      <x:c r="A19" s="19" t="str">
        <x:v>现金类资产合计</x:v>
      </x:c>
      <x:c r="B19" s="20"/>
      <x:c r="C19" s="20"/>
      <x:c r="D19" s="20" t="n">
        <x:f>SUM(D16:D18)</x:f>
        <x:v>22.44586893732</x:v>
      </x:c>
      <x:c r="E19" s="20"/>
      <x:c r="F19" s="20" t="n">
        <x:f>SUM(F16:F18)</x:f>
        <x:v>19.4587441301</x:v>
      </x:c>
    </x:row>
    <x:row r="20">
      <x:c r="A20" s="12" t="str">
        <x:v>不含租赁负债的有息债务</x:v>
      </x:c>
      <x:c r="B20" s="13"/>
      <x:c r="C20" s="13"/>
      <x:c r="D20" s="13"/>
      <x:c r="E20" s="13"/>
      <x:c r="F20" s="13" t="n">
        <x:v>2.01723512416</x:v>
      </x:c>
    </x:row>
    <x:row r="21">
      <x:c r="A21" s="12" t="str">
        <x:v>总股本（十亿股）</x:v>
      </x:c>
      <x:c r="B21" s="15" t="n">
        <x:v>1.784168117</x:v>
      </x:c>
      <x:c r="C21" s="15" t="n">
        <x:v>1.784168117</x:v>
      </x:c>
      <x:c r="D21" s="15" t="n">
        <x:v>1.784168117</x:v>
      </x:c>
      <x:c r="E21" s="15" t="n">
        <x:v>1.784168117</x:v>
      </x:c>
      <x:c r="F21" s="15" t="n">
        <x:v>1.784168117</x:v>
      </x:c>
    </x:row>
    <x:row r="22">
      <x:c r="A22" s="19" t="str">
        <x:v>每股净资产（元）</x:v>
      </x:c>
      <x:c r="B22" s="20" t="n">
        <x:f>B14/B21</x:f>
        <x:v>9.974378571472926</x:v>
      </x:c>
      <x:c r="C22" s="20" t="n">
        <x:f>C14/C21</x:f>
        <x:v>11.02010923428019</x:v>
      </x:c>
      <x:c r="D22" s="20" t="n">
        <x:f>D14/D21</x:f>
        <x:v>11.428543051786862</x:v>
      </x:c>
      <x:c r="E22" s="20"/>
      <x:c r="F22" s="20" t="n">
        <x:f>F14/F21</x:f>
        <x:v>11.460948160693984</x:v>
      </x:c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3" t="str">
        <x:v>分业态收入与毛利率（2026年上半年）</x:v>
      </x:c>
      <x:c r="B25" s="23" t="str">
        <x:v>分业态收入与毛利率（2026年上半年）</x:v>
      </x:c>
      <x:c r="C25" s="23" t="str">
        <x:v>分业态收入与毛利率（2026年上半年）</x:v>
      </x:c>
      <x:c r="D25" s="23" t="str">
        <x:v>分业态收入与毛利率（2026年上半年）</x:v>
      </x:c>
      <x:c r="E25" s="23" t="str">
        <x:v>分业态收入与毛利率（2026年上半年）</x:v>
      </x:c>
      <x:c r="F25" s="23" t="str">
        <x:v>分业态收入与毛利率（2026年上半年）</x:v>
      </x:c>
    </x:row>
    <x:row r="26">
      <x:c r="A26" s="2"/>
      <x:c r="B26" s="2"/>
      <x:c r="C26" s="2"/>
      <x:c r="D26" s="2"/>
      <x:c r="E26" s="2"/>
      <x:c r="F26" s="2"/>
    </x:row>
    <x:row r="27">
      <x:c r="A27" s="11" t="str">
        <x:v>业态</x:v>
      </x:c>
      <x:c r="B27" s="11" t="str">
        <x:v>2025H1收入</x:v>
      </x:c>
      <x:c r="C27" s="11" t="str">
        <x:v>2026H1收入</x:v>
      </x:c>
      <x:c r="D27" s="11" t="str">
        <x:v>同比</x:v>
      </x:c>
      <x:c r="E27" s="11" t="str">
        <x:v>2026H1毛利率</x:v>
      </x:c>
      <x:c r="F27" s="11" t="str">
        <x:v>同比变化</x:v>
      </x:c>
    </x:row>
    <x:row r="28">
      <x:c r="A28" s="12" t="str">
        <x:v>百货、购物中心</x:v>
      </x:c>
      <x:c r="B28" s="15" t="n">
        <x:v>1.740479</x:v>
      </x:c>
      <x:c r="C28" s="15" t="n">
        <x:v>1.565732</x:v>
      </x:c>
      <x:c r="D28" s="14" t="n">
        <x:v>-0.1004</x:v>
      </x:c>
      <x:c r="E28" s="14" t="n">
        <x:v>0.3428</x:v>
      </x:c>
      <x:c r="F28" s="14" t="n">
        <x:v>-0.0624</x:v>
      </x:c>
    </x:row>
    <x:row r="29">
      <x:c r="A29" s="19" t="str">
        <x:v>奥特莱斯</x:v>
      </x:c>
      <x:c r="B29" s="24" t="n">
        <x:v>0.794149</x:v>
      </x:c>
      <x:c r="C29" s="24" t="n">
        <x:v>0.874979</x:v>
      </x:c>
      <x:c r="D29" s="25" t="n">
        <x:v>0.1018</x:v>
      </x:c>
      <x:c r="E29" s="25" t="n">
        <x:v>0.7996</x:v>
      </x:c>
      <x:c r="F29" s="25" t="n">
        <x:v>0.0135</x:v>
      </x:c>
    </x:row>
    <x:row r="30">
      <x:c r="A30" s="12" t="str">
        <x:v>标准超市</x:v>
      </x:c>
      <x:c r="B30" s="15" t="n">
        <x:v>5.385743</x:v>
      </x:c>
      <x:c r="C30" s="15" t="n">
        <x:v>4.902657</x:v>
      </x:c>
      <x:c r="D30" s="14" t="n">
        <x:v>-0.0897</x:v>
      </x:c>
      <x:c r="E30" s="14" t="n">
        <x:v>0.1469</x:v>
      </x:c>
      <x:c r="F30" s="14" t="n">
        <x:v>-0.0154</x:v>
      </x:c>
    </x:row>
    <x:row r="31">
      <x:c r="A31" s="12" t="str">
        <x:v>便利店</x:v>
      </x:c>
      <x:c r="B31" s="15" t="n">
        <x:v>0.707015</x:v>
      </x:c>
      <x:c r="C31" s="15" t="n">
        <x:v>0.60163</x:v>
      </x:c>
      <x:c r="D31" s="14" t="n">
        <x:v>-0.149</x:v>
      </x:c>
      <x:c r="E31" s="14" t="n">
        <x:v>0.1019</x:v>
      </x:c>
      <x:c r="F31" s="14" t="n">
        <x:v>-0.0303</x:v>
      </x:c>
    </x:row>
    <x:row r="32">
      <x:c r="A32" s="12" t="str">
        <x:v>大型综合超市／大卖场</x:v>
      </x:c>
      <x:c r="B32" s="15" t="n">
        <x:v>4.149119</x:v>
      </x:c>
      <x:c r="C32" s="15" t="n">
        <x:v>3.684004</x:v>
      </x:c>
      <x:c r="D32" s="14" t="n">
        <x:v>-0.1121</x:v>
      </x:c>
      <x:c r="E32" s="14" t="n">
        <x:v>0.1862</x:v>
      </x:c>
      <x:c r="F32" s="14" t="n">
        <x:v>-0.0157</x:v>
      </x:c>
    </x:row>
    <x:row r="33">
      <x:c r="A33" s="12" t="str">
        <x:v>专业专卖</x:v>
      </x:c>
      <x:c r="B33" s="15" t="n">
        <x:v>0.398529</x:v>
      </x:c>
      <x:c r="C33" s="15" t="n">
        <x:v>0.287766</x:v>
      </x:c>
      <x:c r="D33" s="14" t="n">
        <x:v>-0.2779</x:v>
      </x:c>
      <x:c r="E33" s="14" t="n">
        <x:v>0.4193</x:v>
      </x:c>
      <x:c r="F33" s="14" t="n">
        <x:v>0.044</x:v>
      </x:c>
    </x:row>
    <x:row r="34">
      <x:c r="A34" s="12" t="str">
        <x:v>其他</x:v>
      </x:c>
      <x:c r="B34" s="15" t="n">
        <x:v>0.082124</x:v>
      </x:c>
      <x:c r="C34" s="15" t="n">
        <x:v>0.136458</x:v>
      </x:c>
      <x:c r="D34" s="14" t="n">
        <x:v>0.6598</x:v>
      </x:c>
      <x:c r="E34" s="14" t="n">
        <x:v>0.627</x:v>
      </x:c>
      <x:c r="F34" s="14" t="n">
        <x:v>0.1959</x:v>
      </x:c>
    </x:row>
    <x:row r="35">
      <x:c r="A35" s="16" t="str">
        <x:v>合计</x:v>
      </x:c>
      <x:c r="B35" s="26" t="n">
        <x:f>SUM(B28:B34)</x:f>
        <x:v>13.257158</x:v>
      </x:c>
      <x:c r="C35" s="26" t="n">
        <x:f>SUM(C28:C34)</x:f>
        <x:v>12.053225999999999</x:v>
      </x:c>
      <x:c r="D35" s="18" t="n">
        <x:f>C35/B35-1</x:f>
        <x:v>-0.09081373247569369</x:v>
      </x:c>
      <x:c r="E35" s="18" t="n">
        <x:v>0.2414</x:v>
      </x:c>
      <x:c r="F35" s="18" t="n">
        <x:v>-0.009</x:v>
      </x:c>
    </x:row>
    <x:row r="36">
      <x:c r="A36" s="2"/>
      <x:c r="B36" s="2"/>
      <x:c r="C36" s="2"/>
      <x:c r="D36" s="2"/>
      <x:c r="E36" s="2"/>
      <x:c r="F36" s="2"/>
    </x:row>
  </x:sheetData>
  <x:mergeCells>
    <x:mergeCell ref="A1:F1"/>
    <x:mergeCell ref="A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</x:cols>
  <x:sheetData>
    <x:row r="1" ht="31" customHeight="1">
      <x:c r="A1" s="5" t="str">
        <x:v>联华超市出表与备考口径桥接</x:v>
      </x:c>
      <x:c r="B1" s="5" t="str">
        <x:v>联华超市出表与备考口径桥接</x:v>
      </x:c>
      <x:c r="C1" s="5" t="str">
        <x:v>联华超市出表与备考口径桥接</x:v>
      </x:c>
      <x:c r="D1" s="5" t="str">
        <x:v>联华超市出表与备考口径桥接</x:v>
      </x:c>
      <x:c r="E1" s="5" t="str">
        <x:v>联华超市出表与备考口径桥接</x:v>
      </x:c>
      <x:c r="F1" s="5" t="str">
        <x:v>联华超市出表与备考口径桥接</x:v>
      </x:c>
      <x:c r="G1" s="5" t="str">
        <x:v>联华超市出表与备考口径桥接</x:v>
      </x:c>
    </x:row>
    <x:row r="2">
      <x:c r="A2" s="2"/>
      <x:c r="B2" s="2"/>
      <x:c r="C2" s="2"/>
      <x:c r="D2" s="2"/>
      <x:c r="E2" s="2"/>
      <x:c r="F2" s="2"/>
      <x:c r="G2" s="2"/>
    </x:row>
    <x:row r="3">
      <x:c r="A3" s="23" t="str">
        <x:v>2026年上半年报告口径</x:v>
      </x:c>
      <x:c r="B3" s="23" t="str">
        <x:v>2026年上半年报告口径</x:v>
      </x:c>
      <x:c r="C3" s="23" t="str">
        <x:v>2026年上半年报告口径</x:v>
      </x:c>
      <x:c r="D3" s="23" t="str">
        <x:v>2026年上半年报告口径</x:v>
      </x:c>
      <x:c r="E3" s="23" t="str">
        <x:v>2026年上半年报告口径</x:v>
      </x:c>
      <x:c r="F3" s="23" t="str">
        <x:v>2026年上半年报告口径</x:v>
      </x:c>
      <x:c r="G3" s="23" t="str">
        <x:v>2026年上半年报告口径</x:v>
      </x:c>
    </x:row>
    <x:row r="4">
      <x:c r="A4" s="2"/>
      <x:c r="B4" s="2"/>
      <x:c r="C4" s="2"/>
      <x:c r="D4" s="2"/>
      <x:c r="E4" s="2"/>
      <x:c r="F4" s="2"/>
      <x:c r="G4" s="2"/>
    </x:row>
    <x:row r="5">
      <x:c r="A5" s="11" t="str">
        <x:v>指标（人民币十亿元）</x:v>
      </x:c>
      <x:c r="B5" s="11" t="str">
        <x:v>百联合并</x:v>
      </x:c>
      <x:c r="C5" s="11" t="str">
        <x:v>联华超市</x:v>
      </x:c>
      <x:c r="D5" s="11" t="str">
        <x:v>解读</x:v>
      </x:c>
      <x:c r="E5" s="2"/>
      <x:c r="F5" s="2"/>
      <x:c r="G5" s="2"/>
    </x:row>
    <x:row r="6">
      <x:c r="A6" s="12" t="str">
        <x:v>营业收入</x:v>
      </x:c>
      <x:c r="B6" s="15" t="n">
        <x:v>12.05322590807</x:v>
      </x:c>
      <x:c r="C6" s="15" t="n">
        <x:v>9.21166235942</x:v>
      </x:c>
      <x:c r="D6" s="12" t="str">
        <x:v>联华占合并收入约76%</x:v>
      </x:c>
      <x:c r="E6" s="2"/>
      <x:c r="F6" s="2"/>
      <x:c r="G6" s="2"/>
    </x:row>
    <x:row r="7">
      <x:c r="A7" s="12" t="str">
        <x:v>净利润</x:v>
      </x:c>
      <x:c r="B7" s="15" t="n">
        <x:v>0.80380287939</x:v>
      </x:c>
      <x:c r="C7" s="15" t="n">
        <x:v>-0.1804518</x:v>
      </x:c>
      <x:c r="D7" s="12" t="str">
        <x:v>联华拖累合并净利润</x:v>
      </x:c>
      <x:c r="E7" s="2"/>
      <x:c r="F7" s="2"/>
      <x:c r="G7" s="2"/>
    </x:row>
    <x:row r="8">
      <x:c r="A8" s="12" t="str">
        <x:v>归母净利润</x:v>
      </x:c>
      <x:c r="B8" s="15" t="n">
        <x:v>0.91282113165</x:v>
      </x:c>
      <x:c r="C8" s="15"/>
      <x:c r="D8" s="12" t="str">
        <x:v>少数股东损益为负</x:v>
      </x:c>
      <x:c r="E8" s="2"/>
      <x:c r="F8" s="2"/>
      <x:c r="G8" s="2"/>
    </x:row>
    <x:row r="9">
      <x:c r="A9" s="12" t="str">
        <x:v>联华收入占比</x:v>
      </x:c>
      <x:c r="B9" s="14" t="n">
        <x:f>C6/B6</x:f>
        <x:v>0.7642487106503589</x:v>
      </x:c>
      <x:c r="C9" s="15"/>
      <x:c r="D9" s="12" t="str">
        <x:v>收入权重远高于15.153%经济权益</x:v>
      </x:c>
      <x:c r="E9" s="2"/>
      <x:c r="F9" s="2"/>
      <x:c r="G9" s="2"/>
    </x:row>
    <x:row r="10">
      <x:c r="A10" s="12" t="str">
        <x:v>联华经济权益对应损益</x:v>
      </x:c>
      <x:c r="B10" s="15"/>
      <x:c r="C10" s="15" t="n">
        <x:f>C7*15.153%</x:f>
        <x:v>-0.027343861254</x:v>
      </x:c>
      <x:c r="D10" s="12" t="str">
        <x:v>仅作经济敞口示意</x:v>
      </x:c>
      <x:c r="E10" s="2"/>
      <x:c r="F10" s="2"/>
      <x:c r="G10" s="2"/>
    </x:row>
    <x:row r="11">
      <x:c r="A11" s="2"/>
      <x:c r="B11" s="2"/>
      <x:c r="C11" s="2"/>
      <x:c r="D11" s="2"/>
      <x:c r="E11" s="2"/>
      <x:c r="F11" s="2"/>
      <x:c r="G11" s="2"/>
    </x:row>
    <x:row r="12">
      <x:c r="A12" s="23" t="str">
        <x:v>交易条款与会计边界</x:v>
      </x:c>
      <x:c r="B12" s="23" t="str">
        <x:v>交易条款与会计边界</x:v>
      </x:c>
      <x:c r="C12" s="23" t="str">
        <x:v>交易条款与会计边界</x:v>
      </x:c>
      <x:c r="D12" s="23" t="str">
        <x:v>交易条款与会计边界</x:v>
      </x:c>
      <x:c r="E12" s="23" t="str">
        <x:v>交易条款与会计边界</x:v>
      </x:c>
      <x:c r="F12" s="23" t="str">
        <x:v>交易条款与会计边界</x:v>
      </x:c>
      <x:c r="G12" s="23" t="str">
        <x:v>交易条款与会计边界</x:v>
      </x:c>
    </x:row>
    <x:row r="13">
      <x:c r="A13" s="2"/>
      <x:c r="B13" s="2"/>
      <x:c r="C13" s="2"/>
      <x:c r="D13" s="2"/>
      <x:c r="E13" s="2"/>
      <x:c r="F13" s="2"/>
      <x:c r="G13" s="2"/>
    </x:row>
    <x:row r="14">
      <x:c r="A14" s="11" t="str">
        <x:v>项目</x:v>
      </x:c>
      <x:c r="B14" s="11" t="str">
        <x:v>当前</x:v>
      </x:c>
      <x:c r="C14" s="11" t="str">
        <x:v>交易完成后</x:v>
      </x:c>
      <x:c r="D14" s="11" t="str">
        <x:v>影响</x:v>
      </x:c>
      <x:c r="E14" s="2"/>
      <x:c r="F14" s="2"/>
      <x:c r="G14" s="2"/>
    </x:row>
    <x:row r="15">
      <x:c r="A15" s="12" t="str">
        <x:v>直接经济权益</x:v>
      </x:c>
      <x:c r="B15" s="14" t="n">
        <x:v>0.15153</x:v>
      </x:c>
      <x:c r="C15" s="14" t="n">
        <x:v>0.15153</x:v>
      </x:c>
      <x:c r="D15" s="12" t="str">
        <x:v>经济权益不变</x:v>
      </x:c>
      <x:c r="E15" s="2"/>
      <x:c r="F15" s="2"/>
      <x:c r="G15" s="2"/>
    </x:row>
    <x:row r="16">
      <x:c r="A16" s="12" t="str">
        <x:v>受托表决权</x:v>
      </x:c>
      <x:c r="B16" s="14" t="n">
        <x:v>0.4151</x:v>
      </x:c>
      <x:c r="C16" s="14" t="n">
        <x:v>0</x:v>
      </x:c>
      <x:c r="D16" s="12" t="str">
        <x:v>终止受托管理</x:v>
      </x:c>
      <x:c r="E16" s="2"/>
      <x:c r="F16" s="2"/>
      <x:c r="G16" s="2"/>
    </x:row>
    <x:row r="17">
      <x:c r="A17" s="12" t="str">
        <x:v>可行使表决权</x:v>
      </x:c>
      <x:c r="B17" s="14" t="n">
        <x:v>0.56663</x:v>
      </x:c>
      <x:c r="C17" s="14" t="n">
        <x:v>0.15153</x:v>
      </x:c>
      <x:c r="D17" s="12" t="str">
        <x:v>由控制转为重大影响</x:v>
      </x:c>
      <x:c r="E17" s="2"/>
      <x:c r="F17" s="2"/>
      <x:c r="G17" s="2"/>
    </x:row>
    <x:row r="18">
      <x:c r="A18" s="12" t="str">
        <x:v>合并状态</x:v>
      </x:c>
      <x:c r="B18" s="12" t="str">
        <x:v>并表</x:v>
      </x:c>
      <x:c r="C18" s="12" t="str">
        <x:v>权益法</x:v>
      </x:c>
      <x:c r="D18" s="12" t="str">
        <x:v>联华不再并表</x:v>
      </x:c>
      <x:c r="E18" s="2"/>
      <x:c r="F18" s="2"/>
      <x:c r="G18" s="2"/>
    </x:row>
    <x:row r="19">
      <x:c r="A19" s="12" t="str">
        <x:v>联华长期股权投资</x:v>
      </x:c>
      <x:c r="B19" s="12"/>
      <x:c r="C19" s="12" t="n">
        <x:v>0</x:v>
      </x:c>
      <x:c r="D19" s="12" t="str">
        <x:v>备考处理中减记至零</x:v>
      </x:c>
      <x:c r="E19" s="2"/>
      <x:c r="F19" s="2"/>
      <x:c r="G19" s="2"/>
    </x:row>
    <x:row r="20">
      <x:c r="A20" s="27" t="str">
        <x:v>审批状态</x:v>
      </x:c>
      <x:c r="B20" s="27" t="str">
        <x:v>董事会已审议</x:v>
      </x:c>
      <x:c r="C20" s="27" t="str">
        <x:v>待股东会批准</x:v>
      </x:c>
      <x:c r="D20" s="27" t="str">
        <x:v>尚未完成</x:v>
      </x:c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3" t="str">
        <x:v>联华出表备考影响</x:v>
      </x:c>
      <x:c r="B22" s="23" t="str">
        <x:v>联华出表备考影响</x:v>
      </x:c>
      <x:c r="C22" s="23" t="str">
        <x:v>联华出表备考影响</x:v>
      </x:c>
      <x:c r="D22" s="23" t="str">
        <x:v>联华出表备考影响</x:v>
      </x:c>
      <x:c r="E22" s="23" t="str">
        <x:v>联华出表备考影响</x:v>
      </x:c>
      <x:c r="F22" s="23" t="str">
        <x:v>联华出表备考影响</x:v>
      </x:c>
      <x:c r="G22" s="23" t="str">
        <x:v>联华出表备考影响</x:v>
      </x:c>
    </x:row>
    <x:row r="23">
      <x:c r="A23" s="2"/>
      <x:c r="B23" s="2"/>
      <x:c r="C23" s="2"/>
      <x:c r="D23" s="2"/>
      <x:c r="E23" s="2"/>
      <x:c r="F23" s="2"/>
      <x:c r="G23" s="2"/>
    </x:row>
    <x:row r="24">
      <x:c r="A24" s="11" t="str">
        <x:v>指标</x:v>
      </x:c>
      <x:c r="B24" s="11" t="str">
        <x:v>2025原口径</x:v>
      </x:c>
      <x:c r="C24" s="11" t="str">
        <x:v>2025备考</x:v>
      </x:c>
      <x:c r="D24" s="11" t="str">
        <x:v>变化</x:v>
      </x:c>
      <x:c r="E24" s="11" t="str">
        <x:v>2026年1-4月原口径</x:v>
      </x:c>
      <x:c r="F24" s="11" t="str">
        <x:v>2026年1-4月备考</x:v>
      </x:c>
      <x:c r="G24" s="11" t="str">
        <x:v>变化</x:v>
      </x:c>
    </x:row>
    <x:row r="25">
      <x:c r="A25" s="28" t="str">
        <x:v>营业收入（RMB bn）</x:v>
      </x:c>
      <x:c r="B25" s="29" t="n">
        <x:v>24.7848732</x:v>
      </x:c>
      <x:c r="C25" s="29" t="n">
        <x:v>5.6827607</x:v>
      </x:c>
      <x:c r="D25" s="30" t="n">
        <x:v>-0.7707</x:v>
      </x:c>
      <x:c r="E25" s="29" t="n">
        <x:v>8.5403202</x:v>
      </x:c>
      <x:c r="F25" s="29" t="n">
        <x:v>1.9962823</x:v>
      </x:c>
      <x:c r="G25" s="30" t="n">
        <x:v>-0.7663</x:v>
      </x:c>
    </x:row>
    <x:row r="26">
      <x:c r="A26" s="28" t="str">
        <x:v>净利润（RMB bn）</x:v>
      </x:c>
      <x:c r="B26" s="29" t="n">
        <x:v>0.554861</x:v>
      </x:c>
      <x:c r="C26" s="29" t="n">
        <x:v>0.7325343</x:v>
      </x:c>
      <x:c r="D26" s="30" t="n">
        <x:v>0.3202</x:v>
      </x:c>
      <x:c r="E26" s="29" t="n">
        <x:v>0.7758655</x:v>
      </x:c>
      <x:c r="F26" s="29" t="n">
        <x:v>0.841222</x:v>
      </x:c>
      <x:c r="G26" s="30" t="n">
        <x:v>0.0842</x:v>
      </x:c>
    </x:row>
    <x:row r="27">
      <x:c r="A27" s="28" t="str">
        <x:v>归母净利润（RMB bn）</x:v>
      </x:c>
      <x:c r="B27" s="29" t="n">
        <x:v>0.6310784</x:v>
      </x:c>
      <x:c r="C27" s="29" t="n">
        <x:v>0.6609002</x:v>
      </x:c>
      <x:c r="D27" s="30" t="n">
        <x:v>0.0473</x:v>
      </x:c>
      <x:c r="E27" s="29" t="n">
        <x:v>0.7915416</x:v>
      </x:c>
      <x:c r="F27" s="29" t="n">
        <x:v>0.8015249</x:v>
      </x:c>
      <x:c r="G27" s="30" t="n">
        <x:v>0.0126</x:v>
      </x:c>
    </x:row>
    <x:row r="28">
      <x:c r="A28" s="28" t="str">
        <x:v>资产负债率</x:v>
      </x:c>
      <x:c r="B28" s="30" t="n">
        <x:v>0.6123</x:v>
      </x:c>
      <x:c r="C28" s="30" t="n">
        <x:v>0.4367</x:v>
      </x:c>
      <x:c r="D28" s="30" t="n">
        <x:v>-0.1756</x:v>
      </x:c>
      <x:c r="E28" s="30" t="n">
        <x:v>0.5837</x:v>
      </x:c>
      <x:c r="F28" s="30" t="n">
        <x:v>0.3863</x:v>
      </x:c>
      <x:c r="G28" s="30" t="n">
        <x:v>-0.1974</x:v>
      </x:c>
    </x:row>
    <x:row r="29">
      <x:c r="A29" s="28" t="str">
        <x:v>扣非基本EPS（元）</x:v>
      </x:c>
      <x:c r="B29" s="31" t="n">
        <x:v>0.06</x:v>
      </x:c>
      <x:c r="C29" s="31" t="n">
        <x:v>0.11</x:v>
      </x:c>
      <x:c r="D29" s="30" t="n">
        <x:v>0.8334</x:v>
      </x:c>
      <x:c r="E29" s="31" t="n">
        <x:v>0.06</x:v>
      </x:c>
      <x:c r="F29" s="31" t="n">
        <x:v>0.07</x:v>
      </x:c>
      <x:c r="G29" s="30" t="n">
        <x:v>0.2042</x:v>
      </x:c>
    </x:row>
    <x:row r="30">
      <x:c r="A30" s="28" t="str">
        <x:v>毛利率</x:v>
      </x:c>
      <x:c r="B30" s="30" t="n">
        <x:v>0.249</x:v>
      </x:c>
      <x:c r="C30" s="30" t="n">
        <x:v>0.4872</x:v>
      </x:c>
      <x:c r="D30" s="30" t="n">
        <x:v>0.2382</x:v>
      </x:c>
      <x:c r="E30" s="30"/>
      <x:c r="F30" s="30"/>
      <x:c r="G30" s="30"/>
    </x:row>
    <x:row r="31" ht="35" customHeight="1">
      <x:c r="A31" s="40" t="str">
        <x:v>重要：出表提高报表可读性与资本结构质量，但百联仍保留15.153%经济权益；模拟出表收益约1.02亿元为非经常性，交易仍待股东会批准。</x:v>
      </x:c>
      <x:c r="B31" s="41" t="str">
        <x:v>重要：出表提高报表可读性与资本结构质量，但百联仍保留15.153%经济权益；模拟出表收益约1.02亿元为非经常性，交易仍待股东会批准。</x:v>
      </x:c>
      <x:c r="C31" s="41" t="str">
        <x:v>重要：出表提高报表可读性与资本结构质量，但百联仍保留15.153%经济权益；模拟出表收益约1.02亿元为非经常性，交易仍待股东会批准。</x:v>
      </x:c>
      <x:c r="D31" s="41" t="str">
        <x:v>重要：出表提高报表可读性与资本结构质量，但百联仍保留15.153%经济权益；模拟出表收益约1.02亿元为非经常性，交易仍待股东会批准。</x:v>
      </x:c>
      <x:c r="E31" s="41" t="str">
        <x:v>重要：出表提高报表可读性与资本结构质量，但百联仍保留15.153%经济权益；模拟出表收益约1.02亿元为非经常性，交易仍待股东会批准。</x:v>
      </x:c>
      <x:c r="F31" s="41" t="str">
        <x:v>重要：出表提高报表可读性与资本结构质量，但百联仍保留15.153%经济权益；模拟出表收益约1.02亿元为非经常性，交易仍待股东会批准。</x:v>
      </x:c>
      <x:c r="G31" s="42" t="str">
        <x:v>重要：出表提高报表可读性与资本结构质量，但百联仍保留15.153%经济权益；模拟出表收益约1.02亿元为非经常性，交易仍待股东会批准。</x:v>
      </x:c>
    </x:row>
  </x:sheetData>
  <x:mergeCells>
    <x:mergeCell ref="A1:G1"/>
    <x:mergeCell ref="A3:G3"/>
    <x:mergeCell ref="A12:G12"/>
    <x:mergeCell ref="A22:G22"/>
    <x:mergeCell ref="A31:G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1" customHeight="1">
      <x:c r="A1" s="5" t="str">
        <x:v>估值假设与市场输入</x:v>
      </x:c>
      <x:c r="B1" s="5" t="str">
        <x:v>估值假设与市场输入</x:v>
      </x:c>
      <x:c r="C1" s="5" t="str">
        <x:v>估值假设与市场输入</x:v>
      </x:c>
      <x:c r="D1" s="5" t="str">
        <x:v>估值假设与市场输入</x:v>
      </x:c>
      <x:c r="E1" s="5" t="str">
        <x:v>估值假设与市场输入</x:v>
      </x:c>
      <x:c r="F1" s="5" t="str">
        <x:v>估值假设与市场输入</x:v>
      </x:c>
      <x:c r="G1" s="5" t="str">
        <x:v>估值假设与市场输入</x:v>
      </x:c>
      <x:c r="H1" s="5" t="str">
        <x:v>估值假设与市场输入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3" t="str">
        <x:v>市场与资产输入</x:v>
      </x:c>
      <x:c r="B3" s="23" t="str">
        <x:v>市场与资产输入</x:v>
      </x:c>
      <x:c r="C3" s="23" t="str">
        <x:v>市场与资产输入</x:v>
      </x:c>
      <x:c r="D3" s="23" t="str">
        <x:v>市场与资产输入</x:v>
      </x:c>
      <x:c r="E3" s="23" t="str">
        <x:v>市场与资产输入</x:v>
      </x:c>
      <x:c r="F3" s="23" t="str">
        <x:v>市场与资产输入</x:v>
      </x:c>
      <x:c r="G3" s="23" t="str">
        <x:v>市场与资产输入</x:v>
      </x:c>
      <x:c r="H3" s="23" t="str">
        <x:v>市场与资产输入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12" t="str">
        <x:v>A股价格（元/股）</x:v>
      </x:c>
      <x:c r="B5" s="44" t="n">
        <x:v>7.78</x:v>
      </x:c>
      <x:c r="C5" s="2"/>
      <x:c r="D5" s="2"/>
      <x:c r="E5" s="2"/>
      <x:c r="F5" s="2"/>
      <x:c r="G5" s="2"/>
      <x:c r="H5" s="2"/>
    </x:row>
    <x:row r="6">
      <x:c r="A6" s="12" t="str">
        <x:v>总股本（十亿股）</x:v>
      </x:c>
      <x:c r="B6" s="45" t="n">
        <x:v>1.784168117</x:v>
      </x:c>
      <x:c r="C6" s="2"/>
      <x:c r="D6" s="2"/>
      <x:c r="E6" s="2"/>
      <x:c r="F6" s="2"/>
      <x:c r="G6" s="2"/>
      <x:c r="H6" s="2"/>
    </x:row>
    <x:row r="7">
      <x:c r="A7" s="12" t="str">
        <x:v>2026H1归母净资产（RMB bn）</x:v>
      </x:c>
      <x:c r="B7" s="46" t="n">
        <x:f>'Historical'!F14</x:f>
        <x:v>20.4482582989</x:v>
      </x:c>
      <x:c r="C7" s="2"/>
      <x:c r="D7" s="2"/>
      <x:c r="E7" s="2"/>
      <x:c r="F7" s="2"/>
      <x:c r="G7" s="2"/>
      <x:c r="H7" s="2"/>
    </x:row>
    <x:row r="8">
      <x:c r="A8" s="12" t="str">
        <x:v>每股净资产（元）</x:v>
      </x:c>
      <x:c r="B8" s="13" t="n">
        <x:f>B7/B6</x:f>
        <x:v>11.460948160693984</x:v>
      </x:c>
      <x:c r="C8" s="2"/>
      <x:c r="D8" s="2"/>
      <x:c r="E8" s="2"/>
      <x:c r="F8" s="2"/>
      <x:c r="G8" s="2"/>
      <x:c r="H8" s="2"/>
    </x:row>
    <x:row r="9">
      <x:c r="A9" s="12" t="str">
        <x:v>当前市净率</x:v>
      </x:c>
      <x:c r="B9" s="43" t="n">
        <x:f>B5/B8</x:f>
        <x:v>0.6788269077668444</x:v>
      </x:c>
      <x:c r="C9" s="2"/>
      <x:c r="D9" s="2"/>
      <x:c r="E9" s="2"/>
      <x:c r="F9" s="2"/>
      <x:c r="G9" s="2"/>
      <x:c r="H9" s="2"/>
    </x:row>
    <x:row r="10">
      <x:c r="A10" s="12" t="str">
        <x:v>当前市值（RMB bn）</x:v>
      </x:c>
      <x:c r="B10" s="13" t="n">
        <x:f>B5*B6</x:f>
        <x:v>13.88082795026</x:v>
      </x:c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3" t="str">
        <x:v>情景驱动</x:v>
      </x:c>
      <x:c r="B12" s="23" t="str">
        <x:v>情景驱动</x:v>
      </x:c>
      <x:c r="C12" s="23" t="str">
        <x:v>情景驱动</x:v>
      </x:c>
      <x:c r="D12" s="23" t="str">
        <x:v>情景驱动</x:v>
      </x:c>
      <x:c r="E12" s="23" t="str">
        <x:v>情景驱动</x:v>
      </x:c>
      <x:c r="F12" s="23" t="str">
        <x:v>情景驱动</x:v>
      </x:c>
      <x:c r="G12" s="23" t="str">
        <x:v>情景驱动</x:v>
      </x:c>
      <x:c r="H12" s="23" t="str">
        <x:v>情景驱动</x:v>
      </x:c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11" t="str">
        <x:v>驱动</x:v>
      </x:c>
      <x:c r="B14" s="11" t="str">
        <x:v>Bear</x:v>
      </x:c>
      <x:c r="C14" s="11" t="str">
        <x:v>Base</x:v>
      </x:c>
      <x:c r="D14" s="11" t="str">
        <x:v>Bull</x:v>
      </x:c>
      <x:c r="E14" s="2"/>
      <x:c r="F14" s="2"/>
      <x:c r="G14" s="2"/>
      <x:c r="H14" s="2"/>
    </x:row>
    <x:row r="15">
      <x:c r="A15" s="12" t="str">
        <x:v>正常化归母利润（RMB bn）</x:v>
      </x:c>
      <x:c r="B15" s="44" t="n">
        <x:v>0.3</x:v>
      </x:c>
      <x:c r="C15" s="44" t="n">
        <x:v>0.55</x:v>
      </x:c>
      <x:c r="D15" s="44" t="n">
        <x:v>0.8</x:v>
      </x:c>
      <x:c r="E15" s="2"/>
      <x:c r="F15" s="2"/>
      <x:c r="G15" s="2"/>
      <x:c r="H15" s="2"/>
    </x:row>
    <x:row r="16">
      <x:c r="A16" s="12" t="str">
        <x:v>正常化P/E</x:v>
      </x:c>
      <x:c r="B16" s="48" t="n">
        <x:v>12</x:v>
      </x:c>
      <x:c r="C16" s="48" t="n">
        <x:v>15</x:v>
      </x:c>
      <x:c r="D16" s="48" t="n">
        <x:v>18</x:v>
      </x:c>
      <x:c r="E16" s="2"/>
      <x:c r="F16" s="2"/>
      <x:c r="G16" s="2"/>
      <x:c r="H16" s="2"/>
    </x:row>
    <x:row r="17">
      <x:c r="A17" s="12" t="str">
        <x:v>归母净资产P/B</x:v>
      </x:c>
      <x:c r="B17" s="48" t="n">
        <x:v>0.55</x:v>
      </x:c>
      <x:c r="C17" s="48" t="n">
        <x:v>0.8</x:v>
      </x:c>
      <x:c r="D17" s="48" t="n">
        <x:v>1</x:v>
      </x:c>
      <x:c r="E17" s="2"/>
      <x:c r="F17" s="2"/>
      <x:c r="G17" s="2"/>
      <x:c r="H17" s="2"/>
    </x:row>
    <x:row r="18">
      <x:c r="A18" s="12" t="str">
        <x:v>净资产法权重</x:v>
      </x:c>
      <x:c r="B18" s="49" t="n">
        <x:v>0.6</x:v>
      </x:c>
      <x:c r="C18" s="49" t="n">
        <x:v>0.6</x:v>
      </x:c>
      <x:c r="D18" s="49" t="n">
        <x:v>0.6</x:v>
      </x:c>
      <x:c r="E18" s="2"/>
      <x:c r="F18" s="2"/>
      <x:c r="G18" s="2"/>
      <x:c r="H18" s="2"/>
    </x:row>
    <x:row r="19">
      <x:c r="A19" s="12" t="str">
        <x:v>盈利法权重</x:v>
      </x:c>
      <x:c r="B19" s="49" t="n">
        <x:v>0.4</x:v>
      </x:c>
      <x:c r="C19" s="49" t="n">
        <x:v>0.4</x:v>
      </x:c>
      <x:c r="D19" s="49" t="n">
        <x:v>0.4</x:v>
      </x:c>
      <x:c r="E19" s="2"/>
      <x:c r="F19" s="2"/>
      <x:c r="G19" s="2"/>
      <x:c r="H19" s="2"/>
    </x:row>
    <x:row r="20">
      <x:c r="A20" s="28" t="str">
        <x:v>资产逻辑</x:v>
      </x:c>
      <x:c r="B20" s="28" t="str">
        <x:v>折价维持</x:v>
      </x:c>
      <x:c r="C20" s="28" t="str">
        <x:v>联华边界清晰、折价收窄</x:v>
      </x:c>
      <x:c r="D20" s="28" t="str">
        <x:v>接近账面价值</x:v>
      </x:c>
      <x:c r="E20" s="2"/>
      <x:c r="F20" s="2"/>
      <x:c r="G20" s="2"/>
      <x:c r="H20" s="2"/>
    </x:row>
    <x:row r="21">
      <x:c r="A21" s="28" t="str">
        <x:v>经营逻辑</x:v>
      </x:c>
      <x:c r="B21" s="28" t="str">
        <x:v>核心零售继续下滑</x:v>
      </x:c>
      <x:c r="C21" s="28" t="str">
        <x:v>奥莱增长+利润温和修复</x:v>
      </x:c>
      <x:c r="D21" s="28" t="str">
        <x:v>利润与资本回报显著修复</x:v>
      </x:c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28" customHeight="1">
      <x:c r="A23" s="58" t="str">
        <x:v>颜色图例：蓝字=可编辑输入；绿字=跨表引用；黑字=公式或历史数据。模型按法定总股本计算，未提前计入尚未注销的回购股份。</x:v>
      </x:c>
      <x:c r="B23" s="59" t="str">
        <x:v>颜色图例：蓝字=可编辑输入；绿字=跨表引用；黑字=公式或历史数据。模型按法定总股本计算，未提前计入尚未注销的回购股份。</x:v>
      </x:c>
      <x:c r="C23" s="59" t="str">
        <x:v>颜色图例：蓝字=可编辑输入；绿字=跨表引用；黑字=公式或历史数据。模型按法定总股本计算，未提前计入尚未注销的回购股份。</x:v>
      </x:c>
      <x:c r="D23" s="59" t="str">
        <x:v>颜色图例：蓝字=可编辑输入；绿字=跨表引用；黑字=公式或历史数据。模型按法定总股本计算，未提前计入尚未注销的回购股份。</x:v>
      </x:c>
      <x:c r="E23" s="59" t="str">
        <x:v>颜色图例：蓝字=可编辑输入；绿字=跨表引用；黑字=公式或历史数据。模型按法定总股本计算，未提前计入尚未注销的回购股份。</x:v>
      </x:c>
      <x:c r="F23" s="59" t="str">
        <x:v>颜色图例：蓝字=可编辑输入；绿字=跨表引用；黑字=公式或历史数据。模型按法定总股本计算，未提前计入尚未注销的回购股份。</x:v>
      </x:c>
      <x:c r="G23" s="59" t="str">
        <x:v>颜色图例：蓝字=可编辑输入；绿字=跨表引用；黑字=公式或历史数据。模型按法定总股本计算，未提前计入尚未注销的回购股份。</x:v>
      </x:c>
      <x:c r="H23" s="60" t="str">
        <x:v>颜色图例：蓝字=可编辑输入；绿字=跨表引用；黑字=公式或历史数据。模型按法定总股本计算，未提前计入尚未注销的回购股份。</x:v>
      </x:c>
    </x:row>
  </x:sheetData>
  <x:mergeCells>
    <x:mergeCell ref="A1:H1"/>
    <x:mergeCell ref="A3:H3"/>
    <x:mergeCell ref="A12:H12"/>
    <x:mergeCell ref="A23:H23"/>
  </x:mergeCells>
  <x:pageMargins left="0.7" right="0.7" top="0.75" bottom="0.75" header="0.3" footer="0.3"/>
  <x:legacyDrawing xmlns:r="http://schemas.openxmlformats.org/officeDocument/2006/relationships" r:id="R3545fff18d2f44d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1" customHeight="1">
      <x:c r="A1" s="5" t="str">
        <x:v>折价净资产 + 正常化盈利估值</x:v>
      </x:c>
      <x:c r="B1" s="5" t="str">
        <x:v>折价净资产 + 正常化盈利估值</x:v>
      </x:c>
      <x:c r="C1" s="5" t="str">
        <x:v>折价净资产 + 正常化盈利估值</x:v>
      </x:c>
      <x:c r="D1" s="5" t="str">
        <x:v>折价净资产 + 正常化盈利估值</x:v>
      </x:c>
      <x:c r="E1" s="5" t="str">
        <x:v>折价净资产 + 正常化盈利估值</x:v>
      </x:c>
      <x:c r="F1" s="5" t="str">
        <x:v>折价净资产 + 正常化盈利估值</x:v>
      </x:c>
      <x:c r="G1" s="5" t="str">
        <x:v>折价净资产 + 正常化盈利估值</x:v>
      </x:c>
    </x:row>
    <x:row r="2">
      <x:c r="A2" s="2"/>
      <x:c r="B2" s="2"/>
      <x:c r="C2" s="2"/>
      <x:c r="D2" s="2"/>
      <x:c r="E2" s="2"/>
      <x:c r="F2" s="2"/>
      <x:c r="G2" s="2"/>
    </x:row>
    <x:row r="3">
      <x:c r="A3" s="11" t="str">
        <x:v>情景</x:v>
      </x:c>
      <x:c r="B3" s="11" t="str">
        <x:v>净资产价值/股</x:v>
      </x:c>
      <x:c r="C3" s="11" t="str">
        <x:v>盈利价值/股</x:v>
      </x:c>
      <x:c r="D3" s="11" t="str">
        <x:v>净资产权重</x:v>
      </x:c>
      <x:c r="E3" s="11" t="str">
        <x:v>盈利权重</x:v>
      </x:c>
      <x:c r="F3" s="11" t="str">
        <x:v>综合价值/股</x:v>
      </x:c>
      <x:c r="G3" s="11" t="str">
        <x:v>相对当前价格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 t="str">
        <x:v>Bear</x:v>
      </x:c>
      <x:c r="B5" s="13" t="n">
        <x:f>Assumptions!$B$8*Assumptions!B17</x:f>
        <x:v>6.303521488381692</x:v>
      </x:c>
      <x:c r="C5" s="13" t="n">
        <x:f>Assumptions!B15*Assumptions!B16/Assumptions!$B$6</x:f>
        <x:v>2.017747075344694</x:v>
      </x:c>
      <x:c r="D5" s="61" t="n">
        <x:f>Assumptions!B18</x:f>
        <x:v>0.6</x:v>
      </x:c>
      <x:c r="E5" s="61" t="n">
        <x:f>Assumptions!B19</x:f>
        <x:v>0.4</x:v>
      </x:c>
      <x:c r="F5" s="13" t="n">
        <x:f>B5*D5+C5*E5</x:f>
        <x:v>4.589211723166893</x:v>
      </x:c>
      <x:c r="G5" s="14" t="n">
        <x:f>F5/Assumptions!$B$5-1</x:f>
        <x:v>-0.4101270278705793</x:v>
      </x:c>
    </x:row>
    <x:row r="6">
      <x:c r="A6" s="19" t="str">
        <x:v>Base</x:v>
      </x:c>
      <x:c r="B6" s="20" t="n">
        <x:f>Assumptions!$B$8*Assumptions!C17</x:f>
        <x:v>9.168758528555188</x:v>
      </x:c>
      <x:c r="C6" s="20" t="n">
        <x:f>Assumptions!C15*Assumptions!C16/Assumptions!$B$6</x:f>
        <x:v>4.62400371433159</x:v>
      </x:c>
      <x:c r="D6" s="62" t="n">
        <x:f>Assumptions!C18</x:f>
        <x:v>0.6</x:v>
      </x:c>
      <x:c r="E6" s="62" t="n">
        <x:f>Assumptions!C19</x:f>
        <x:v>0.4</x:v>
      </x:c>
      <x:c r="F6" s="20" t="n">
        <x:f>B6*D6+C6*E6</x:f>
        <x:v>7.350856602865749</x:v>
      </x:c>
      <x:c r="G6" s="25" t="n">
        <x:f>F6/Assumptions!$B$5-1</x:f>
        <x:v>-0.055159819683065714</x:v>
      </x:c>
    </x:row>
    <x:row r="7">
      <x:c r="A7" s="12" t="str">
        <x:v>Bull</x:v>
      </x:c>
      <x:c r="B7" s="13" t="n">
        <x:f>Assumptions!$B$8*Assumptions!D17</x:f>
        <x:v>11.460948160693984</x:v>
      </x:c>
      <x:c r="C7" s="13" t="n">
        <x:f>Assumptions!D15*Assumptions!D16/Assumptions!$B$6</x:f>
        <x:v>8.070988301378776</x:v>
      </x:c>
      <x:c r="D7" s="61" t="n">
        <x:f>Assumptions!D18</x:f>
        <x:v>0.6</x:v>
      </x:c>
      <x:c r="E7" s="61" t="n">
        <x:f>Assumptions!D19</x:f>
        <x:v>0.4</x:v>
      </x:c>
      <x:c r="F7" s="13" t="n">
        <x:f>B7*D7+C7*E7</x:f>
        <x:v>10.1049642169679</x:v>
      </x:c>
      <x:c r="G7" s="14" t="n">
        <x:f>F7/Assumptions!$B$5-1</x:f>
        <x:v>0.29883858829921595</x:v>
      </x:c>
    </x:row>
    <x:row r="8">
      <x:c r="A8" s="2"/>
      <x:c r="B8" s="2"/>
      <x:c r="C8" s="2"/>
      <x:c r="D8" s="2"/>
      <x:c r="E8" s="2"/>
      <x:c r="F8" s="2"/>
      <x:c r="G8" s="2"/>
    </x:row>
    <x:row r="9">
      <x:c r="A9" s="2"/>
      <x:c r="B9" s="2"/>
      <x:c r="C9" s="2"/>
      <x:c r="D9" s="2"/>
      <x:c r="E9" s="2"/>
      <x:c r="F9" s="2"/>
      <x:c r="G9" s="2"/>
    </x:row>
    <x:row r="10">
      <x:c r="A10" s="23" t="str">
        <x:v>基准正常化利润下的P/B—P/E敏感性（元/股）</x:v>
      </x:c>
      <x:c r="B10" s="23" t="str">
        <x:v>基准正常化利润下的P/B—P/E敏感性（元/股）</x:v>
      </x:c>
      <x:c r="C10" s="23" t="str">
        <x:v>基准正常化利润下的P/B—P/E敏感性（元/股）</x:v>
      </x:c>
      <x:c r="D10" s="23" t="str">
        <x:v>基准正常化利润下的P/B—P/E敏感性（元/股）</x:v>
      </x:c>
      <x:c r="E10" s="23" t="str">
        <x:v>基准正常化利润下的P/B—P/E敏感性（元/股）</x:v>
      </x:c>
      <x:c r="F10" s="23" t="str">
        <x:v>基准正常化利润下的P/B—P/E敏感性（元/股）</x:v>
      </x:c>
      <x:c r="G10" s="23" t="str">
        <x:v>基准正常化利润下的P/B—P/E敏感性（元/股）</x:v>
      </x:c>
    </x:row>
    <x:row r="11">
      <x:c r="A11" s="2"/>
      <x:c r="B11" s="2"/>
      <x:c r="C11" s="2"/>
      <x:c r="D11" s="2"/>
      <x:c r="E11" s="2"/>
      <x:c r="F11" s="2"/>
      <x:c r="G11" s="2"/>
    </x:row>
    <x:row r="12">
      <x:c r="A12" s="11" t="str">
        <x:v>P/B  P/E</x:v>
      </x:c>
      <x:c r="B12" s="11" t="n">
        <x:v>12</x:v>
      </x:c>
      <x:c r="C12" s="11" t="n">
        <x:v>14</x:v>
      </x:c>
      <x:c r="D12" s="11" t="n">
        <x:v>15</x:v>
      </x:c>
      <x:c r="E12" s="11" t="n">
        <x:v>16</x:v>
      </x:c>
      <x:c r="F12" s="11" t="n">
        <x:v>18</x:v>
      </x:c>
      <x:c r="G12" s="11" t="str">
        <x:v>说明</x:v>
      </x:c>
    </x:row>
    <x:row r="13">
      <x:c r="A13" s="43" t="n">
        <x:v>0.6</x:v>
      </x:c>
      <x:c r="B13" s="13" t="n">
        <x:f>$A13*Assumptions!$B$8*Assumptions!$C$18+B$12*Assumptions!$C$15/Assumptions!$B$6*Assumptions!$C$19</x:f>
        <x:v>5.605622526435944</x:v>
      </x:c>
      <x:c r="C13" s="13" t="n">
        <x:f>$A13*Assumptions!$B$8*Assumptions!$C$18+C$12*Assumptions!$C$15/Assumptions!$B$6*Assumptions!$C$19</x:f>
        <x:v>5.852236057866961</x:v>
      </x:c>
      <x:c r="D13" s="13" t="n">
        <x:f>$A13*Assumptions!$B$8*Assumptions!$C$18+D$12*Assumptions!$C$15/Assumptions!$B$6*Assumptions!$C$19</x:f>
        <x:v>5.975542823582471</x:v>
      </x:c>
      <x:c r="E13" s="13" t="n">
        <x:f>$A13*Assumptions!$B$8*Assumptions!$C$18+E$12*Assumptions!$C$15/Assumptions!$B$6*Assumptions!$C$19</x:f>
        <x:v>6.09884958929798</x:v>
      </x:c>
      <x:c r="F13" s="13" t="n">
        <x:f>$A13*Assumptions!$B$8*Assumptions!$C$18+F$12*Assumptions!$C$15/Assumptions!$B$6*Assumptions!$C$19</x:f>
        <x:v>6.345463120728998</x:v>
      </x:c>
      <x:c r="G13" s="12" t="str">
        <x:v>深折价</x:v>
      </x:c>
    </x:row>
    <x:row r="14">
      <x:c r="A14" s="43" t="n">
        <x:v>0.7</x:v>
      </x:c>
      <x:c r="B14" s="13" t="n">
        <x:f>$A14*Assumptions!$B$8*Assumptions!$C$18+B$12*Assumptions!$C$15/Assumptions!$B$6*Assumptions!$C$19</x:f>
        <x:v>6.293279416077583</x:v>
      </x:c>
      <x:c r="C14" s="13" t="n">
        <x:f>$A14*Assumptions!$B$8*Assumptions!$C$18+C$12*Assumptions!$C$15/Assumptions!$B$6*Assumptions!$C$19</x:f>
        <x:v>6.5398929475086005</x:v>
      </x:c>
      <x:c r="D14" s="13" t="n">
        <x:f>$A14*Assumptions!$B$8*Assumptions!$C$18+D$12*Assumptions!$C$15/Assumptions!$B$6*Assumptions!$C$19</x:f>
        <x:v>6.66319971322411</x:v>
      </x:c>
      <x:c r="E14" s="13" t="n">
        <x:f>$A14*Assumptions!$B$8*Assumptions!$C$18+E$12*Assumptions!$C$15/Assumptions!$B$6*Assumptions!$C$19</x:f>
        <x:v>6.786506478939619</x:v>
      </x:c>
      <x:c r="F14" s="13" t="n">
        <x:f>$A14*Assumptions!$B$8*Assumptions!$C$18+F$12*Assumptions!$C$15/Assumptions!$B$6*Assumptions!$C$19</x:f>
        <x:v>7.033120010370637</x:v>
      </x:c>
      <x:c r="G14" s="12" t="str">
        <x:v>偏保守</x:v>
      </x:c>
    </x:row>
    <x:row r="15">
      <x:c r="A15" s="63" t="n">
        <x:v>0.8</x:v>
      </x:c>
      <x:c r="B15" s="20" t="n">
        <x:f>$A15*Assumptions!$B$8*Assumptions!$C$18+B$12*Assumptions!$C$15/Assumptions!$B$6*Assumptions!$C$19</x:f>
        <x:v>6.980936305719222</x:v>
      </x:c>
      <x:c r="C15" s="20" t="n">
        <x:f>$A15*Assumptions!$B$8*Assumptions!$C$18+C$12*Assumptions!$C$15/Assumptions!$B$6*Assumptions!$C$19</x:f>
        <x:v>7.22754983715024</x:v>
      </x:c>
      <x:c r="D15" s="20" t="n">
        <x:f>$A15*Assumptions!$B$8*Assumptions!$C$18+D$12*Assumptions!$C$15/Assumptions!$B$6*Assumptions!$C$19</x:f>
        <x:v>7.350856602865749</x:v>
      </x:c>
      <x:c r="E15" s="20" t="n">
        <x:f>$A15*Assumptions!$B$8*Assumptions!$C$18+E$12*Assumptions!$C$15/Assumptions!$B$6*Assumptions!$C$19</x:f>
        <x:v>7.474163368581258</x:v>
      </x:c>
      <x:c r="F15" s="20" t="n">
        <x:f>$A15*Assumptions!$B$8*Assumptions!$C$18+F$12*Assumptions!$C$15/Assumptions!$B$6*Assumptions!$C$19</x:f>
        <x:v>7.720776900012276</x:v>
      </x:c>
      <x:c r="G15" s="19" t="str">
        <x:v>基准P/B</x:v>
      </x:c>
    </x:row>
    <x:row r="16">
      <x:c r="A16" s="43" t="n">
        <x:v>0.9</x:v>
      </x:c>
      <x:c r="B16" s="13" t="n">
        <x:f>$A16*Assumptions!$B$8*Assumptions!$C$18+B$12*Assumptions!$C$15/Assumptions!$B$6*Assumptions!$C$19</x:f>
        <x:v>7.668593195360861</x:v>
      </x:c>
      <x:c r="C16" s="13" t="n">
        <x:f>$A16*Assumptions!$B$8*Assumptions!$C$18+C$12*Assumptions!$C$15/Assumptions!$B$6*Assumptions!$C$19</x:f>
        <x:v>7.915206726791879</x:v>
      </x:c>
      <x:c r="D16" s="13" t="n">
        <x:f>$A16*Assumptions!$B$8*Assumptions!$C$18+D$12*Assumptions!$C$15/Assumptions!$B$6*Assumptions!$C$19</x:f>
        <x:v>8.038513492507388</x:v>
      </x:c>
      <x:c r="E16" s="13" t="n">
        <x:f>$A16*Assumptions!$B$8*Assumptions!$C$18+E$12*Assumptions!$C$15/Assumptions!$B$6*Assumptions!$C$19</x:f>
        <x:v>8.161820258222898</x:v>
      </x:c>
      <x:c r="F16" s="13" t="n">
        <x:f>$A16*Assumptions!$B$8*Assumptions!$C$18+F$12*Assumptions!$C$15/Assumptions!$B$6*Assumptions!$C$19</x:f>
        <x:v>8.408433789653916</x:v>
      </x:c>
      <x:c r="G16" s="12" t="str">
        <x:v>折价收窄</x:v>
      </x:c>
    </x:row>
    <x:row r="17">
      <x:c r="A17" s="43" t="n">
        <x:v>1</x:v>
      </x:c>
      <x:c r="B17" s="13" t="n">
        <x:f>$A17*Assumptions!$B$8*Assumptions!$C$18+B$12*Assumptions!$C$15/Assumptions!$B$6*Assumptions!$C$19</x:f>
        <x:v>8.3562500850025</x:v>
      </x:c>
      <x:c r="C17" s="13" t="n">
        <x:f>$A17*Assumptions!$B$8*Assumptions!$C$18+C$12*Assumptions!$C$15/Assumptions!$B$6*Assumptions!$C$19</x:f>
        <x:v>8.602863616433519</x:v>
      </x:c>
      <x:c r="D17" s="13" t="n">
        <x:f>$A17*Assumptions!$B$8*Assumptions!$C$18+D$12*Assumptions!$C$15/Assumptions!$B$6*Assumptions!$C$19</x:f>
        <x:v>8.726170382149027</x:v>
      </x:c>
      <x:c r="E17" s="13" t="n">
        <x:f>$A17*Assumptions!$B$8*Assumptions!$C$18+E$12*Assumptions!$C$15/Assumptions!$B$6*Assumptions!$C$19</x:f>
        <x:v>8.849477147864537</x:v>
      </x:c>
      <x:c r="F17" s="13" t="n">
        <x:f>$A17*Assumptions!$B$8*Assumptions!$C$18+F$12*Assumptions!$C$15/Assumptions!$B$6*Assumptions!$C$19</x:f>
        <x:v>9.096090679295553</x:v>
      </x:c>
      <x:c r="G17" s="12" t="str">
        <x:v>接近账面</x:v>
      </x:c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3" t="str">
        <x:v>估值限制</x:v>
      </x:c>
      <x:c r="B20" s="23" t="str">
        <x:v>估值限制</x:v>
      </x:c>
      <x:c r="C20" s="23" t="str">
        <x:v>估值限制</x:v>
      </x:c>
      <x:c r="D20" s="23" t="str">
        <x:v>估值限制</x:v>
      </x:c>
      <x:c r="E20" s="23" t="str">
        <x:v>估值限制</x:v>
      </x:c>
      <x:c r="F20" s="23" t="str">
        <x:v>估值限制</x:v>
      </x:c>
      <x:c r="G20" s="23" t="str">
        <x:v>估值限制</x:v>
      </x:c>
    </x:row>
    <x:row r="21">
      <x:c r="A21" s="2"/>
      <x:c r="B21" s="2"/>
      <x:c r="C21" s="2"/>
      <x:c r="D21" s="2"/>
      <x:c r="E21" s="2"/>
      <x:c r="F21" s="2"/>
      <x:c r="G21" s="2"/>
    </x:row>
    <x:row r="22" ht="24" customHeight="1">
      <x:c r="A22" s="81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B22" s="82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C22" s="82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D22" s="82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E22" s="82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F22" s="82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G22" s="83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</x:row>
    <x:row r="23" ht="24" customHeight="1">
      <x:c r="A23" s="84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B23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C23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D23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E23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F23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G23" s="86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</x:row>
    <x:row r="24" ht="24" customHeight="1">
      <x:c r="A24" s="84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B24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C24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D24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E24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F24" s="85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G24" s="86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</x:row>
    <x:row r="25" ht="24" customHeight="1">
      <x:c r="A25" s="87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B25" s="88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C25" s="88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D25" s="88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E25" s="88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F25" s="88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  <x:c r="G25" s="89" t="str">
        <x:v>本模型不直接加入未经独立评估的物业升值，也不把全部现金、定期存款和财务公司存款视为可自由分配。正常化利润为分析情景，不是一致预期。联华交易仍待股东会批准，出表时点、正式会计损益和持续关联安排需要在交易完成后再次更新。</x:v>
      </x:c>
    </x:row>
  </x:sheetData>
  <x:mergeCells>
    <x:mergeCell ref="A1:G1"/>
    <x:mergeCell ref="A10:G10"/>
    <x:mergeCell ref="A20:G20"/>
    <x:mergeCell ref="A22:G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1" hidden="0" customWidth="1"/>
    <x:col min="7" max="7" width="34" hidden="0" customWidth="1"/>
  </x:cols>
  <x:sheetData>
    <x:row r="1" ht="31" customHeight="1">
      <x:c r="A1" s="5" t="str">
        <x:v>模型检查</x:v>
      </x:c>
      <x:c r="B1" s="5" t="str">
        <x:v>模型检查</x:v>
      </x:c>
      <x:c r="C1" s="5" t="str">
        <x:v>模型检查</x:v>
      </x:c>
      <x:c r="D1" s="5" t="str">
        <x:v>模型检查</x:v>
      </x:c>
      <x:c r="E1" s="5" t="str">
        <x:v>模型检查</x:v>
      </x:c>
      <x:c r="F1" s="5" t="str">
        <x:v>模型检查</x:v>
      </x:c>
      <x:c r="G1" s="5" t="str">
        <x:v>模型检查</x:v>
      </x:c>
    </x:row>
    <x:row r="2">
      <x:c r="A2" s="22" t="str">
        <x:v>总体模型状态</x:v>
      </x:c>
      <x:c r="B2" s="22" t="str">
        <x:v>总体模型状态</x:v>
      </x:c>
      <x:c r="C2" s="22" t="str">
        <x:v>总体模型状态</x:v>
      </x:c>
      <x:c r="D2" s="22" t="str">
        <x:v>总体模型状态</x:v>
      </x:c>
      <x:c r="E2" s="22" t="str">
        <x:v>总体模型状态</x:v>
      </x:c>
      <x:c r="F2" s="91" t="str">
        <x:f>IF(COUNTIF(F5:F15,"ERROR")=0,"OK","ERROR")</x:f>
        <x:v>OK</x:v>
      </x:c>
      <x:c r="G2" s="2"/>
    </x:row>
    <x:row r="3">
      <x:c r="A3" s="2"/>
      <x:c r="B3" s="2"/>
      <x:c r="C3" s="2"/>
      <x:c r="D3" s="2"/>
      <x:c r="E3" s="2"/>
      <x:c r="F3" s="92"/>
      <x:c r="G3" s="2"/>
    </x:row>
    <x:row r="4">
      <x:c r="A4" s="11" t="str">
        <x:v>检查项</x:v>
      </x:c>
      <x:c r="B4" s="11" t="str">
        <x:v>实际值</x:v>
      </x:c>
      <x:c r="C4" s="11" t="str">
        <x:v>预期/阈值</x:v>
      </x:c>
      <x:c r="D4" s="11" t="str">
        <x:v>差异</x:v>
      </x:c>
      <x:c r="E4" s="11" t="str">
        <x:v>容差</x:v>
      </x:c>
      <x:c r="F4" s="93" t="str">
        <x:v>状态</x:v>
      </x:c>
      <x:c r="G4" s="11" t="str">
        <x:v>说明</x:v>
      </x:c>
    </x:row>
    <x:row r="5">
      <x:c r="A5" s="12" t="str">
        <x:v>估值权重合计</x:v>
      </x:c>
      <x:c r="B5" s="90" t="n">
        <x:f>Assumptions!C18+Assumptions!C19</x:f>
        <x:v>1</x:v>
      </x:c>
      <x:c r="C5" s="90" t="n">
        <x:v>1</x:v>
      </x:c>
      <x:c r="D5" s="90" t="n">
        <x:f>B5-C5</x:f>
        <x:v>0</x:v>
      </x:c>
      <x:c r="E5" s="90" t="n">
        <x:v>0.0001</x:v>
      </x:c>
      <x:c r="F5" s="94" t="str">
        <x:f>IF(ABS(D5)&lt;=E5,"OK","ERROR")</x:f>
        <x:v>OK</x:v>
      </x:c>
      <x:c r="G5" s="12" t="str">
        <x:v>净资产与盈利权重应为100%</x:v>
      </x:c>
    </x:row>
    <x:row r="6">
      <x:c r="A6" s="12" t="str">
        <x:v>2026H1毛利桥</x:v>
      </x:c>
      <x:c r="B6" s="90" t="n">
        <x:f>Historical!F4-Historical!F5</x:f>
        <x:v>2.9098420106400003</x:v>
      </x:c>
      <x:c r="C6" s="90" t="n">
        <x:f>Historical!F6</x:f>
        <x:v>2.9098420106400003</x:v>
      </x:c>
      <x:c r="D6" s="90" t="n">
        <x:f>B6-C6</x:f>
        <x:v>0</x:v>
      </x:c>
      <x:c r="E6" s="90" t="n">
        <x:v>0.0001</x:v>
      </x:c>
      <x:c r="F6" s="94" t="str">
        <x:f>IF(ABS(D6)&lt;=E6,"OK","ERROR")</x:f>
        <x:v>OK</x:v>
      </x:c>
      <x:c r="G6" s="12" t="str">
        <x:v>收入减成本等于毛利</x:v>
      </x:c>
    </x:row>
    <x:row r="7">
      <x:c r="A7" s="12" t="str">
        <x:v>2026H1自由现金流桥</x:v>
      </x:c>
      <x:c r="B7" s="90" t="n">
        <x:f>Historical!F11-Historical!F12</x:f>
        <x:v>-0.74227250399</x:v>
      </x:c>
      <x:c r="C7" s="90" t="n">
        <x:f>Historical!F13</x:f>
        <x:v>-0.74227250399</x:v>
      </x:c>
      <x:c r="D7" s="90" t="n">
        <x:f>B7-C7</x:f>
        <x:v>0</x:v>
      </x:c>
      <x:c r="E7" s="90" t="n">
        <x:v>0.0001</x:v>
      </x:c>
      <x:c r="F7" s="94" t="str">
        <x:f>IF(ABS(D7)&lt;=E7,"OK","ERROR")</x:f>
        <x:v>OK</x:v>
      </x:c>
      <x:c r="G7" s="12" t="str">
        <x:v>CFO减长期资产支出</x:v>
      </x:c>
    </x:row>
    <x:row r="8">
      <x:c r="A8" s="12" t="str">
        <x:v>2026H1分业态收入合计</x:v>
      </x:c>
      <x:c r="B8" s="90" t="n">
        <x:f>Historical!C35</x:f>
        <x:v>12.053225999999999</x:v>
      </x:c>
      <x:c r="C8" s="90" t="n">
        <x:f>Historical!F4</x:f>
        <x:v>12.05322590807</x:v>
      </x:c>
      <x:c r="D8" s="90" t="n">
        <x:f>B8-C8</x:f>
        <x:v>9.192999783635969e-8</x:v>
      </x:c>
      <x:c r="E8" s="90" t="n">
        <x:v>0.0001</x:v>
      </x:c>
      <x:c r="F8" s="94" t="str">
        <x:f>IF(ABS(D8)&lt;=E8,"OK","ERROR")</x:f>
        <x:v>OK</x:v>
      </x:c>
      <x:c r="G8" s="12" t="str">
        <x:v>分业态合计对总收入</x:v>
      </x:c>
    </x:row>
    <x:row r="9">
      <x:c r="A9" s="12" t="str">
        <x:v>2025备考收入降幅</x:v>
      </x:c>
      <x:c r="B9" s="90" t="n">
        <x:f>'Lianhua Bridge'!D25</x:f>
        <x:v>-0.7707</x:v>
      </x:c>
      <x:c r="C9" s="90" t="n">
        <x:v>-0.7707</x:v>
      </x:c>
      <x:c r="D9" s="90" t="n">
        <x:f>B9-C9</x:f>
        <x:v>0</x:v>
      </x:c>
      <x:c r="E9" s="90" t="n">
        <x:v>0.001</x:v>
      </x:c>
      <x:c r="F9" s="94" t="str">
        <x:f>IF(ABS(D9)&lt;=E9,"OK","ERROR")</x:f>
        <x:v>OK</x:v>
      </x:c>
      <x:c r="G9" s="12" t="str">
        <x:v>重组报告披露变化</x:v>
      </x:c>
    </x:row>
    <x:row r="10">
      <x:c r="A10" s="12" t="str">
        <x:v>2025备考归母利润增幅</x:v>
      </x:c>
      <x:c r="B10" s="90" t="n">
        <x:f>'Lianhua Bridge'!D27</x:f>
        <x:v>0.0473</x:v>
      </x:c>
      <x:c r="C10" s="90" t="n">
        <x:v>0.0473</x:v>
      </x:c>
      <x:c r="D10" s="90" t="n">
        <x:f>B10-C10</x:f>
        <x:v>0</x:v>
      </x:c>
      <x:c r="E10" s="90" t="n">
        <x:v>0.001</x:v>
      </x:c>
      <x:c r="F10" s="94" t="str">
        <x:f>IF(ABS(D10)&lt;=E10,"OK","ERROR")</x:f>
        <x:v>OK</x:v>
      </x:c>
      <x:c r="G10" s="12" t="str">
        <x:v>重组报告披露变化</x:v>
      </x:c>
    </x:row>
    <x:row r="11">
      <x:c r="A11" s="12" t="str">
        <x:v>股份数为正</x:v>
      </x:c>
      <x:c r="B11" s="90" t="n">
        <x:f>Assumptions!B6</x:f>
        <x:v>1.784168117</x:v>
      </x:c>
      <x:c r="C11" s="90" t="n">
        <x:v>0</x:v>
      </x:c>
      <x:c r="D11" s="90" t="n">
        <x:f>B11-C11</x:f>
        <x:v>1.784168117</x:v>
      </x:c>
      <x:c r="E11" s="90" t="n">
        <x:v>0</x:v>
      </x:c>
      <x:c r="F11" s="94" t="str">
        <x:f>IF(B11&gt;C11,"OK","ERROR")</x:f>
        <x:v>OK</x:v>
      </x:c>
      <x:c r="G11" s="12" t="str">
        <x:v>总股本必须为正</x:v>
      </x:c>
    </x:row>
    <x:row r="12">
      <x:c r="A12" s="12" t="str">
        <x:v>市场价格为正</x:v>
      </x:c>
      <x:c r="B12" s="90" t="n">
        <x:f>Assumptions!B5</x:f>
        <x:v>7.78</x:v>
      </x:c>
      <x:c r="C12" s="90" t="n">
        <x:v>0</x:v>
      </x:c>
      <x:c r="D12" s="90" t="n">
        <x:f>B12-C12</x:f>
        <x:v>7.78</x:v>
      </x:c>
      <x:c r="E12" s="90" t="n">
        <x:v>0</x:v>
      </x:c>
      <x:c r="F12" s="94" t="str">
        <x:f>IF(B12&gt;C12,"OK","ERROR")</x:f>
        <x:v>OK</x:v>
      </x:c>
      <x:c r="G12" s="12" t="str">
        <x:v>市场输入必须为正</x:v>
      </x:c>
    </x:row>
    <x:row r="13">
      <x:c r="A13" s="12" t="str">
        <x:v>情景价值递增</x:v>
      </x:c>
      <x:c r="B13" s="90" t="n">
        <x:f>Valuation!F7-Valuation!F5</x:f>
        <x:v>5.515752493801007</x:v>
      </x:c>
      <x:c r="C13" s="90" t="n">
        <x:v>0</x:v>
      </x:c>
      <x:c r="D13" s="90" t="n">
        <x:f>B13-C13</x:f>
        <x:v>5.515752493801007</x:v>
      </x:c>
      <x:c r="E13" s="90" t="n">
        <x:v>0</x:v>
      </x:c>
      <x:c r="F13" s="94" t="str">
        <x:f>IF(B13&gt;C13,"OK","ERROR")</x:f>
        <x:v>OK</x:v>
      </x:c>
      <x:c r="G13" s="12" t="str">
        <x:v>Bull必须高于Bear</x:v>
      </x:c>
    </x:row>
    <x:row r="14">
      <x:c r="A14" s="12" t="str">
        <x:v>当前P/B复核</x:v>
      </x:c>
      <x:c r="B14" s="90" t="n">
        <x:f>Assumptions!B9</x:f>
        <x:v>0.6788269077668444</x:v>
      </x:c>
      <x:c r="C14" s="90" t="n">
        <x:f>Assumptions!B5/Assumptions!B8</x:f>
        <x:v>0.6788269077668444</x:v>
      </x:c>
      <x:c r="D14" s="90" t="n">
        <x:f>B14-C14</x:f>
        <x:v>0</x:v>
      </x:c>
      <x:c r="E14" s="90" t="n">
        <x:v>0.0001</x:v>
      </x:c>
      <x:c r="F14" s="94" t="str">
        <x:f>IF(ABS(D14)&lt;=E14,"OK","ERROR")</x:f>
        <x:v>OK</x:v>
      </x:c>
      <x:c r="G14" s="12" t="str">
        <x:v>P/B公式一致</x:v>
      </x:c>
    </x:row>
    <x:row r="15">
      <x:c r="A15" s="12" t="str">
        <x:v>联华表决权桥</x:v>
      </x:c>
      <x:c r="B15" s="90" t="n">
        <x:f>'Lianhua Bridge'!C17</x:f>
        <x:v>0.15153</x:v>
      </x:c>
      <x:c r="C15" s="90" t="n">
        <x:v>0.15153</x:v>
      </x:c>
      <x:c r="D15" s="90" t="n">
        <x:f>B15-C15</x:f>
        <x:v>0</x:v>
      </x:c>
      <x:c r="E15" s="90" t="n">
        <x:v>0.0001</x:v>
      </x:c>
      <x:c r="F15" s="94" t="str">
        <x:f>IF(ABS(D15)&lt;=E15,"OK","ERROR")</x:f>
        <x:v>OK</x:v>
      </x:c>
      <x:c r="G15" s="12" t="str">
        <x:v>直接权益+受托权益终止后</x:v>
      </x:c>
    </x:row>
    <x:row r="16">
      <x:c r="A16" s="2"/>
      <x:c r="B16" s="2"/>
      <x:c r="C16" s="2"/>
      <x:c r="D16" s="2"/>
      <x:c r="E16" s="2"/>
      <x:c r="F16" s="2"/>
      <x:c r="G16" s="2"/>
    </x:row>
  </x:sheetData>
  <x:mergeCells>
    <x:mergeCell ref="A1:G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14" hidden="0" customWidth="1"/>
    <x:col min="4" max="4" width="15" hidden="0" customWidth="1"/>
    <x:col min="5" max="5" width="18" hidden="0" customWidth="1"/>
    <x:col min="6" max="6" width="30" hidden="0" customWidth="1"/>
    <x:col min="7" max="7" width="56" hidden="0" customWidth="1"/>
    <x:col min="8" max="8" width="28" hidden="0" customWidth="1"/>
  </x:cols>
  <x:sheetData>
    <x:row r="1" ht="31" customHeight="1">
      <x:c r="A1" s="5" t="str">
        <x:v>来源与审计索引</x:v>
      </x:c>
      <x:c r="B1" s="5" t="str">
        <x:v>来源与审计索引</x:v>
      </x:c>
      <x:c r="C1" s="5" t="str">
        <x:v>来源与审计索引</x:v>
      </x:c>
      <x:c r="D1" s="5" t="str">
        <x:v>来源与审计索引</x:v>
      </x:c>
      <x:c r="E1" s="5" t="str">
        <x:v>来源与审计索引</x:v>
      </x:c>
      <x:c r="F1" s="5" t="str">
        <x:v>来源与审计索引</x:v>
      </x:c>
      <x:c r="G1" s="5" t="str">
        <x:v>来源与审计索引</x:v>
      </x:c>
      <x:c r="H1" s="5" t="str">
        <x:v>来源与审计索引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1" t="str">
        <x:v>ID</x:v>
      </x:c>
      <x:c r="B3" s="11" t="str">
        <x:v>输入/主题</x:v>
      </x:c>
      <x:c r="C3" s="11" t="str">
        <x:v>数值</x:v>
      </x:c>
      <x:c r="D3" s="11" t="str">
        <x:v>单位</x:v>
      </x:c>
      <x:c r="E3" s="11" t="str">
        <x:v>截至/期间</x:v>
      </x:c>
      <x:c r="F3" s="11" t="str">
        <x:v>来源</x:v>
      </x:c>
      <x:c r="G3" s="11" t="str">
        <x:v>URL</x:v>
      </x:c>
      <x:c r="H3" s="11" t="str">
        <x:v>审计说明</x:v>
      </x:c>
    </x:row>
    <x:row r="4">
      <x:c r="A4" s="28" t="str">
        <x:v>S1</x:v>
      </x:c>
      <x:c r="B4" s="28" t="str">
        <x:v>历史财务与治理</x:v>
      </x:c>
      <x:c r="C4" s="29"/>
      <x:c r="D4" s="28"/>
      <x:c r="E4" s="28" t="str">
        <x:v>FY2025</x:v>
      </x:c>
      <x:c r="F4" s="28" t="str">
        <x:v>百联股份2025年年度报告</x:v>
      </x:c>
      <x:c r="G4" s="96" t="str">
        <x:v>https://static.cninfo.com.cn/finalpage/2026-04-15/1225104222.PDF</x:v>
      </x:c>
      <x:c r="H4" s="28" t="str">
        <x:v>德勤审计；标准无保留意见</x:v>
      </x:c>
    </x:row>
    <x:row r="5">
      <x:c r="A5" s="28" t="str">
        <x:v>S2</x:v>
      </x:c>
      <x:c r="B5" s="28" t="str">
        <x:v>2026年中期财务</x:v>
      </x:c>
      <x:c r="C5" s="29"/>
      <x:c r="D5" s="28"/>
      <x:c r="E5" s="28" t="str">
        <x:v>1H26</x:v>
      </x:c>
      <x:c r="F5" s="28" t="str">
        <x:v>百联股份2026年半年度报告</x:v>
      </x:c>
      <x:c r="G5" s="96" t="str">
        <x:v>https://big5.sse.com.cn/site/cht/www.sse.com.cn/disclosure/listedinfo/announcement/c/new/2026-08-29/600827_20260829_LUU6.pdf</x:v>
      </x:c>
      <x:c r="H5" s="28" t="str">
        <x:v>未经审计</x:v>
      </x:c>
    </x:row>
    <x:row r="6">
      <x:c r="A6" s="28" t="str">
        <x:v>S3</x:v>
      </x:c>
      <x:c r="B6" s="28" t="str">
        <x:v>中期分业态经营</x:v>
      </x:c>
      <x:c r="C6" s="29"/>
      <x:c r="D6" s="28"/>
      <x:c r="E6" s="28" t="str">
        <x:v>1H26</x:v>
      </x:c>
      <x:c r="F6" s="28" t="str">
        <x:v>2026年上半年经营数据</x:v>
      </x:c>
      <x:c r="G6" s="96" t="str">
        <x:v>https://big5.sse.com.cn/site/cht/www.sse.com.cn/disclosure/listedinfo/announcement/c/new/2026-08-29/600827_20260829_6WY9.pdf</x:v>
      </x:c>
      <x:c r="H6" s="28" t="str">
        <x:v>公司经营公告</x:v>
      </x:c>
    </x:row>
    <x:row r="7">
      <x:c r="A7" s="28" t="str">
        <x:v>S4</x:v>
      </x:c>
      <x:c r="B7" s="28" t="str">
        <x:v>联华交易条款</x:v>
      </x:c>
      <x:c r="C7" s="30" t="n">
        <x:v>0.4151</x:v>
      </x:c>
      <x:c r="D7" s="28" t="str">
        <x:v>受托表决权</x:v>
      </x:c>
      <x:c r="E7" s="28" t="str">
        <x:v>2026-08-29</x:v>
      </x:c>
      <x:c r="F7" s="28" t="str">
        <x:v>重大资产终止受托管理报告书（草案）</x:v>
      </x:c>
      <x:c r="G7" s="96" t="str">
        <x:v>https://big5.sse.com.cn/site/cht/www.sse.com.cn/disclosure/listedinfo/announcement/c/new/2026-08-29/600827_20260829_BQNY.pdf</x:v>
      </x:c>
      <x:c r="H7" s="28" t="str">
        <x:v>交易仍待股东会批准</x:v>
      </x:c>
    </x:row>
    <x:row r="8">
      <x:c r="A8" s="28" t="str">
        <x:v>S5</x:v>
      </x:c>
      <x:c r="B8" s="28" t="str">
        <x:v>联华出表备考</x:v>
      </x:c>
      <x:c r="C8" s="29"/>
      <x:c r="D8" s="28"/>
      <x:c r="E8" s="28" t="str">
        <x:v>FY2025/2026M4</x:v>
      </x:c>
      <x:c r="F8" s="28" t="str">
        <x:v>备考财务报表及审阅报告</x:v>
      </x:c>
      <x:c r="G8" s="96" t="str">
        <x:v>https://big5.sse.com.cn/site/cht/www.sse.com.cn/disclosure/listedinfo/announcement/c/new/2026-08-29/600827_20260829_Q7TN.pdf</x:v>
      </x:c>
      <x:c r="H8" s="28" t="str">
        <x:v>德勤审阅；非审计</x:v>
      </x:c>
    </x:row>
    <x:row r="9">
      <x:c r="A9" s="28" t="str">
        <x:v>S6</x:v>
      </x:c>
      <x:c r="B9" s="28" t="str">
        <x:v>联华财务</x:v>
      </x:c>
      <x:c r="C9" s="29"/>
      <x:c r="D9" s="28"/>
      <x:c r="E9" s="28" t="str">
        <x:v>FY2025/2026M4</x:v>
      </x:c>
      <x:c r="F9" s="28" t="str">
        <x:v>联华超市审计报告及财务报表</x:v>
      </x:c>
      <x:c r="G9" s="96" t="str">
        <x:v>https://big5.sse.com.cn/site/cht/www.sse.com.cn/disclosure/listedinfo/announcement/c/new/2026-08-29/600827_20260829_YZLY.pdf</x:v>
      </x:c>
      <x:c r="H9" s="28" t="str">
        <x:v>专项财务资料</x:v>
      </x:c>
    </x:row>
    <x:row r="10">
      <x:c r="A10" s="28" t="str">
        <x:v>S7</x:v>
      </x:c>
      <x:c r="B10" s="28" t="str">
        <x:v>财务公司风险</x:v>
      </x:c>
      <x:c r="C10" s="30" t="n">
        <x:v>0.1373</x:v>
      </x:c>
      <x:c r="D10" s="28" t="str">
        <x:v>资本充足率</x:v>
      </x:c>
      <x:c r="E10" s="28" t="str">
        <x:v>1H26</x:v>
      </x:c>
      <x:c r="F10" s="28" t="str">
        <x:v>百联集团财务公司风险持续评估报告</x:v>
      </x:c>
      <x:c r="G10" s="96" t="str">
        <x:v>https://big5.sse.com.cn/site/cht/www.sse.com.cn/disclosure/listedinfo/announcement/c/new/2026-08-29/600827_20260829_SHUW.pdf</x:v>
      </x:c>
      <x:c r="H10" s="28" t="str">
        <x:v>公司评估风险可控</x:v>
      </x:c>
    </x:row>
    <x:row r="11">
      <x:c r="A11" s="28" t="str">
        <x:v>S8</x:v>
      </x:c>
      <x:c r="B11" s="28" t="str">
        <x:v>回购执行</x:v>
      </x:c>
      <x:c r="C11" s="29" t="n">
        <x:v>0.012998</x:v>
      </x:c>
      <x:c r="D11" s="28" t="str">
        <x:v>RMB bn</x:v>
      </x:c>
      <x:c r="E11" s="28" t="str">
        <x:v>2026-07-31</x:v>
      </x:c>
      <x:c r="F11" s="28" t="str">
        <x:v>2026年8月股份回购进展公告</x:v>
      </x:c>
      <x:c r="G11" s="96" t="str">
        <x:v>https://big5.sse.com.cn/site/cht/www.sse.com.cn/disclosure/listedinfo/announcement/c/new/2026-08-05/600827_20260805_6P48.pdf</x:v>
      </x:c>
      <x:c r="H11" s="28" t="str">
        <x:v>尚未注销</x:v>
      </x:c>
    </x:row>
    <x:row r="12">
      <x:c r="A12" s="28" t="str">
        <x:v>S9</x:v>
      </x:c>
      <x:c r="B12" s="28" t="str">
        <x:v>A股收盘价</x:v>
      </x:c>
      <x:c r="C12" s="29" t="n">
        <x:v>7.78</x:v>
      </x:c>
      <x:c r="D12" s="28" t="str">
        <x:v>RMB/股</x:v>
      </x:c>
      <x:c r="E12" s="28" t="str">
        <x:v>2026-08-28</x:v>
      </x:c>
      <x:c r="F12" s="28" t="str">
        <x:v>东方财富600827行情</x:v>
      </x:c>
      <x:c r="G12" s="96" t="str">
        <x:v>https://quote.eastmoney.com/sh600827.html</x:v>
      </x:c>
      <x:c r="H12" s="28" t="str">
        <x:v>最近交易日行情</x:v>
      </x:c>
    </x:row>
    <x:row r="13">
      <x:c r="A13" s="28" t="str">
        <x:v>A1</x:v>
      </x:c>
      <x:c r="B13" s="28" t="str">
        <x:v>Bear正常化利润</x:v>
      </x:c>
      <x:c r="C13" s="29" t="n">
        <x:v>0.3</x:v>
      </x:c>
      <x:c r="D13" s="28" t="str">
        <x:v>RMB bn</x:v>
      </x:c>
      <x:c r="E13" s="28" t="str">
        <x:v>情景</x:v>
      </x:c>
      <x:c r="F13" s="28" t="str">
        <x:v>分析假设</x:v>
      </x:c>
      <x:c r="G13" s="96"/>
      <x:c r="H13" s="28" t="str">
        <x:v>非一致预期</x:v>
      </x:c>
    </x:row>
    <x:row r="14">
      <x:c r="A14" s="28" t="str">
        <x:v>A2</x:v>
      </x:c>
      <x:c r="B14" s="28" t="str">
        <x:v>Base正常化利润</x:v>
      </x:c>
      <x:c r="C14" s="29" t="n">
        <x:v>0.55</x:v>
      </x:c>
      <x:c r="D14" s="28" t="str">
        <x:v>RMB bn</x:v>
      </x:c>
      <x:c r="E14" s="28" t="str">
        <x:v>情景</x:v>
      </x:c>
      <x:c r="F14" s="28" t="str">
        <x:v>分析假设</x:v>
      </x:c>
      <x:c r="G14" s="96"/>
      <x:c r="H14" s="28" t="str">
        <x:v>非一致预期</x:v>
      </x:c>
    </x:row>
    <x:row r="15">
      <x:c r="A15" s="28" t="str">
        <x:v>A3</x:v>
      </x:c>
      <x:c r="B15" s="28" t="str">
        <x:v>Bull正常化利润</x:v>
      </x:c>
      <x:c r="C15" s="29" t="n">
        <x:v>0.8</x:v>
      </x:c>
      <x:c r="D15" s="28" t="str">
        <x:v>RMB bn</x:v>
      </x:c>
      <x:c r="E15" s="28" t="str">
        <x:v>情景</x:v>
      </x:c>
      <x:c r="F15" s="28" t="str">
        <x:v>分析假设</x:v>
      </x:c>
      <x:c r="G15" s="96"/>
      <x:c r="H15" s="28" t="str">
        <x:v>非一致预期</x:v>
      </x:c>
    </x:row>
    <x:row r="16">
      <x:c r="A16" s="28" t="str">
        <x:v>A4</x:v>
      </x:c>
      <x:c r="B16" s="28" t="str">
        <x:v>Base P/B</x:v>
      </x:c>
      <x:c r="C16" s="29" t="n">
        <x:v>0.8</x:v>
      </x:c>
      <x:c r="D16" s="28" t="str">
        <x:v>x</x:v>
      </x:c>
      <x:c r="E16" s="28" t="str">
        <x:v>情景</x:v>
      </x:c>
      <x:c r="F16" s="28" t="str">
        <x:v>分析假设</x:v>
      </x:c>
      <x:c r="G16" s="96"/>
      <x:c r="H16" s="28" t="str">
        <x:v>联华边界清晰后折价温和收窄</x:v>
      </x:c>
    </x:row>
    <x:row r="17">
      <x:c r="A17" s="28" t="str">
        <x:v>A5</x:v>
      </x:c>
      <x:c r="B17" s="28" t="str">
        <x:v>NAV权重</x:v>
      </x:c>
      <x:c r="C17" s="95" t="n">
        <x:v>0.6</x:v>
      </x:c>
      <x:c r="D17" s="28" t="str">
        <x:v>%</x:v>
      </x:c>
      <x:c r="E17" s="28" t="str">
        <x:v>全情景</x:v>
      </x:c>
      <x:c r="F17" s="28" t="str">
        <x:v>分析假设</x:v>
      </x:c>
      <x:c r="G17" s="96"/>
      <x:c r="H17" s="28" t="str">
        <x:v>资产型公司；盈利法约束</x:v>
      </x:c>
    </x:row>
    <x:row r="18">
      <x:c r="A18" s="28" t="str">
        <x:v>A6</x:v>
      </x:c>
      <x:c r="B18" s="28" t="str">
        <x:v>总股本</x:v>
      </x:c>
      <x:c r="C18" s="29" t="n">
        <x:v>1.784168117</x:v>
      </x:c>
      <x:c r="D18" s="28" t="str">
        <x:v>十亿股</x:v>
      </x:c>
      <x:c r="E18" s="28" t="str">
        <x:v>2026-06-30</x:v>
      </x:c>
      <x:c r="F18" s="28" t="str">
        <x:v>2026年半年度报告</x:v>
      </x:c>
      <x:c r="G18" s="96" t="str">
        <x:v>https://big5.sse.com.cn/site/cht/www.sse.com.cn/disclosure/listedinfo/announcement/c/new/2026-08-29/600827_20260829_LUU6.pdf</x:v>
      </x:c>
      <x:c r="H18" s="28" t="str">
        <x:v>回购股份尚未注销</x:v>
      </x:c>
    </x:row>
  </x:sheetData>
  <x:mergeCells>
    <x:mergeCell ref="A1:H1"/>
  </x:mergeCells>
  <x:pageMargins left="0.7" right="0.7" top="0.75" bottom="0.75" header="0.3" footer="0.3"/>
</x:worksheet>
</file>
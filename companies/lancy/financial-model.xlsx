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ebcb17357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41f027cb6b484a2b"/>
    <x:sheet xmlns:r="http://schemas.openxmlformats.org/officeDocument/2006/relationships" name="Valuation" sheetId="2" r:id="R9daf01f0bb684ff8"/>
    <x:sheet xmlns:r="http://schemas.openxmlformats.org/officeDocument/2006/relationships" name="Assumptions" sheetId="3" r:id="R6dd6b9188edc45f2"/>
    <x:sheet xmlns:r="http://schemas.openxmlformats.org/officeDocument/2006/relationships" name="Financials" sheetId="4" r:id="R2dda71e7a0124147"/>
    <x:sheet xmlns:r="http://schemas.openxmlformats.org/officeDocument/2006/relationships" name="Balance Cash" sheetId="5" r:id="Rb7dbe6dd407949f1"/>
    <x:sheet xmlns:r="http://schemas.openxmlformats.org/officeDocument/2006/relationships" name="Sources Checks" sheetId="6" r:id="Rebde9a6a409046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&quot;-&quot;"/>
    <x:numFmt numFmtId="201" formatCode="0.0%;(0.0%);&quot;-&quot;"/>
    <x:numFmt numFmtId="202" formatCode="0"/>
    <x:numFmt numFmtId="203" formatCode="0.00;(0.00);0.00"/>
  </x:numFmts>
  <x:fonts count="11">
    <x:font>
      <x:sz val="11"/>
      <x:name val="Carlito"/>
    </x:font>
    <x:font>
      <x:sz val="10"/>
      <x:color rgb="FF172B3A"/>
      <x:name val="Microsoft YaHei"/>
    </x:font>
    <x:font>
      <x:b/>
      <x:sz val="16"/>
      <x:color rgb="FF172B3A"/>
      <x:name val="Microsoft YaHei"/>
    </x:font>
    <x:font>
      <x:i/>
      <x:sz val="10"/>
      <x:color rgb="FF667085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  <x:font>
      <x:sz val="10"/>
      <x:color rgb="FF0000FF"/>
      <x:name val="Microsoft YaHei"/>
    </x:font>
    <x:font>
      <x:sz val="10"/>
      <x:color rgb="FF667085"/>
      <x:name val="Microsoft YaHei"/>
    </x:font>
    <x:font>
      <x:sz val="10"/>
      <x:color rgb="FF008000"/>
      <x:name val="Microsoft YaHei"/>
    </x:font>
    <x:font>
      <x:b/>
      <x:sz val="10"/>
      <x:color rgb="FF28364C"/>
      <x:name val="Microsoft YaHei"/>
    </x:font>
    <x:font>
      <x:sz val="10"/>
      <x:color rgb="FF28364C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364C"/>
      </x:patternFill>
    </x:fill>
    <x:fill>
      <x:patternFill patternType="solid">
        <x:fgColor rgb="FFE9EDF2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8364C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horizontal="center" vertical="center"/>
    </x:xf>
    <x:xf numFmtId="202" fontId="6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a019d62fa5410d" /><Relationship Type="http://schemas.openxmlformats.org/officeDocument/2006/relationships/theme" Target="/xl/theme/theme1.xml" Id="R51072deda3aa4e19" /><Relationship Type="http://schemas.openxmlformats.org/officeDocument/2006/relationships/sharedStrings" Target="/xl/sharedStrings.xml" Id="R987b0bee1eab4b32" /><Relationship Type="http://schemas.openxmlformats.org/officeDocument/2006/relationships/worksheet" Target="/xl/worksheets/sheet1.xml" Id="R41f027cb6b484a2b" /><Relationship Type="http://schemas.openxmlformats.org/officeDocument/2006/relationships/worksheet" Target="/xl/worksheets/sheet2.xml" Id="R9daf01f0bb684ff8" /><Relationship Type="http://schemas.openxmlformats.org/officeDocument/2006/relationships/worksheet" Target="/xl/worksheets/sheet3.xml" Id="R6dd6b9188edc45f2" /><Relationship Type="http://schemas.openxmlformats.org/officeDocument/2006/relationships/worksheet" Target="/xl/worksheets/sheet4.xml" Id="R2dda71e7a0124147" /><Relationship Type="http://schemas.openxmlformats.org/officeDocument/2006/relationships/worksheet" Target="/xl/worksheets/sheet5.xml" Id="Rb7dbe6dd407949f1" /><Relationship Type="http://schemas.openxmlformats.org/officeDocument/2006/relationships/worksheet" Target="/xl/worksheets/sheet6.xml" Id="Rebde9a6a409046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5b23ae2259d4e7e" /><Relationship Type="http://schemas.openxmlformats.org/officeDocument/2006/relationships/chart" Target="/xl/drawings/charts/chart2.xml" Id="R479b2307b0ef4c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情景价值与参考价（元）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每股价值</c:v>
          </c:tx>
          <c:spPr>
            <a:solidFill xmlns:a="http://schemas.openxmlformats.org/drawingml/2006/main">
              <a:srgbClr val="28364C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'Cover'!$D$15:$D$17</c:f>
              <c:numCache>
                <c:formatCode>#,##0.00;(#,##0.00);"-"</c:formatCode>
                <c:ptCount val="0"/>
              </c:numCache>
            </c:numRef>
          </c:val>
        </c:ser>
        <c:ser>
          <c:idx val="1"/>
          <c:order val="1"/>
          <c:tx>
            <c:v>参考价</c:v>
          </c:tx>
          <c:spPr>
            <a:solidFill xmlns:a="http://schemas.openxmlformats.org/drawingml/2006/main">
              <a:srgbClr val="B2B9C4"/>
            </a:solidFill>
          </c:spPr>
          <c:invertIfNegative val="0"/>
          <c:cat>
            <c:strRef>
              <c:f>'Cover'!$C$15:$C$17</c:f>
              <c:strCache>
                <c:ptCount val="0"/>
              </c:strCache>
            </c:strRef>
          </c:cat>
          <c:val>
            <c:numRef>
              <c:f>'Cover'!$E$15:$E$17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Microsoft YaHei"/>
                <a:ea typeface="Microsoft YaHei"/>
                <a:cs typeface="Microsoft YaHei"/>
              </a:rPr>
              <a:t>2026H1收入结构（百万元）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收入（百万元）</c:v>
          </c:tx>
          <c:spPr>
            <a:solidFill xmlns:a="http://schemas.openxmlformats.org/drawingml/2006/main">
              <a:srgbClr val="28364C"/>
            </a:solidFill>
          </c:spPr>
          <c:invertIfNegative val="0"/>
          <c:cat>
            <c:strRef>
              <c:f>'Cover'!$C$22:$C$24</c:f>
              <c:strCache>
                <c:ptCount val="0"/>
              </c:strCache>
            </c:strRef>
          </c:cat>
          <c:val>
            <c:numRef>
              <c:f>'Cover'!$D$22:$D$24</c:f>
              <c:numCache>
                <c:formatCode>#,##0.00;(#,##0.00);"-"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b23ae2259d4e7e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9b2307b0ef4c9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0d6c3bfe62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2"/>
      <x:c r="B2" s="2"/>
      <x:c r="C2" s="3" t="str">
        <x:v>朗姿股份 | 财务与估值</x:v>
      </x:c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24" customHeight="1">
      <x:c r="A4" s="2"/>
      <x:c r="B4" s="2"/>
      <x:c r="C4" s="5" t="str">
        <x:v>002612.SZ；资料截止2026-10-12；参考价2026-10-09</x:v>
      </x:c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2"/>
      <x:c r="B6" s="2"/>
      <x:c r="C6" s="2" t="str">
        <x:v>当前判断</x:v>
      </x:c>
      <x:c r="D6" s="2" t="str">
        <x:v>中性观察</x:v>
      </x:c>
      <x:c r="E6" s="2"/>
      <x:c r="F6" s="2"/>
      <x:c r="G6" s="2"/>
      <x:c r="H6" s="2"/>
      <x:c r="I6" s="2"/>
      <x:c r="J6" s="2"/>
      <x:c r="K6" s="2"/>
      <x:c r="L6" s="2"/>
    </x:row>
    <x:row r="7" ht="24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2"/>
      <x:c r="B8" s="2"/>
      <x:c r="C8" s="2" t="str">
        <x:v>参考价（元）</x:v>
      </x:c>
      <x:c r="D8" s="27" t="n">
        <x:f>'Valuation'!D8</x:f>
        <x:v>17.28</x:v>
      </x:c>
      <x:c r="E8" s="2"/>
      <x:c r="F8" s="2"/>
      <x:c r="G8" s="2"/>
      <x:c r="H8" s="2"/>
      <x:c r="I8" s="2"/>
      <x:c r="J8" s="2"/>
      <x:c r="K8" s="2"/>
      <x:c r="L8" s="2"/>
    </x:row>
    <x:row r="9" ht="24" customHeight="1">
      <x:c r="A9" s="2"/>
      <x:c r="B9" s="2"/>
      <x:c r="C9" s="2" t="str">
        <x:v>基准价值（元）</x:v>
      </x:c>
      <x:c r="D9" s="27" t="n">
        <x:f>'Valuation'!E30</x:f>
        <x:v>17.17726171281596</x:v>
      </x:c>
      <x:c r="E9" s="2"/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 t="str">
        <x:v>基准空间</x:v>
      </x:c>
      <x:c r="D10" s="28" t="n">
        <x:f>'Valuation'!E31</x:f>
        <x:v>-0.00594550273055805</x:v>
      </x:c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/>
      <x:c r="B11" s="2"/>
      <x:c r="C11" s="2" t="str">
        <x:v>滚动扣非P/E</x:v>
      </x:c>
      <x:c r="D11" s="27" t="n">
        <x:f>'Valuation'!D12</x:f>
        <x:v>24.0901190917329</x:v>
      </x:c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 t="str">
        <x:v>Case Selected:</x:v>
      </x:c>
      <x:c r="D12" s="18" t="str">
        <x:f>'Assumptions'!D13</x:f>
        <x:v>Base</x:v>
      </x:c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8" t="str">
        <x:v>情景</x:v>
      </x:c>
      <x:c r="D14" s="8" t="str">
        <x:v>每股价值</x:v>
      </x:c>
      <x:c r="E14" s="8" t="str">
        <x:v>参考价</x:v>
      </x:c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 t="str">
        <x:v>Bear</x:v>
      </x:c>
      <x:c r="D15" s="29" t="n">
        <x:f>'Valuation'!D30</x:f>
        <x:v>7.910581051954718</x:v>
      </x:c>
      <x:c r="E15" s="29" t="n">
        <x:f>'Assumptions'!D7</x:f>
        <x:v>17.28</x:v>
      </x:c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 t="str">
        <x:v>Base</x:v>
      </x:c>
      <x:c r="D16" s="29" t="n">
        <x:f>'Valuation'!E30</x:f>
        <x:v>17.17726171281596</x:v>
      </x:c>
      <x:c r="E16" s="29" t="n">
        <x:f>'Assumptions'!D7</x:f>
        <x:v>17.28</x:v>
      </x:c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 t="str">
        <x:v>Bull</x:v>
      </x:c>
      <x:c r="D17" s="29" t="n">
        <x:f>'Valuation'!F30</x:f>
        <x:v>30.557444520693654</x:v>
      </x:c>
      <x:c r="E17" s="29" t="n">
        <x:f>'Assumptions'!D7</x:f>
        <x:v>17.28</x:v>
      </x:c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8" t="str">
        <x:v>2026H1业务</x:v>
      </x:c>
      <x:c r="D21" s="8" t="str">
        <x:v>收入（百万元）</x:v>
      </x:c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 t="str">
        <x:v>医美</x:v>
      </x:c>
      <x:c r="D22" s="29" t="n">
        <x:f>'Financials'!E20</x:f>
        <x:v>1618.7384517</x:v>
      </x:c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 t="str">
        <x:v>女装</x:v>
      </x:c>
      <x:c r="D23" s="29" t="n">
        <x:f>'Financials'!E19</x:f>
        <x:v>1120.74904636</x:v>
      </x:c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 t="str">
        <x:v>婴童</x:v>
      </x:c>
      <x:c r="D24" s="29" t="n">
        <x:f>'Financials'!E21</x:f>
        <x:v>447.87776979</x:v>
      </x:c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36" customHeight="1">
      <x:c r="A29" s="2"/>
      <x:c r="B29" s="2"/>
      <x:c r="C29" s="17" t="str">
        <x:v>主营修复正在发生；需要利润兑现与现金回报继续验证。</x:v>
      </x:c>
      <x:c r="D29" s="17"/>
      <x:c r="E29" s="17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36" customHeight="1">
      <x:c r="A32" s="2"/>
      <x:c r="B32" s="2"/>
      <x:c r="C32" s="17" t="str">
        <x:v>商誉、短债、税务合规及并购回报影响合理估值倍数。</x:v>
      </x:c>
      <x:c r="D32" s="17"/>
      <x:c r="E32" s="17"/>
      <x:c r="F32" s="2"/>
      <x:c r="G32" s="2"/>
      <x:c r="H32" s="2"/>
      <x:c r="I32" s="2"/>
      <x:c r="J32" s="2"/>
      <x:c r="K32" s="2"/>
      <x:c r="L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</x:sheetData>
  <x:mergeCells>
    <x:mergeCell ref="C29:E29"/>
    <x:mergeCell ref="C32:E32"/>
  </x:mergeCells>
  <x:pageMargins left="0.7" right="0.7" top="0.75" bottom="0.75" header="0.3" footer="0.3"/>
  <x:drawing xmlns:r="http://schemas.openxmlformats.org/officeDocument/2006/relationships" r:id="Rd90d6c3bfe6240c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2"/>
      <x:c r="B2" s="2"/>
      <x:c r="C2" s="3" t="str">
        <x:v>估值与市场隐含预期</x:v>
      </x:c>
      <x:c r="D2" s="2"/>
      <x:c r="E2" s="2"/>
      <x:c r="F2" s="2"/>
      <x:c r="G2" s="2"/>
      <x:c r="H2" s="2"/>
    </x:row>
    <x:row r="3" ht="24" customHeight="1">
      <x:c r="A3" s="2"/>
      <x:c r="B3" s="2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5" t="str">
        <x:v>人民币；价值对应2027正常化盈利的估值情景，非承诺目标价</x:v>
      </x:c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2" t="str">
        <x:v>Case Selected:</x:v>
      </x:c>
      <x:c r="D6" s="18" t="str">
        <x:f>'Assumptions'!D13</x:f>
        <x:v>Base</x:v>
      </x:c>
      <x:c r="E6" s="2"/>
      <x:c r="F6" s="2"/>
      <x:c r="G6" s="2"/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24" customHeight="1">
      <x:c r="A8" s="2"/>
      <x:c r="B8" s="2"/>
      <x:c r="C8" s="2" t="str">
        <x:v>参考价（元）</x:v>
      </x:c>
      <x:c r="D8" s="19" t="n">
        <x:f>'Assumptions'!D7</x:f>
        <x:v>17.28</x:v>
      </x:c>
      <x:c r="E8" s="10"/>
      <x:c r="F8" s="10"/>
      <x:c r="G8" s="2"/>
      <x:c r="H8" s="2"/>
    </x:row>
    <x:row r="9" ht="24" customHeight="1">
      <x:c r="A9" s="2"/>
      <x:c r="B9" s="2"/>
      <x:c r="C9" s="2" t="str">
        <x:v>总股本（百万股）</x:v>
      </x:c>
      <x:c r="D9" s="19" t="n">
        <x:f>'Assumptions'!D8</x:f>
        <x:v>442.445375</x:v>
      </x:c>
      <x:c r="E9" s="10"/>
      <x:c r="F9" s="10"/>
      <x:c r="G9" s="2"/>
      <x:c r="H9" s="2"/>
    </x:row>
    <x:row r="10" ht="24" customHeight="1">
      <x:c r="A10" s="2"/>
      <x:c r="B10" s="2"/>
      <x:c r="C10" s="2" t="str">
        <x:v>市值（百万元）</x:v>
      </x:c>
      <x:c r="D10" s="11" t="n">
        <x:f>D8*D9</x:f>
        <x:v>7645.456080000001</x:v>
      </x:c>
      <x:c r="E10" s="10"/>
      <x:c r="F10" s="10"/>
      <x:c r="G10" s="2"/>
      <x:c r="H10" s="2"/>
    </x:row>
    <x:row r="11" ht="24" customHeight="1">
      <x:c r="A11" s="2"/>
      <x:c r="B11" s="2"/>
      <x:c r="C11" s="2" t="str">
        <x:v>拼接TTM扣非利润</x:v>
      </x:c>
      <x:c r="D11" s="19" t="n">
        <x:f>'Financials'!E9-'Financials'!F9+'Financials'!G9</x:f>
        <x:v>317.36896156</x:v>
      </x:c>
      <x:c r="E11" s="10"/>
      <x:c r="F11" s="10"/>
      <x:c r="G11" s="2"/>
      <x:c r="H11" s="2"/>
    </x:row>
    <x:row r="12" ht="24" customHeight="1">
      <x:c r="A12" s="2"/>
      <x:c r="B12" s="2"/>
      <x:c r="C12" s="2" t="str">
        <x:v>滚动扣非P/E</x:v>
      </x:c>
      <x:c r="D12" s="11" t="n">
        <x:f>D10/D11</x:f>
        <x:v>24.0901190917329</x:v>
      </x:c>
      <x:c r="E12" s="10"/>
      <x:c r="F12" s="10"/>
      <x:c r="G12" s="2"/>
      <x:c r="H12" s="2"/>
    </x:row>
    <x:row r="13" ht="24" customHeight="1">
      <x:c r="A13" s="2"/>
      <x:c r="B13" s="2"/>
      <x:c r="C13" s="2" t="str">
        <x:v>拼接TTM报告归母利润</x:v>
      </x:c>
      <x:c r="D13" s="19" t="n">
        <x:f>'Financials'!E8-'Financials'!F8+'Financials'!G8</x:f>
        <x:v>832.76413725</x:v>
      </x:c>
      <x:c r="E13" s="10"/>
      <x:c r="F13" s="10"/>
      <x:c r="G13" s="2"/>
      <x:c r="H13" s="2"/>
    </x:row>
    <x:row r="14" ht="24" customHeight="1">
      <x:c r="A14" s="2"/>
      <x:c r="B14" s="2"/>
      <x:c r="C14" s="2" t="str">
        <x:v>滚动报告P/E</x:v>
      </x:c>
      <x:c r="D14" s="11" t="n">
        <x:f>D10/D13</x:f>
        <x:v>9.180818118858062</x:v>
      </x:c>
      <x:c r="E14" s="10"/>
      <x:c r="F14" s="10"/>
      <x:c r="G14" s="2"/>
      <x:c r="H14" s="2"/>
    </x:row>
    <x:row r="15" ht="24" customHeight="1">
      <x:c r="A15" s="2"/>
      <x:c r="B15" s="2"/>
      <x:c r="C15" s="2" t="str">
        <x:v>BVPS（元）</x:v>
      </x:c>
      <x:c r="D15" s="19" t="n">
        <x:f>'Balance Cash'!E21/D9</x:f>
        <x:v>6.347838681351342</x:v>
      </x:c>
      <x:c r="E15" s="10"/>
      <x:c r="F15" s="10"/>
      <x:c r="G15" s="2"/>
      <x:c r="H15" s="2"/>
    </x:row>
    <x:row r="16" ht="24" customHeight="1">
      <x:c r="A16" s="2"/>
      <x:c r="B16" s="2"/>
      <x:c r="C16" s="2" t="str">
        <x:v>P/B</x:v>
      </x:c>
      <x:c r="D16" s="11" t="n">
        <x:f>D8/D15</x:f>
        <x:v>2.7221863798721166</x:v>
      </x:c>
      <x:c r="E16" s="10"/>
      <x:c r="F16" s="10"/>
      <x:c r="G16" s="2"/>
      <x:c r="H16" s="2"/>
    </x:row>
    <x:row r="17" ht="24" customHeight="1">
      <x:c r="A17" s="2"/>
      <x:c r="B17" s="2"/>
      <x:c r="C17" s="2" t="str">
        <x:v>2025历史股息率</x:v>
      </x:c>
      <x:c r="D17" s="23" t="n">
        <x:f>'Assumptions'!D9/D8</x:f>
        <x:v>0.06944444444444443</x:v>
      </x:c>
      <x:c r="E17" s="10"/>
      <x:c r="F17" s="10"/>
      <x:c r="G17" s="2"/>
      <x:c r="H17" s="2"/>
    </x:row>
    <x:row r="18" ht="24" customHeight="1">
      <x:c r="A18" s="2"/>
      <x:c r="B18" s="2"/>
      <x:c r="C18" s="2"/>
      <x:c r="D18" s="10"/>
      <x:c r="E18" s="10"/>
      <x:c r="F18" s="10"/>
      <x:c r="G18" s="2"/>
      <x:c r="H18" s="2"/>
    </x:row>
    <x:row r="19" ht="24" customHeight="1">
      <x:c r="A19" s="2"/>
      <x:c r="B19" s="2"/>
      <x:c r="C19" s="8" t="str">
        <x:v>活动情景</x:v>
      </x:c>
      <x:c r="D19" s="21" t="str">
        <x:v>结果</x:v>
      </x:c>
      <x:c r="E19" s="10"/>
      <x:c r="F19" s="10"/>
      <x:c r="G19" s="2"/>
      <x:c r="H19" s="2"/>
    </x:row>
    <x:row r="20" ht="24" customHeight="1">
      <x:c r="A20" s="2"/>
      <x:c r="B20" s="2"/>
      <x:c r="C20" s="2" t="str">
        <x:v>正常化归母利润（百万元）</x:v>
      </x:c>
      <x:c r="D20" s="19" t="n">
        <x:f>'Assumptions'!D16</x:f>
        <x:v>380</x:v>
      </x:c>
      <x:c r="E20" s="10"/>
      <x:c r="F20" s="10"/>
      <x:c r="G20" s="2"/>
      <x:c r="H20" s="2"/>
    </x:row>
    <x:row r="21" ht="24" customHeight="1">
      <x:c r="A21" s="2"/>
      <x:c r="B21" s="2"/>
      <x:c r="C21" s="2" t="str">
        <x:v>P/E（倍）</x:v>
      </x:c>
      <x:c r="D21" s="19" t="n">
        <x:f>'Assumptions'!D22</x:f>
        <x:v>20</x:v>
      </x:c>
      <x:c r="E21" s="10"/>
      <x:c r="F21" s="10"/>
      <x:c r="G21" s="2"/>
      <x:c r="H21" s="2"/>
    </x:row>
    <x:row r="22" ht="24" customHeight="1">
      <x:c r="A22" s="2"/>
      <x:c r="B22" s="2"/>
      <x:c r="C22" s="2" t="str">
        <x:v>归母股权价值（百万元）</x:v>
      </x:c>
      <x:c r="D22" s="11" t="n">
        <x:f>IF(OR(D20="n.a.",D21="n.a."),"n.a.",D20*D21)</x:f>
        <x:v>7600</x:v>
      </x:c>
      <x:c r="E22" s="10"/>
      <x:c r="F22" s="10"/>
      <x:c r="G22" s="2"/>
      <x:c r="H22" s="2"/>
    </x:row>
    <x:row r="23" ht="24" customHeight="1">
      <x:c r="A23" s="2"/>
      <x:c r="B23" s="2"/>
      <x:c r="C23" s="24" t="str">
        <x:v>每股价值（元）</x:v>
      </x:c>
      <x:c r="D23" s="25" t="n">
        <x:f>IF(D22="n.a.","n.a.",D22/D9)</x:f>
        <x:v>17.17726171281596</x:v>
      </x:c>
      <x:c r="E23" s="10"/>
      <x:c r="F23" s="10"/>
      <x:c r="G23" s="2"/>
      <x:c r="H23" s="2"/>
    </x:row>
    <x:row r="24" ht="24" customHeight="1">
      <x:c r="A24" s="2"/>
      <x:c r="B24" s="2"/>
      <x:c r="C24" s="24" t="str">
        <x:v>相对参考价</x:v>
      </x:c>
      <x:c r="D24" s="26" t="n">
        <x:f>IF(D23="n.a.","n.a.",D23/D8-1)</x:f>
        <x:v>-0.00594550273055805</x:v>
      </x:c>
      <x:c r="E24" s="10"/>
      <x:c r="F24" s="10"/>
      <x:c r="G24" s="2"/>
      <x:c r="H24" s="2"/>
    </x:row>
    <x:row r="25" ht="24" customHeight="1">
      <x:c r="A25" s="2"/>
      <x:c r="B25" s="2"/>
      <x:c r="C25" s="2"/>
      <x:c r="D25" s="10"/>
      <x:c r="E25" s="10"/>
      <x:c r="F25" s="10"/>
      <x:c r="G25" s="2"/>
      <x:c r="H25" s="2"/>
    </x:row>
    <x:row r="26" ht="24" customHeight="1">
      <x:c r="A26" s="2"/>
      <x:c r="B26" s="2"/>
      <x:c r="C26" s="2"/>
      <x:c r="D26" s="10"/>
      <x:c r="E26" s="10"/>
      <x:c r="F26" s="10"/>
      <x:c r="G26" s="2"/>
      <x:c r="H26" s="2"/>
    </x:row>
    <x:row r="27" ht="24" customHeight="1">
      <x:c r="A27" s="2"/>
      <x:c r="B27" s="2"/>
      <x:c r="C27" s="8" t="str">
        <x:v>独立P/E组合比较</x:v>
      </x:c>
      <x:c r="D27" s="21" t="str">
        <x:v>Bear</x:v>
      </x:c>
      <x:c r="E27" s="21" t="str">
        <x:v>Base</x:v>
      </x:c>
      <x:c r="F27" s="21" t="str">
        <x:v>Bull</x:v>
      </x:c>
      <x:c r="G27" s="2"/>
      <x:c r="H27" s="2"/>
    </x:row>
    <x:row r="28" ht="24" customHeight="1">
      <x:c r="A28" s="2"/>
      <x:c r="B28" s="2"/>
      <x:c r="C28" s="2" t="str">
        <x:v>正常化归母利润（百万元）</x:v>
      </x:c>
      <x:c r="D28" s="19" t="n">
        <x:f>IF(ISBLANK('Assumptions'!E16),"n.a.",'Assumptions'!E16)</x:f>
        <x:v>250</x:v>
      </x:c>
      <x:c r="E28" s="19" t="n">
        <x:f>IF(ISBLANK('Assumptions'!F16),"n.a.",'Assumptions'!F16)</x:f>
        <x:v>380</x:v>
      </x:c>
      <x:c r="F28" s="19" t="n">
        <x:f>IF(ISBLANK('Assumptions'!G16),"n.a.",'Assumptions'!G16)</x:f>
        <x:v>520</x:v>
      </x:c>
      <x:c r="G28" s="2"/>
      <x:c r="H28" s="2"/>
    </x:row>
    <x:row r="29" ht="24" customHeight="1">
      <x:c r="A29" s="2"/>
      <x:c r="B29" s="2"/>
      <x:c r="C29" s="2" t="str">
        <x:v>合理P/E（倍）</x:v>
      </x:c>
      <x:c r="D29" s="19" t="n">
        <x:f>IF(ISBLANK('Assumptions'!E22),"n.a.",'Assumptions'!E22)</x:f>
        <x:v>14</x:v>
      </x:c>
      <x:c r="E29" s="19" t="n">
        <x:f>IF(ISBLANK('Assumptions'!F22),"n.a.",'Assumptions'!F22)</x:f>
        <x:v>20</x:v>
      </x:c>
      <x:c r="F29" s="19" t="n">
        <x:f>IF(ISBLANK('Assumptions'!G22),"n.a.",'Assumptions'!G22)</x:f>
        <x:v>26</x:v>
      </x:c>
      <x:c r="G29" s="2"/>
      <x:c r="H29" s="2"/>
    </x:row>
    <x:row r="30" ht="24" customHeight="1">
      <x:c r="A30" s="2"/>
      <x:c r="B30" s="2"/>
      <x:c r="C30" s="24" t="str">
        <x:v>每股价值（元）</x:v>
      </x:c>
      <x:c r="D30" s="25" t="n">
        <x:f>IF(OR(D28="n.a.",D29="n.a."),"n.a.",D28*D29/$D$9)</x:f>
        <x:v>7.910581051954718</x:v>
      </x:c>
      <x:c r="E30" s="25" t="n">
        <x:f>IF(OR(E28="n.a.",E29="n.a."),"n.a.",E28*E29/$D$9)</x:f>
        <x:v>17.17726171281596</x:v>
      </x:c>
      <x:c r="F30" s="25" t="n">
        <x:f>IF(OR(F28="n.a.",F29="n.a."),"n.a.",F28*F29/$D$9)</x:f>
        <x:v>30.557444520693654</x:v>
      </x:c>
      <x:c r="G30" s="2"/>
      <x:c r="H30" s="2"/>
    </x:row>
    <x:row r="31" ht="24" customHeight="1">
      <x:c r="A31" s="2"/>
      <x:c r="B31" s="2"/>
      <x:c r="C31" s="24" t="str">
        <x:v>相对参考价</x:v>
      </x:c>
      <x:c r="D31" s="26" t="n">
        <x:f>IF(D30="n.a.","n.a.",D30/$D$8-1)</x:f>
        <x:v>-0.5422117446785464</x:v>
      </x:c>
      <x:c r="E31" s="26" t="n">
        <x:f>IF(E30="n.a.","n.a.",E30/$D$8-1)</x:f>
        <x:v>-0.00594550273055805</x:v>
      </x:c>
      <x:c r="F31" s="26" t="n">
        <x:f>IF(F30="n.a.","n.a.",F30/$D$8-1)</x:f>
        <x:v>0.7683706319845864</x:v>
      </x:c>
      <x:c r="G31" s="2"/>
      <x:c r="H31" s="2"/>
    </x:row>
    <x:row r="32" ht="24" customHeight="1">
      <x:c r="A32" s="2"/>
      <x:c r="B32" s="2"/>
      <x:c r="C32" s="2" t="str">
        <x:v>收入假设（百万元）</x:v>
      </x:c>
      <x:c r="D32" s="19" t="n">
        <x:f>IF(ISBLANK('Assumptions'!E19),"n.a.",'Assumptions'!E19)</x:f>
        <x:v>6500</x:v>
      </x:c>
      <x:c r="E32" s="19" t="n">
        <x:f>IF(ISBLANK('Assumptions'!F19),"n.a.",'Assumptions'!F19)</x:f>
        <x:v>7200</x:v>
      </x:c>
      <x:c r="F32" s="19" t="n">
        <x:f>IF(ISBLANK('Assumptions'!G19),"n.a.",'Assumptions'!G19)</x:f>
        <x:v>8100</x:v>
      </x:c>
      <x:c r="G32" s="2"/>
      <x:c r="H32" s="2"/>
    </x:row>
    <x:row r="33" ht="24" customHeight="1">
      <x:c r="A33" s="2"/>
      <x:c r="B33" s="2"/>
      <x:c r="C33" s="2" t="str">
        <x:v>隐含归母净利率</x:v>
      </x:c>
      <x:c r="D33" s="13" t="n">
        <x:f>IF(OR(D28="n.a.",D32="n.a."),"n.a.",D28/D32)</x:f>
        <x:v>0.038461538461538464</x:v>
      </x:c>
      <x:c r="E33" s="13" t="n">
        <x:f>IF(OR(E28="n.a.",E32="n.a."),"n.a.",E28/E32)</x:f>
        <x:v>0.05277777777777778</x:v>
      </x:c>
      <x:c r="F33" s="13" t="n">
        <x:f>IF(OR(F28="n.a.",F32="n.a."),"n.a.",F28/F32)</x:f>
        <x:v>0.06419753086419754</x:v>
      </x:c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36" customHeight="1">
      <x:c r="A35" s="2"/>
      <x:c r="B35" s="2"/>
      <x:c r="C35" s="17" t="str">
        <x:v>利润每变动0.5亿元，20倍P/E下价值约变化2.26元；Base P/E每变动4倍，约变化3.44元。</x:v>
      </x:c>
      <x:c r="D35" s="17"/>
      <x:c r="E35" s="17"/>
      <x:c r="F35" s="17"/>
      <x:c r="G35" s="17"/>
      <x:c r="H35" s="17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</x:sheetData>
  <x:mergeCells>
    <x:mergeCell ref="C35:H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9" hidden="0" customWidth="1"/>
    <x:col min="5" max="5" width="3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正常化估值假设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蓝色为输入；估值年份2027；利润和P/E均为研究假设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市场输入</x:v>
      </x:c>
      <x:c r="D6" s="8" t="str">
        <x:v>数值</x:v>
      </x:c>
      <x:c r="E6" s="8" t="str">
        <x:v>说明</x:v>
      </x:c>
      <x:c r="F6" s="2"/>
      <x:c r="G6" s="2"/>
      <x:c r="H6" s="2"/>
      <x:c r="I6" s="2"/>
    </x:row>
    <x:row r="7" ht="24" customHeight="1">
      <x:c r="A7" s="2"/>
      <x:c r="B7" s="2"/>
      <x:c r="C7" s="2" t="str">
        <x:v>参考价（元）</x:v>
      </x:c>
      <x:c r="D7" s="12" t="n">
        <x:v>17.28</x:v>
      </x:c>
      <x:c r="E7" s="10" t="str">
        <x:v>2026-10-09 收盘，S10</x:v>
      </x:c>
      <x:c r="F7" s="10"/>
      <x:c r="G7" s="10"/>
      <x:c r="H7" s="2"/>
      <x:c r="I7" s="2"/>
    </x:row>
    <x:row r="8" ht="24" customHeight="1">
      <x:c r="A8" s="2"/>
      <x:c r="B8" s="2"/>
      <x:c r="C8" s="2" t="str">
        <x:v>总股本（百万股）</x:v>
      </x:c>
      <x:c r="D8" s="12" t="n">
        <x:v>442.445375</x:v>
      </x:c>
      <x:c r="E8" s="10" t="str">
        <x:v>2026H1披露，S02 p97</x:v>
      </x:c>
      <x:c r="F8" s="10"/>
      <x:c r="G8" s="10"/>
      <x:c r="H8" s="2"/>
      <x:c r="I8" s="2"/>
    </x:row>
    <x:row r="9" ht="24" customHeight="1">
      <x:c r="A9" s="2"/>
      <x:c r="B9" s="2"/>
      <x:c r="C9" s="2" t="str">
        <x:v>2025年度DPS（元）</x:v>
      </x:c>
      <x:c r="D9" s="12" t="n">
        <x:v>1.2</x:v>
      </x:c>
      <x:c r="E9" s="10" t="str">
        <x:v>2025年报及中报，非未来承诺</x:v>
      </x:c>
      <x:c r="F9" s="10"/>
      <x:c r="G9" s="10"/>
      <x:c r="H9" s="2"/>
      <x:c r="I9" s="2"/>
    </x:row>
    <x:row r="10" ht="24" customHeight="1">
      <x:c r="A10" s="2"/>
      <x:c r="B10" s="2"/>
      <x:c r="C10" s="2" t="str">
        <x:v>Case Selected:</x:v>
      </x:c>
      <x:c r="D10" s="22" t="n">
        <x:v>2</x:v>
      </x:c>
      <x:c r="E10" s="10" t="str">
        <x:v>1=Bear；2=Base；3=Bull</x:v>
      </x:c>
      <x:c r="F10" s="10"/>
      <x:c r="G10" s="10"/>
      <x:c r="H10" s="2"/>
      <x:c r="I10" s="2"/>
    </x:row>
    <x:row r="11" ht="24" customHeight="1">
      <x:c r="A11" s="2"/>
      <x:c r="B11" s="2"/>
      <x:c r="C11" s="2"/>
      <x:c r="D11" s="10"/>
      <x:c r="E11" s="10"/>
      <x:c r="F11" s="10"/>
      <x:c r="G11" s="10"/>
      <x:c r="H11" s="2"/>
      <x:c r="I11" s="2"/>
    </x:row>
    <x:row r="12" ht="24" customHeight="1">
      <x:c r="A12" s="2"/>
      <x:c r="B12" s="2"/>
      <x:c r="C12" s="8" t="str">
        <x:v>情景名称</x:v>
      </x:c>
      <x:c r="D12" s="21" t="str">
        <x:v>Active</x:v>
      </x:c>
      <x:c r="E12" s="21" t="str">
        <x:v>Bear</x:v>
      </x:c>
      <x:c r="F12" s="21" t="str">
        <x:v>Base</x:v>
      </x:c>
      <x:c r="G12" s="21" t="str">
        <x:v>Bull</x:v>
      </x:c>
      <x:c r="H12" s="2"/>
      <x:c r="I12" s="2"/>
    </x:row>
    <x:row r="13" ht="24" customHeight="1">
      <x:c r="A13" s="2"/>
      <x:c r="B13" s="2"/>
      <x:c r="C13" s="2"/>
      <x:c r="D13" s="11" t="str">
        <x:f>CHOOSE($D$10,"Bear","Base","Bull")</x:f>
        <x:v>Base</x:v>
      </x:c>
      <x:c r="E13" s="10"/>
      <x:c r="F13" s="10"/>
      <x:c r="G13" s="10"/>
      <x:c r="H13" s="2"/>
      <x:c r="I13" s="2"/>
    </x:row>
    <x:row r="14" ht="24" customHeight="1">
      <x:c r="A14" s="2"/>
      <x:c r="B14" s="2"/>
      <x:c r="C14" s="2"/>
      <x:c r="D14" s="10"/>
      <x:c r="E14" s="10"/>
      <x:c r="F14" s="10"/>
      <x:c r="G14" s="10"/>
      <x:c r="H14" s="2"/>
      <x:c r="I14" s="2"/>
    </x:row>
    <x:row r="15" ht="24" customHeight="1">
      <x:c r="A15" s="2"/>
      <x:c r="B15" s="2"/>
      <x:c r="C15" s="8" t="str">
        <x:v>2027正常化归母利润</x:v>
      </x:c>
      <x:c r="D15" s="21" t="str">
        <x:v>Active</x:v>
      </x:c>
      <x:c r="E15" s="21" t="str">
        <x:v>Bear</x:v>
      </x:c>
      <x:c r="F15" s="21" t="str">
        <x:v>Base</x:v>
      </x:c>
      <x:c r="G15" s="21" t="str">
        <x:v>Bull</x:v>
      </x:c>
      <x:c r="H15" s="2"/>
      <x:c r="I15" s="2"/>
    </x:row>
    <x:row r="16" ht="24" customHeight="1">
      <x:c r="A16" s="2"/>
      <x:c r="B16" s="2"/>
      <x:c r="C16" s="2" t="str">
        <x:v>百万元</x:v>
      </x:c>
      <x:c r="D16" s="11" t="n">
        <x:f>IF(CHOOSE($D$10,ISBLANK(E16),ISBLANK(F16),ISBLANK(G16)),"n.a.",CHOOSE($D$10,E16,F16,G16))</x:f>
        <x:v>380</x:v>
      </x:c>
      <x:c r="E16" s="12" t="n">
        <x:v>250</x:v>
      </x:c>
      <x:c r="F16" s="12" t="n">
        <x:v>380</x:v>
      </x:c>
      <x:c r="G16" s="12" t="n">
        <x:v>520</x:v>
      </x:c>
      <x:c r="H16" s="2"/>
      <x:c r="I16" s="2"/>
    </x:row>
    <x:row r="17" ht="24" customHeight="1">
      <x:c r="A17" s="2"/>
      <x:c r="B17" s="2"/>
      <x:c r="C17" s="2"/>
      <x:c r="D17" s="10"/>
      <x:c r="E17" s="10"/>
      <x:c r="F17" s="10"/>
      <x:c r="G17" s="10"/>
      <x:c r="H17" s="2"/>
      <x:c r="I17" s="2"/>
    </x:row>
    <x:row r="18" ht="24" customHeight="1">
      <x:c r="A18" s="2"/>
      <x:c r="B18" s="2"/>
      <x:c r="C18" s="8" t="str">
        <x:v>2027收入假设</x:v>
      </x:c>
      <x:c r="D18" s="21" t="str">
        <x:v>Active</x:v>
      </x:c>
      <x:c r="E18" s="21" t="str">
        <x:v>Bear</x:v>
      </x:c>
      <x:c r="F18" s="21" t="str">
        <x:v>Base</x:v>
      </x:c>
      <x:c r="G18" s="21" t="str">
        <x:v>Bull</x:v>
      </x:c>
      <x:c r="H18" s="2"/>
      <x:c r="I18" s="2"/>
    </x:row>
    <x:row r="19" ht="24" customHeight="1">
      <x:c r="A19" s="2"/>
      <x:c r="B19" s="2"/>
      <x:c r="C19" s="2" t="str">
        <x:v>百万元</x:v>
      </x:c>
      <x:c r="D19" s="11" t="n">
        <x:f>IF(CHOOSE($D$10,ISBLANK(E19),ISBLANK(F19),ISBLANK(G19)),"n.a.",CHOOSE($D$10,E19,F19,G19))</x:f>
        <x:v>7200</x:v>
      </x:c>
      <x:c r="E19" s="12" t="n">
        <x:v>6500</x:v>
      </x:c>
      <x:c r="F19" s="12" t="n">
        <x:v>7200</x:v>
      </x:c>
      <x:c r="G19" s="12" t="n">
        <x:v>8100</x:v>
      </x:c>
      <x:c r="H19" s="2"/>
      <x:c r="I19" s="2"/>
    </x:row>
    <x:row r="20" ht="24" customHeight="1">
      <x:c r="A20" s="2"/>
      <x:c r="B20" s="2"/>
      <x:c r="C20" s="2"/>
      <x:c r="D20" s="10"/>
      <x:c r="E20" s="10"/>
      <x:c r="F20" s="10"/>
      <x:c r="G20" s="10"/>
      <x:c r="H20" s="2"/>
      <x:c r="I20" s="2"/>
    </x:row>
    <x:row r="21" ht="24" customHeight="1">
      <x:c r="A21" s="2"/>
      <x:c r="B21" s="2"/>
      <x:c r="C21" s="8" t="str">
        <x:v>合理P/E</x:v>
      </x:c>
      <x:c r="D21" s="21" t="str">
        <x:v>Active</x:v>
      </x:c>
      <x:c r="E21" s="21" t="str">
        <x:v>Bear</x:v>
      </x:c>
      <x:c r="F21" s="21" t="str">
        <x:v>Base</x:v>
      </x:c>
      <x:c r="G21" s="21" t="str">
        <x:v>Bull</x:v>
      </x:c>
      <x:c r="H21" s="2"/>
      <x:c r="I21" s="2"/>
    </x:row>
    <x:row r="22" ht="24" customHeight="1">
      <x:c r="A22" s="2"/>
      <x:c r="B22" s="2"/>
      <x:c r="C22" s="2" t="str">
        <x:v>倍</x:v>
      </x:c>
      <x:c r="D22" s="11" t="n">
        <x:f>IF(CHOOSE($D$10,ISBLANK(E22),ISBLANK(F22),ISBLANK(G22)),"n.a.",CHOOSE($D$10,E22,F22,G22))</x:f>
        <x:v>20</x:v>
      </x:c>
      <x:c r="E22" s="12" t="n">
        <x:v>14</x:v>
      </x:c>
      <x:c r="F22" s="12" t="n">
        <x:v>20</x:v>
      </x:c>
      <x:c r="G22" s="12" t="n">
        <x:v>26</x:v>
      </x:c>
      <x:c r="H22" s="2"/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36" customHeight="1">
      <x:c r="A25" s="2"/>
      <x:c r="B25" s="2"/>
      <x:c r="C25" s="17" t="str">
        <x:v>Bear：竞争、税负和费用抵消增长；Base：现有机构修复延续；Bull：复购、议价和新增机构均成功。</x:v>
      </x:c>
      <x:c r="D25" s="17"/>
      <x:c r="E25" s="17"/>
      <x:c r="F25" s="17"/>
      <x:c r="G25" s="17"/>
      <x:c r="H25" s="17"/>
      <x:c r="I25" s="17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36" customHeight="1">
      <x:c r="A27" s="2"/>
      <x:c r="B27" s="2"/>
      <x:c r="C27" s="17" t="str">
        <x:v>P/E已反映利息、租赁与少数股东分配；不机械加回金融资产、扣债或单独加阿卡邦市值。</x:v>
      </x:c>
      <x:c r="D27" s="17"/>
      <x:c r="E27" s="17"/>
      <x:c r="F27" s="17"/>
      <x:c r="G27" s="17"/>
      <x:c r="H27" s="17"/>
      <x:c r="I27" s="17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36" customHeight="1">
      <x:c r="A29" s="2"/>
      <x:c r="B29" s="2"/>
      <x:c r="C29" s="17" t="str">
        <x:v>14/20/26倍为研究判断，非同行均值。Base利润较拼接TTM增长约20%，非H1机械年化。</x:v>
      </x:c>
      <x:c r="D29" s="17"/>
      <x:c r="E29" s="17"/>
      <x:c r="F29" s="17"/>
      <x:c r="G29" s="17"/>
      <x:c r="H29" s="17"/>
      <x:c r="I29" s="17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36" customHeight="1">
      <x:c r="A31" s="2"/>
      <x:c r="B31" s="2"/>
      <x:c r="C31" s="17" t="str">
        <x:v>比较区按各组利润×P/E独立计算；只设一个活动情景。不是三套平行经营预测。</x:v>
      </x:c>
      <x:c r="D31" s="17"/>
      <x:c r="E31" s="17"/>
      <x:c r="F31" s="17"/>
      <x:c r="G31" s="17"/>
      <x:c r="H31" s="17"/>
      <x:c r="I31" s="17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mergeCells>
    <x:mergeCell ref="C25:I25"/>
    <x:mergeCell ref="C27:I27"/>
    <x:mergeCell ref="C29:I29"/>
    <x:mergeCell ref="C31:I31"/>
  </x:mergeCells>
  <x:dataValidations count="1">
    <x:dataValidation type="whole" operator="between" sqref="D10">
      <x:formula1>1</x:formula1>
      <x:formula2>3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0" hidden="0" customWidth="1"/>
    <x:col min="9" max="9" width="3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历史财务与业务结构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人民币百万元；年度与半年度分列；2025H1采用2026中报重述比较数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项目</x:v>
      </x:c>
      <x:c r="D6" s="8" t="str">
        <x:v>2024A</x:v>
      </x:c>
      <x:c r="E6" s="8" t="str">
        <x:v>2025A</x:v>
      </x:c>
      <x:c r="F6" s="8" t="str">
        <x:v>2025H1</x:v>
      </x:c>
      <x:c r="G6" s="8" t="str">
        <x:v>2026H1</x:v>
      </x:c>
      <x:c r="H6" s="8" t="str">
        <x:v>来源</x:v>
      </x:c>
      <x:c r="I6" s="2"/>
    </x:row>
    <x:row r="7" ht="24" customHeight="1">
      <x:c r="A7" s="2"/>
      <x:c r="B7" s="2"/>
      <x:c r="C7" s="2" t="str">
        <x:v>营业收入</x:v>
      </x:c>
      <x:c r="D7" s="12" t="n">
        <x:v>5836.51758566</x:v>
      </x:c>
      <x:c r="E7" s="12" t="n">
        <x:v>6002.71730475</x:v>
      </x:c>
      <x:c r="F7" s="12" t="n">
        <x:v>2863.26229284</x:v>
      </x:c>
      <x:c r="G7" s="12" t="n">
        <x:v>3208.47401325</x:v>
      </x:c>
      <x:c r="H7" s="2" t="str">
        <x:v>S01 p9 / S02 p11</x:v>
      </x:c>
      <x:c r="I7" s="2"/>
    </x:row>
    <x:row r="8" ht="24" customHeight="1">
      <x:c r="A8" s="2"/>
      <x:c r="B8" s="2"/>
      <x:c r="C8" s="2" t="str">
        <x:v>归母净利润</x:v>
      </x:c>
      <x:c r="D8" s="12" t="n">
        <x:v>260.63320459</x:v>
      </x:c>
      <x:c r="E8" s="12" t="n">
        <x:v>999.28532815</x:v>
      </x:c>
      <x:c r="F8" s="12" t="n">
        <x:v>277.81567542</x:v>
      </x:c>
      <x:c r="G8" s="12" t="n">
        <x:v>111.29448452</x:v>
      </x:c>
      <x:c r="H8" s="2" t="str">
        <x:v>同上</x:v>
      </x:c>
      <x:c r="I8" s="2"/>
    </x:row>
    <x:row r="9" ht="24" customHeight="1">
      <x:c r="A9" s="2"/>
      <x:c r="B9" s="2"/>
      <x:c r="C9" s="2" t="str">
        <x:v>扣非归母净利润</x:v>
      </x:c>
      <x:c r="D9" s="12" t="n">
        <x:v>217.63069296</x:v>
      </x:c>
      <x:c r="E9" s="12" t="n">
        <x:v>269.3603297</x:v>
      </x:c>
      <x:c r="F9" s="12" t="n">
        <x:v>136.14329261</x:v>
      </x:c>
      <x:c r="G9" s="12" t="n">
        <x:v>184.15192447</x:v>
      </x:c>
      <x:c r="H9" s="2" t="str">
        <x:v>同上</x:v>
      </x:c>
      <x:c r="I9" s="2"/>
    </x:row>
    <x:row r="10" ht="24" customHeight="1">
      <x:c r="A10" s="2"/>
      <x:c r="B10" s="2"/>
      <x:c r="C10" s="2" t="str">
        <x:v>经营现金流</x:v>
      </x:c>
      <x:c r="D10" s="12" t="n">
        <x:v>578.16390122</x:v>
      </x:c>
      <x:c r="E10" s="12" t="n">
        <x:v>445.19640392</x:v>
      </x:c>
      <x:c r="F10" s="12" t="n">
        <x:v>295.30802137</x:v>
      </x:c>
      <x:c r="G10" s="12" t="n">
        <x:v>330.98726578</x:v>
      </x:c>
      <x:c r="H10" s="2" t="str">
        <x:v>同上</x:v>
      </x:c>
      <x:c r="I10" s="2"/>
    </x:row>
    <x:row r="11" ht="24" customHeight="1">
      <x:c r="A11" s="2"/>
      <x:c r="B11" s="2"/>
      <x:c r="C11" s="2" t="str">
        <x:v>现金资本开支</x:v>
      </x:c>
      <x:c r="D11" s="12" t="n">
        <x:v>157.59351181</x:v>
      </x:c>
      <x:c r="E11" s="12" t="n">
        <x:v>105.42144356</x:v>
      </x:c>
      <x:c r="F11" s="12" t="n">
        <x:v>50.13460124</x:v>
      </x:c>
      <x:c r="G11" s="12" t="n">
        <x:v>44.63735591</x:v>
      </x:c>
      <x:c r="H11" s="2" t="str">
        <x:v>S01 p142 / S02 p104</x:v>
      </x:c>
      <x:c r="I11" s="2"/>
    </x:row>
    <x:row r="12" ht="24" customHeight="1">
      <x:c r="A12" s="2"/>
      <x:c r="B12" s="2"/>
      <x:c r="C12" s="2" t="str">
        <x:v>非经常性归母损益</x:v>
      </x:c>
      <x:c r="D12" s="11" t="n">
        <x:f>D8-D9</x:f>
        <x:v>43.00251162999999</x:v>
      </x:c>
      <x:c r="E12" s="11" t="n">
        <x:f>E8-E9</x:f>
        <x:v>729.92499845</x:v>
      </x:c>
      <x:c r="F12" s="11" t="n">
        <x:f>F8-F9</x:f>
        <x:v>141.67238281</x:v>
      </x:c>
      <x:c r="G12" s="11" t="n">
        <x:f>G8-G9</x:f>
        <x:v>-72.85743995000001</x:v>
      </x:c>
      <x:c r="H12" s="2" t="str">
        <x:v>研究计算：归母减扣非</x:v>
      </x:c>
      <x:c r="I12" s="2"/>
    </x:row>
    <x:row r="13" ht="24" customHeight="1">
      <x:c r="A13" s="2"/>
      <x:c r="B13" s="2"/>
      <x:c r="C13" s="2" t="str">
        <x:v>扣非归母净利率</x:v>
      </x:c>
      <x:c r="D13" s="13" t="n">
        <x:f>D9/D7</x:f>
        <x:v>0.037287764453020164</x:v>
      </x:c>
      <x:c r="E13" s="13" t="n">
        <x:f>E9/E7</x:f>
        <x:v>0.044873065984109055</x:v>
      </x:c>
      <x:c r="F13" s="13" t="n">
        <x:f>F9/F7</x:f>
        <x:v>0.04754831331745119</x:v>
      </x:c>
      <x:c r="G13" s="13" t="n">
        <x:f>G9/G7</x:f>
        <x:v>0.05739548573855042</x:v>
      </x:c>
      <x:c r="H13" s="2" t="str">
        <x:v>研究计算</x:v>
      </x:c>
      <x:c r="I13" s="2"/>
    </x:row>
    <x:row r="14" ht="24" customHeight="1">
      <x:c r="A14" s="2"/>
      <x:c r="B14" s="2"/>
      <x:c r="C14" s="2" t="str">
        <x:v>经营现金流/扣非利润</x:v>
      </x:c>
      <x:c r="D14" s="11" t="n">
        <x:f>D10/D9</x:f>
        <x:v>2.6566284992083586</x:v>
      </x:c>
      <x:c r="E14" s="11" t="n">
        <x:f>E10/E9</x:f>
        <x:v>1.6527912793091595</x:v>
      </x:c>
      <x:c r="F14" s="11" t="n">
        <x:f>F10/F9</x:f>
        <x:v>2.1690971013603138</x:v>
      </x:c>
      <x:c r="G14" s="11" t="n">
        <x:f>G10/G9</x:f>
        <x:v>1.7973597980721658</x:v>
      </x:c>
      <x:c r="H14" s="2" t="str">
        <x:v>合并现金流/归母利润，范围不同</x:v>
      </x:c>
      <x:c r="I14" s="2"/>
    </x:row>
    <x:row r="15" ht="24" customHeight="1">
      <x:c r="A15" s="2"/>
      <x:c r="B15" s="2"/>
      <x:c r="C15" s="2" t="str">
        <x:v>简化自由现金流</x:v>
      </x:c>
      <x:c r="D15" s="11" t="n">
        <x:f>D10-D11</x:f>
        <x:v>420.57038940999996</x:v>
      </x:c>
      <x:c r="E15" s="11" t="n">
        <x:f>E10-E11</x:f>
        <x:v>339.77496036</x:v>
      </x:c>
      <x:c r="F15" s="11" t="n">
        <x:f>F10-F11</x:f>
        <x:v>245.17342013</x:v>
      </x:c>
      <x:c r="G15" s="11" t="n">
        <x:f>G10-G11</x:f>
        <x:v>286.34990987</x:v>
      </x:c>
      <x:c r="H15" s="2" t="str">
        <x:v>经营现金流减资本开支，未扣租赁</x:v>
      </x:c>
      <x:c r="I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4" customHeight="1">
      <x:c r="A18" s="2"/>
      <x:c r="B18" s="2"/>
      <x:c r="C18" s="8" t="str">
        <x:v>主营业务</x:v>
      </x:c>
      <x:c r="D18" s="8" t="str">
        <x:v>2025H1收入</x:v>
      </x:c>
      <x:c r="E18" s="8" t="str">
        <x:v>2026H1收入</x:v>
      </x:c>
      <x:c r="F18" s="8" t="str">
        <x:v>2026H1毛利率</x:v>
      </x:c>
      <x:c r="G18" s="8" t="str">
        <x:v>收入增速</x:v>
      </x:c>
      <x:c r="H18" s="8" t="str">
        <x:v>来源</x:v>
      </x:c>
      <x:c r="I18" s="2"/>
    </x:row>
    <x:row r="19" ht="24" customHeight="1">
      <x:c r="A19" s="2"/>
      <x:c r="B19" s="2"/>
      <x:c r="C19" s="2" t="str">
        <x:v>女装</x:v>
      </x:c>
      <x:c r="D19" s="12" t="n">
        <x:v>987.97260111</x:v>
      </x:c>
      <x:c r="E19" s="12" t="n">
        <x:v>1120.74904636</x:v>
      </x:c>
      <x:c r="F19" s="15" t="n">
        <x:v>0.6536</x:v>
      </x:c>
      <x:c r="G19" s="13" t="n">
        <x:f>E19/D19-1</x:f>
        <x:v>0.1343928415634441</x:v>
      </x:c>
      <x:c r="H19" s="2" t="str">
        <x:v>S02 p46-47</x:v>
      </x:c>
      <x:c r="I19" s="2"/>
    </x:row>
    <x:row r="20" ht="24" customHeight="1">
      <x:c r="A20" s="2"/>
      <x:c r="B20" s="2"/>
      <x:c r="C20" s="2" t="str">
        <x:v>医美</x:v>
      </x:c>
      <x:c r="D20" s="12" t="n">
        <x:v>1408.03734331</x:v>
      </x:c>
      <x:c r="E20" s="12" t="n">
        <x:v>1618.7384517</x:v>
      </x:c>
      <x:c r="F20" s="15" t="n">
        <x:v>0.595</x:v>
      </x:c>
      <x:c r="G20" s="13" t="n">
        <x:f>E20/D20-1</x:f>
        <x:v>0.14964170473965255</x:v>
      </x:c>
      <x:c r="H20" s="2" t="str">
        <x:v>S02 p46-47</x:v>
      </x:c>
      <x:c r="I20" s="2"/>
    </x:row>
    <x:row r="21" ht="24" customHeight="1">
      <x:c r="A21" s="2"/>
      <x:c r="B21" s="2"/>
      <x:c r="C21" s="2" t="str">
        <x:v>婴童</x:v>
      </x:c>
      <x:c r="D21" s="12" t="n">
        <x:v>434.88329344</x:v>
      </x:c>
      <x:c r="E21" s="12" t="n">
        <x:v>447.87776979</x:v>
      </x:c>
      <x:c r="F21" s="15" t="n">
        <x:v>0.6409</x:v>
      </x:c>
      <x:c r="G21" s="13" t="n">
        <x:f>E21/D21-1</x:f>
        <x:v>0.029880376059543412</x:v>
      </x:c>
      <x:c r="H21" s="2" t="str">
        <x:v>S02 p46-47</x:v>
      </x:c>
      <x:c r="I21" s="2"/>
    </x:row>
    <x:row r="22" ht="24" customHeight="1">
      <x:c r="A22" s="2"/>
      <x:c r="B22" s="2"/>
      <x:c r="C22" s="2" t="str">
        <x:v>其他</x:v>
      </x:c>
      <x:c r="D22" s="12" t="n">
        <x:v>32.36905498</x:v>
      </x:c>
      <x:c r="E22" s="12" t="n">
        <x:v>21.1087454</x:v>
      </x:c>
      <x:c r="F22" s="15"/>
      <x:c r="G22" s="13" t="n">
        <x:f>E22/D22-1</x:f>
        <x:v>-0.3478726699607837</x:v>
      </x:c>
      <x:c r="H22" s="2" t="str">
        <x:v>S02 p46-47</x:v>
      </x:c>
      <x:c r="I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24" customHeight="1">
      <x:c r="A24" s="2"/>
      <x:c r="B24" s="2"/>
      <x:c r="C24" s="8" t="str">
        <x:v>补充指标</x:v>
      </x:c>
      <x:c r="D24" s="8" t="str">
        <x:v>2025H1</x:v>
      </x:c>
      <x:c r="E24" s="8" t="str">
        <x:v>2026H1</x:v>
      </x:c>
      <x:c r="F24" s="8" t="str">
        <x:v>变化</x:v>
      </x:c>
      <x:c r="G24" s="8" t="str">
        <x:v>来源</x:v>
      </x:c>
      <x:c r="H24" s="2"/>
      <x:c r="I24" s="2"/>
    </x:row>
    <x:row r="25" ht="24" customHeight="1">
      <x:c r="A25" s="2"/>
      <x:c r="B25" s="2"/>
      <x:c r="C25" s="2" t="str">
        <x:v>医美毛利率</x:v>
      </x:c>
      <x:c r="D25" s="14" t="n">
        <x:v>0.5473</x:v>
      </x:c>
      <x:c r="E25" s="14" t="n">
        <x:v>0.595</x:v>
      </x:c>
      <x:c r="F25" s="13" t="n">
        <x:f>E25-D25</x:f>
        <x:v>0.047699999999999965</x:v>
      </x:c>
      <x:c r="G25" s="2" t="str">
        <x:v>S02 p53</x:v>
      </x:c>
      <x:c r="H25" s="2"/>
      <x:c r="I25" s="2"/>
    </x:row>
    <x:row r="26" ht="24" customHeight="1">
      <x:c r="A26" s="2"/>
      <x:c r="B26" s="2"/>
      <x:c r="C26" s="2" t="str">
        <x:v>医美手术收入</x:v>
      </x:c>
      <x:c r="D26" s="10" t="n">
        <x:v>193.08672943</x:v>
      </x:c>
      <x:c r="E26" s="10" t="n">
        <x:v>159.52517118</x:v>
      </x:c>
      <x:c r="F26" s="13" t="n">
        <x:f>E26/D26-1</x:f>
        <x:v>-0.17381597559332584</x:v>
      </x:c>
      <x:c r="G26" s="2" t="str">
        <x:v>S02 p46</x:v>
      </x:c>
      <x:c r="H26" s="2"/>
      <x:c r="I26" s="2"/>
    </x:row>
    <x:row r="27" ht="24" customHeight="1">
      <x:c r="A27" s="2"/>
      <x:c r="B27" s="2"/>
      <x:c r="C27" s="2" t="str">
        <x:v>医美非手术收入</x:v>
      </x:c>
      <x:c r="D27" s="10" t="n">
        <x:v>1214.95061388</x:v>
      </x:c>
      <x:c r="E27" s="10" t="n">
        <x:v>1459.21328052</x:v>
      </x:c>
      <x:c r="F27" s="13" t="n">
        <x:f>E27/D27-1</x:f>
        <x:v>0.20104740377877262</x:v>
      </x:c>
      <x:c r="G27" s="2" t="str">
        <x:v>S02 p46</x:v>
      </x:c>
      <x:c r="H27" s="2"/>
      <x:c r="I27" s="2"/>
    </x:row>
    <x:row r="28" ht="24" customHeight="1">
      <x:c r="A28" s="2"/>
      <x:c r="B28" s="2"/>
      <x:c r="C28" s="2" t="str">
        <x:v>女装线上收入</x:v>
      </x:c>
      <x:c r="D28" s="10" t="n">
        <x:v>457.293</x:v>
      </x:c>
      <x:c r="E28" s="10" t="n">
        <x:v>623.0218</x:v>
      </x:c>
      <x:c r="F28" s="13" t="n">
        <x:f>E28/D28-1</x:f>
        <x:v>0.3624127200722511</x:v>
      </x:c>
      <x:c r="G28" s="2" t="str">
        <x:v>S02 p18</x:v>
      </x:c>
      <x:c r="H28" s="2"/>
      <x:c r="I28" s="2"/>
    </x:row>
    <x:row r="29" ht="24" customHeight="1">
      <x:c r="A29" s="2"/>
      <x:c r="B29" s="2"/>
      <x:c r="C29" s="2" t="str">
        <x:v>销售费用</x:v>
      </x:c>
      <x:c r="D29" s="10" t="n">
        <x:v>1148.65043595</x:v>
      </x:c>
      <x:c r="E29" s="10" t="n">
        <x:v>1285.29726755</x:v>
      </x:c>
      <x:c r="F29" s="13" t="n">
        <x:f>E29/D29-1</x:f>
        <x:v>0.11896293887442377</x:v>
      </x:c>
      <x:c r="G29" s="2" t="str">
        <x:v>S02 p45</x:v>
      </x:c>
      <x:c r="H29" s="2"/>
      <x:c r="I29" s="2"/>
    </x:row>
    <x:row r="30" ht="24" customHeight="1">
      <x:c r="A30" s="2"/>
      <x:c r="B30" s="2"/>
      <x:c r="C30" s="2" t="str">
        <x:v>销售费用率</x:v>
      </x:c>
      <x:c r="D30" s="13" t="n">
        <x:f>D29/F7</x:f>
        <x:v>0.40116842904066663</x:v>
      </x:c>
      <x:c r="E30" s="13" t="n">
        <x:f>E29/G7</x:f>
        <x:v>0.40059456995510073</x:v>
      </x:c>
      <x:c r="F30" s="13" t="n">
        <x:f>E30-D30</x:f>
        <x:v>-0.0005738590855658976</x:v>
      </x:c>
      <x:c r="G30" s="2" t="str">
        <x:v>研究计算</x:v>
      </x:c>
      <x:c r="H30" s="2"/>
      <x:c r="I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36" customHeight="1">
      <x:c r="A33" s="2"/>
      <x:c r="B33" s="2"/>
      <x:c r="C33" s="17" t="str">
        <x:v>2024、2025年度采用2025年报；2025H1采用2026中报重述数。TTM为跨报告拼接近似值。</x:v>
      </x:c>
      <x:c r="D33" s="17"/>
      <x:c r="E33" s="17"/>
      <x:c r="F33" s="17"/>
      <x:c r="G33" s="17"/>
      <x:c r="H33" s="17"/>
      <x:c r="I33" s="17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36" customHeight="1">
      <x:c r="A35" s="2"/>
      <x:c r="B35" s="2"/>
      <x:c r="C35" s="17" t="str">
        <x:v>医美非手术项目占比上升和供应商议价共同推动毛利；机构增长不等同完整同店增长。</x:v>
      </x:c>
      <x:c r="D35" s="17"/>
      <x:c r="E35" s="17"/>
      <x:c r="F35" s="17"/>
      <x:c r="G35" s="17"/>
      <x:c r="H35" s="17"/>
      <x:c r="I35" s="17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36" customHeight="1">
      <x:c r="A37" s="2"/>
      <x:c r="B37" s="2"/>
      <x:c r="C37" s="17" t="str">
        <x:v>管理层分部净利口径存在抵消/归属差异，未直接用于SOTP。正式财报作为历史主数据。</x:v>
      </x:c>
      <x:c r="D37" s="17"/>
      <x:c r="E37" s="17"/>
      <x:c r="F37" s="17"/>
      <x:c r="G37" s="17"/>
      <x:c r="H37" s="17"/>
      <x:c r="I37" s="17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</x:row>
  </x:sheetData>
  <x:mergeCells>
    <x:mergeCell ref="C33:I33"/>
    <x:mergeCell ref="C35:I35"/>
    <x:mergeCell ref="C37:I3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19" hidden="0" customWidth="1"/>
    <x:col min="5" max="5" width="19" hidden="0" customWidth="1"/>
    <x:col min="6" max="6" width="35" hidden="0" customWidth="1"/>
    <x:col min="7" max="7" width="19" hidden="0" customWidth="1"/>
    <x:col min="8" max="8" width="19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2"/>
      <x:c r="B2" s="2"/>
      <x:c r="C2" s="3" t="str">
        <x:v>债务、现金流与资本分配</x:v>
      </x:c>
      <x:c r="D2" s="2"/>
      <x:c r="E2" s="2"/>
      <x:c r="F2" s="2"/>
      <x:c r="G2" s="2"/>
      <x:c r="H2" s="2"/>
    </x:row>
    <x:row r="3" ht="24" customHeight="1">
      <x:c r="A3" s="2"/>
      <x:c r="B3" s="2"/>
      <x:c r="C3" s="4"/>
      <x:c r="D3" s="4"/>
      <x:c r="E3" s="4"/>
      <x:c r="F3" s="4"/>
      <x:c r="G3" s="4"/>
      <x:c r="H3" s="4"/>
    </x:row>
    <x:row r="4" ht="24" customHeight="1">
      <x:c r="A4" s="2"/>
      <x:c r="B4" s="2"/>
      <x:c r="C4" s="5" t="str">
        <x:v>人民币百万元；截至2026-06-30；P/E不再扣减净债务</x:v>
      </x:c>
      <x:c r="D4" s="2"/>
      <x:c r="E4" s="2"/>
      <x:c r="F4" s="2"/>
      <x:c r="G4" s="2"/>
      <x:c r="H4" s="2"/>
    </x:row>
    <x:row r="5" ht="24" customHeight="1">
      <x:c r="A5" s="2"/>
      <x:c r="B5" s="2"/>
      <x:c r="C5" s="2"/>
      <x:c r="D5" s="2"/>
      <x:c r="E5" s="2"/>
      <x:c r="F5" s="2"/>
      <x:c r="G5" s="2"/>
      <x:c r="H5" s="2"/>
    </x:row>
    <x:row r="6" ht="24" customHeight="1">
      <x:c r="A6" s="2"/>
      <x:c r="B6" s="2"/>
      <x:c r="C6" s="8" t="str">
        <x:v>项目</x:v>
      </x:c>
      <x:c r="D6" s="8" t="str">
        <x:v>2025末重述</x:v>
      </x:c>
      <x:c r="E6" s="8" t="str">
        <x:v>2026H1末</x:v>
      </x:c>
      <x:c r="F6" s="8" t="str">
        <x:v>来源</x:v>
      </x:c>
      <x:c r="G6" s="2"/>
      <x:c r="H6" s="2"/>
    </x:row>
    <x:row r="7" ht="24" customHeight="1">
      <x:c r="A7" s="2"/>
      <x:c r="B7" s="2"/>
      <x:c r="C7" s="2" t="str">
        <x:v>货币资金</x:v>
      </x:c>
      <x:c r="D7" s="10" t="n">
        <x:v>801.49518051</x:v>
      </x:c>
      <x:c r="E7" s="10" t="n">
        <x:v>528.71173944</x:v>
      </x:c>
      <x:c r="F7" s="2" t="str">
        <x:v>S02 p95-97/181/195</x:v>
      </x:c>
      <x:c r="G7" s="2"/>
      <x:c r="H7" s="2"/>
    </x:row>
    <x:row r="8" ht="24" customHeight="1">
      <x:c r="A8" s="2"/>
      <x:c r="B8" s="2"/>
      <x:c r="C8" s="2" t="str">
        <x:v>受限资金</x:v>
      </x:c>
      <x:c r="D8" s="10" t="n">
        <x:v>6</x:v>
      </x:c>
      <x:c r="E8" s="10" t="n">
        <x:v>13.20887636</x:v>
      </x:c>
      <x:c r="F8" s="2" t="str">
        <x:v>S02 p95-97/181/195</x:v>
      </x:c>
      <x:c r="G8" s="2"/>
      <x:c r="H8" s="2"/>
    </x:row>
    <x:row r="9" ht="24" customHeight="1">
      <x:c r="A9" s="2"/>
      <x:c r="B9" s="2"/>
      <x:c r="C9" s="2" t="str">
        <x:v>可用现金</x:v>
      </x:c>
      <x:c r="D9" s="11" t="n">
        <x:f>D7-D8</x:f>
        <x:v>795.49518051</x:v>
      </x:c>
      <x:c r="E9" s="11" t="n">
        <x:f>E7-E8</x:f>
        <x:v>515.50286308</x:v>
      </x:c>
      <x:c r="F9" s="2" t="str">
        <x:v>S02 p95-97/181/195</x:v>
      </x:c>
      <x:c r="G9" s="2"/>
      <x:c r="H9" s="2"/>
    </x:row>
    <x:row r="10" ht="24" customHeight="1">
      <x:c r="A10" s="2"/>
      <x:c r="B10" s="2"/>
      <x:c r="C10" s="2" t="str">
        <x:v>短期借款</x:v>
      </x:c>
      <x:c r="D10" s="10" t="n">
        <x:v>1112.80592862</x:v>
      </x:c>
      <x:c r="E10" s="10" t="n">
        <x:v>1472.51981106</x:v>
      </x:c>
      <x:c r="F10" s="2" t="str">
        <x:v>S02 p95-97/181/195</x:v>
      </x:c>
      <x:c r="G10" s="2"/>
      <x:c r="H10" s="2"/>
    </x:row>
    <x:row r="11" ht="24" customHeight="1">
      <x:c r="A11" s="2"/>
      <x:c r="B11" s="2"/>
      <x:c r="C11" s="2" t="str">
        <x:v>长期借款</x:v>
      </x:c>
      <x:c r="D11" s="10" t="n">
        <x:v>276.27221111</x:v>
      </x:c>
      <x:c r="E11" s="10" t="n">
        <x:v>255.96936063</x:v>
      </x:c>
      <x:c r="F11" s="2" t="str">
        <x:v>S02 p95-97/181/195</x:v>
      </x:c>
      <x:c r="G11" s="2"/>
      <x:c r="H11" s="2"/>
    </x:row>
    <x:row r="12" ht="24" customHeight="1">
      <x:c r="A12" s="2"/>
      <x:c r="B12" s="2"/>
      <x:c r="C12" s="2" t="str">
        <x:v>一年内到期借款</x:v>
      </x:c>
      <x:c r="D12" s="10" t="n">
        <x:v>59.4594</x:v>
      </x:c>
      <x:c r="E12" s="10" t="n">
        <x:v>85.06574723</x:v>
      </x:c>
      <x:c r="F12" s="2" t="str">
        <x:v>S02 p95-97/181/195</x:v>
      </x:c>
      <x:c r="G12" s="2"/>
      <x:c r="H12" s="2"/>
    </x:row>
    <x:row r="13" ht="24" customHeight="1">
      <x:c r="A13" s="2"/>
      <x:c r="B13" s="2"/>
      <x:c r="C13" s="2" t="str">
        <x:v>应付债券（非流动）</x:v>
      </x:c>
      <x:c r="D13" s="10" t="n">
        <x:v>143.10651251</x:v>
      </x:c>
      <x:c r="E13" s="10" t="n">
        <x:v>140.98862574</x:v>
      </x:c>
      <x:c r="F13" s="2" t="str">
        <x:v>S02 p95-97/181/195</x:v>
      </x:c>
      <x:c r="G13" s="2"/>
      <x:c r="H13" s="2"/>
    </x:row>
    <x:row r="14" ht="24" customHeight="1">
      <x:c r="A14" s="2"/>
      <x:c r="B14" s="2"/>
      <x:c r="C14" s="2" t="str">
        <x:v>一年内到期债券</x:v>
      </x:c>
      <x:c r="D14" s="10" t="n">
        <x:v>226.11674226</x:v>
      </x:c>
      <x:c r="E14" s="10" t="n">
        <x:v>0</x:v>
      </x:c>
      <x:c r="F14" s="2" t="str">
        <x:v>S02 p95-97/181/195</x:v>
      </x:c>
      <x:c r="G14" s="2"/>
      <x:c r="H14" s="2"/>
    </x:row>
    <x:row r="15" ht="24" customHeight="1">
      <x:c r="A15" s="2"/>
      <x:c r="B15" s="2"/>
      <x:c r="C15" s="2" t="str">
        <x:v>金融借款合计</x:v>
      </x:c>
      <x:c r="D15" s="11" t="n">
        <x:f>SUM(D10:D14)</x:f>
        <x:v>1817.7607944999997</x:v>
      </x:c>
      <x:c r="E15" s="11" t="n">
        <x:f>SUM(E10:E14)</x:f>
        <x:v>1954.54354466</x:v>
      </x:c>
      <x:c r="F15" s="2" t="str">
        <x:v>S02 p95-97/181/195</x:v>
      </x:c>
      <x:c r="G15" s="2"/>
      <x:c r="H15" s="2"/>
    </x:row>
    <x:row r="16" ht="24" customHeight="1">
      <x:c r="A16" s="2"/>
      <x:c r="B16" s="2"/>
      <x:c r="C16" s="2" t="str">
        <x:v>严格净债务</x:v>
      </x:c>
      <x:c r="D16" s="11" t="n">
        <x:f>D15-D9</x:f>
        <x:v>1022.2656139899998</x:v>
      </x:c>
      <x:c r="E16" s="11" t="n">
        <x:f>E15-E9</x:f>
        <x:v>1439.04068158</x:v>
      </x:c>
      <x:c r="F16" s="2" t="str">
        <x:v>S02 p95-97/181/195</x:v>
      </x:c>
      <x:c r="G16" s="2"/>
      <x:c r="H16" s="2"/>
    </x:row>
    <x:row r="17" ht="24" customHeight="1">
      <x:c r="A17" s="2"/>
      <x:c r="B17" s="2"/>
      <x:c r="C17" s="2" t="str">
        <x:v>租赁负债（非流动）</x:v>
      </x:c>
      <x:c r="D17" s="10" t="n">
        <x:v>736.1250545</x:v>
      </x:c>
      <x:c r="E17" s="10" t="n">
        <x:v>721.41266557</x:v>
      </x:c>
      <x:c r="F17" s="2" t="str">
        <x:v>S02 p95-97/181/195</x:v>
      </x:c>
      <x:c r="G17" s="2"/>
      <x:c r="H17" s="2"/>
    </x:row>
    <x:row r="18" ht="24" customHeight="1">
      <x:c r="A18" s="2"/>
      <x:c r="B18" s="2"/>
      <x:c r="C18" s="2" t="str">
        <x:v>一年内到期租赁负债</x:v>
      </x:c>
      <x:c r="D18" s="10" t="n">
        <x:v>3.210519</x:v>
      </x:c>
      <x:c r="E18" s="10" t="n">
        <x:v>4.33386706</x:v>
      </x:c>
      <x:c r="F18" s="2" t="str">
        <x:v>S02 p95-97/181/195</x:v>
      </x:c>
      <x:c r="G18" s="2"/>
      <x:c r="H18" s="2"/>
    </x:row>
    <x:row r="19" ht="24" customHeight="1">
      <x:c r="A19" s="2"/>
      <x:c r="B19" s="2"/>
      <x:c r="C19" s="2" t="str">
        <x:v>租赁调整净债务</x:v>
      </x:c>
      <x:c r="D19" s="11" t="n">
        <x:f>SUM(D16:D18)</x:f>
        <x:v>1761.6011874899998</x:v>
      </x:c>
      <x:c r="E19" s="11" t="n">
        <x:f>SUM(E16:E18)</x:f>
        <x:v>2164.78721421</x:v>
      </x:c>
      <x:c r="F19" s="2" t="str">
        <x:v>S02 p95-97/181/195</x:v>
      </x:c>
      <x:c r="G19" s="2"/>
      <x:c r="H19" s="2"/>
    </x:row>
    <x:row r="20" ht="24" customHeight="1">
      <x:c r="A20" s="2"/>
      <x:c r="B20" s="2"/>
      <x:c r="C20" s="2" t="str">
        <x:v>交易性金融资产</x:v>
      </x:c>
      <x:c r="D20" s="10" t="n">
        <x:v>385.49298735</x:v>
      </x:c>
      <x:c r="E20" s="10" t="n">
        <x:v>245.0491377</x:v>
      </x:c>
      <x:c r="F20" s="2" t="str">
        <x:v>S02 p95-97/181/195</x:v>
      </x:c>
      <x:c r="G20" s="2"/>
      <x:c r="H20" s="2"/>
    </x:row>
    <x:row r="21" ht="24" customHeight="1">
      <x:c r="A21" s="2"/>
      <x:c r="B21" s="2"/>
      <x:c r="C21" s="2" t="str">
        <x:v>归母净资产</x:v>
      </x:c>
      <x:c r="D21" s="10" t="n">
        <x:v>3401.61841396</x:v>
      </x:c>
      <x:c r="E21" s="10" t="n">
        <x:v>2808.57186581</x:v>
      </x:c>
      <x:c r="F21" s="2" t="str">
        <x:v>S02 p95-97/181/195</x:v>
      </x:c>
      <x:c r="G21" s="2"/>
      <x:c r="H21" s="2"/>
    </x:row>
    <x:row r="22" ht="24" customHeight="1">
      <x:c r="A22" s="2"/>
      <x:c r="B22" s="2"/>
      <x:c r="C22" s="2" t="str">
        <x:v>商誉净额</x:v>
      </x:c>
      <x:c r="D22" s="10" t="n">
        <x:v>1918.7020233</x:v>
      </x:c>
      <x:c r="E22" s="10" t="n">
        <x:v>1958.09023475</x:v>
      </x:c>
      <x:c r="F22" s="2" t="str">
        <x:v>S02 p95-97/181/195</x:v>
      </x:c>
      <x:c r="G22" s="2"/>
      <x:c r="H22" s="2"/>
    </x:row>
    <x:row r="23" ht="24" customHeight="1">
      <x:c r="A23" s="2"/>
      <x:c r="B23" s="2"/>
      <x:c r="C23" s="2" t="str">
        <x:v>合同负债</x:v>
      </x:c>
      <x:c r="D23" s="10" t="n">
        <x:v>1055.32735401</x:v>
      </x:c>
      <x:c r="E23" s="10" t="n">
        <x:v>1048.71794353</x:v>
      </x:c>
      <x:c r="F23" s="2" t="str">
        <x:v>S02 p95-97/181/195</x:v>
      </x:c>
      <x:c r="G23" s="2"/>
      <x:c r="H23" s="2"/>
    </x:row>
    <x:row r="24" ht="24" customHeight="1">
      <x:c r="A24" s="2"/>
      <x:c r="B24" s="2"/>
      <x:c r="C24" s="2" t="str">
        <x:v>存货</x:v>
      </x:c>
      <x:c r="D24" s="10" t="n">
        <x:v>1241.85822786</x:v>
      </x:c>
      <x:c r="E24" s="10" t="n">
        <x:v>1174.50525182</x:v>
      </x:c>
      <x:c r="F24" s="2" t="str">
        <x:v>S02 p95-97/181/195</x:v>
      </x:c>
      <x:c r="G24" s="2"/>
      <x:c r="H24" s="2"/>
    </x:row>
    <x:row r="25" ht="24" customHeight="1">
      <x:c r="A25" s="2"/>
      <x:c r="B25" s="2"/>
      <x:c r="C25" s="2" t="str">
        <x:v>应收账款</x:v>
      </x:c>
      <x:c r="D25" s="10" t="n">
        <x:v>149.07500273</x:v>
      </x:c>
      <x:c r="E25" s="10" t="n">
        <x:v>149.41494954</x:v>
      </x:c>
      <x:c r="F25" s="2" t="str">
        <x:v>S02 p95-97/181/195</x:v>
      </x:c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8" t="str">
        <x:v>现金用途</x:v>
      </x:c>
      <x:c r="D28" s="8" t="str">
        <x:v>2026H1金额</x:v>
      </x:c>
      <x:c r="E28" s="8" t="str">
        <x:v>来源</x:v>
      </x:c>
      <x:c r="F28" s="2"/>
      <x:c r="G28" s="2"/>
      <x:c r="H28" s="2"/>
    </x:row>
    <x:row r="29" ht="24" customHeight="1">
      <x:c r="A29" s="2"/>
      <x:c r="B29" s="2"/>
      <x:c r="C29" s="2" t="str">
        <x:v>经营现金流</x:v>
      </x:c>
      <x:c r="D29" s="19" t="n">
        <x:f>'Financials'!G10</x:f>
        <x:v>330.98726578</x:v>
      </x:c>
      <x:c r="E29" s="2" t="str">
        <x:v>Financials</x:v>
      </x:c>
      <x:c r="F29" s="2"/>
      <x:c r="G29" s="2"/>
      <x:c r="H29" s="2"/>
    </x:row>
    <x:row r="30" ht="24" customHeight="1">
      <x:c r="A30" s="2"/>
      <x:c r="B30" s="2"/>
      <x:c r="C30" s="2" t="str">
        <x:v>现金资本开支</x:v>
      </x:c>
      <x:c r="D30" s="19" t="n">
        <x:f>'Financials'!G11</x:f>
        <x:v>44.63735591</x:v>
      </x:c>
      <x:c r="E30" s="2" t="str">
        <x:v>Financials</x:v>
      </x:c>
      <x:c r="F30" s="2"/>
      <x:c r="G30" s="2"/>
      <x:c r="H30" s="2"/>
    </x:row>
    <x:row r="31" ht="24" customHeight="1">
      <x:c r="A31" s="2"/>
      <x:c r="B31" s="2"/>
      <x:c r="C31" s="2" t="str">
        <x:v>筹资项下租赁现金流</x:v>
      </x:c>
      <x:c r="D31" s="10" t="n">
        <x:v>77.80840125</x:v>
      </x:c>
      <x:c r="E31" s="2" t="str">
        <x:v>S02 p193，含披露租赁总付款</x:v>
      </x:c>
      <x:c r="F31" s="2"/>
      <x:c r="G31" s="2"/>
      <x:c r="H31" s="2"/>
    </x:row>
    <x:row r="32" ht="24" customHeight="1">
      <x:c r="A32" s="2"/>
      <x:c r="B32" s="2"/>
      <x:c r="C32" s="2" t="str">
        <x:v>融资租赁付款</x:v>
      </x:c>
      <x:c r="D32" s="10" t="n">
        <x:v>0.1876</x:v>
      </x:c>
      <x:c r="E32" s="2" t="str">
        <x:v>S02 p193</x:v>
      </x:c>
      <x:c r="F32" s="2"/>
      <x:c r="G32" s="2"/>
      <x:c r="H32" s="2"/>
    </x:row>
    <x:row r="33" ht="24" customHeight="1">
      <x:c r="A33" s="2"/>
      <x:c r="B33" s="2"/>
      <x:c r="C33" s="2" t="str">
        <x:v>扣租赁现金后的现金流</x:v>
      </x:c>
      <x:c r="D33" s="11" t="n">
        <x:f>D29-SUM(D30:D32)</x:f>
        <x:v>208.35390861999997</x:v>
      </x:c>
      <x:c r="E33" s="2" t="str">
        <x:v>研究保守代理口径</x:v>
      </x:c>
      <x:c r="F33" s="2"/>
      <x:c r="G33" s="2"/>
      <x:c r="H33" s="2"/>
    </x:row>
    <x:row r="34" ht="24" customHeight="1">
      <x:c r="A34" s="2"/>
      <x:c r="B34" s="2"/>
      <x:c r="C34" s="2" t="str">
        <x:v>取得子公司现金净额</x:v>
      </x:c>
      <x:c r="D34" s="10" t="n">
        <x:v>11.39487902</x:v>
      </x:c>
      <x:c r="E34" s="2" t="str">
        <x:v>S02 p104/195</x:v>
      </x:c>
      <x:c r="F34" s="2"/>
      <x:c r="G34" s="2"/>
      <x:c r="H34" s="2"/>
    </x:row>
    <x:row r="35" ht="24" customHeight="1">
      <x:c r="A35" s="2"/>
      <x:c r="B35" s="2"/>
      <x:c r="C35" s="2" t="str">
        <x:v>收购少数股权</x:v>
      </x:c>
      <x:c r="D35" s="10" t="n">
        <x:v>66.37709365</x:v>
      </x:c>
      <x:c r="E35" s="2" t="str">
        <x:v>S02 p193</x:v>
      </x:c>
      <x:c r="F35" s="2"/>
      <x:c r="G35" s="2"/>
      <x:c r="H35" s="2"/>
    </x:row>
    <x:row r="36" ht="24" customHeight="1">
      <x:c r="A36" s="2"/>
      <x:c r="B36" s="2"/>
      <x:c r="C36" s="2" t="str">
        <x:v>库存股回购现金</x:v>
      </x:c>
      <x:c r="D36" s="10" t="n">
        <x:v>92.31905466</x:v>
      </x:c>
      <x:c r="E36" s="2" t="str">
        <x:v>S02 p193，非母公司股本注销</x:v>
      </x:c>
      <x:c r="F36" s="2"/>
      <x:c r="G36" s="2"/>
      <x:c r="H36" s="2"/>
    </x:row>
    <x:row r="37" ht="24" customHeight="1">
      <x:c r="A37" s="2"/>
      <x:c r="B37" s="2"/>
      <x:c r="C37" s="2" t="str">
        <x:v>股权收购款</x:v>
      </x:c>
      <x:c r="D37" s="10" t="n">
        <x:v>2.1225</x:v>
      </x:c>
      <x:c r="E37" s="2" t="str">
        <x:v>S02 p193</x:v>
      </x:c>
      <x:c r="F37" s="2"/>
      <x:c r="G37" s="2"/>
      <x:c r="H37" s="2"/>
    </x:row>
    <x:row r="38" ht="24" customHeight="1">
      <x:c r="A38" s="2"/>
      <x:c r="B38" s="2"/>
      <x:c r="C38" s="2" t="str">
        <x:v>上述投入后剩余现金</x:v>
      </x:c>
      <x:c r="D38" s="11" t="n">
        <x:f>D33-SUM(D34:D37)</x:f>
        <x:v>36.14038128999994</x:v>
      </x:c>
      <x:c r="E38" s="2" t="str">
        <x:v>尚未扣分红及其他投资</x:v>
      </x:c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36" customHeight="1">
      <x:c r="A40" s="2"/>
      <x:c r="B40" s="2"/>
      <x:c r="C40" s="17" t="str">
        <x:v>租赁现金流代理口径不声称精确FCFE；不能将经营现金流全部视为归母可分配现金。</x:v>
      </x:c>
      <x:c r="D40" s="17"/>
      <x:c r="E40" s="17"/>
      <x:c r="F40" s="17"/>
      <x:c r="G40" s="17"/>
      <x:c r="H40" s="17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</x:sheetData>
  <x:mergeCells>
    <x:mergeCell ref="C40:H4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35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3" t="str">
        <x:v>来源与勾稽检查</x:v>
      </x:c>
      <x:c r="D2" s="2"/>
      <x:c r="E2" s="2"/>
      <x:c r="F2" s="2"/>
      <x:c r="G2" s="2"/>
      <x:c r="H2" s="2"/>
      <x:c r="I2" s="2"/>
    </x:row>
    <x:row r="3" ht="24" customHeight="1">
      <x:c r="A3" s="2"/>
      <x:c r="B3" s="2"/>
      <x:c r="C3" s="4"/>
      <x:c r="D3" s="4"/>
      <x:c r="E3" s="4"/>
      <x:c r="F3" s="4"/>
      <x:c r="G3" s="4"/>
      <x:c r="H3" s="4"/>
      <x:c r="I3" s="4"/>
    </x:row>
    <x:row r="4" ht="24" customHeight="1">
      <x:c r="A4" s="2"/>
      <x:c r="B4" s="2"/>
      <x:c r="C4" s="5" t="str">
        <x:v>原始披露/管理层口径/研究计算分开保存</x:v>
      </x:c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24" customHeight="1">
      <x:c r="A6" s="2"/>
      <x:c r="B6" s="2"/>
      <x:c r="C6" s="8" t="str">
        <x:v>检查</x:v>
      </x:c>
      <x:c r="D6" s="8" t="str">
        <x:v>差额或结果</x:v>
      </x:c>
      <x:c r="E6" s="2"/>
      <x:c r="F6" s="2"/>
      <x:c r="G6" s="2"/>
      <x:c r="H6" s="2"/>
      <x:c r="I6" s="2"/>
    </x:row>
    <x:row r="7" ht="24" customHeight="1">
      <x:c r="A7" s="2"/>
      <x:c r="B7" s="2"/>
      <x:c r="C7" s="2" t="str">
        <x:v>收入分部合计</x:v>
      </x:c>
      <x:c r="D7" s="30" t="n">
        <x:f>ROUND(SUM('Financials'!E19:E22)-'Financials'!G7,6)</x:f>
        <x:v>0</x:v>
      </x:c>
      <x:c r="E7" s="2"/>
      <x:c r="F7" s="2"/>
      <x:c r="G7" s="2"/>
      <x:c r="H7" s="2"/>
      <x:c r="I7" s="2"/>
    </x:row>
    <x:row r="8" ht="24" customHeight="1">
      <x:c r="A8" s="2"/>
      <x:c r="B8" s="2"/>
      <x:c r="C8" s="2" t="str">
        <x:v>归母与扣非桥</x:v>
      </x:c>
      <x:c r="D8" s="30" t="n">
        <x:f>ROUND('Financials'!G8-'Financials'!G9+72.85743995,6)</x:f>
        <x:v>0</x:v>
      </x:c>
      <x:c r="E8" s="2"/>
      <x:c r="F8" s="2"/>
      <x:c r="G8" s="2"/>
      <x:c r="H8" s="2"/>
      <x:c r="I8" s="2"/>
    </x:row>
    <x:row r="9" ht="24" customHeight="1">
      <x:c r="A9" s="2"/>
      <x:c r="B9" s="2"/>
      <x:c r="C9" s="2" t="str">
        <x:v>债务分拆合计</x:v>
      </x:c>
      <x:c r="D9" s="30" t="n">
        <x:f>ROUND(SUM('Balance Cash'!E10:E14)-1954.54354466,6)</x:f>
        <x:v>0</x:v>
      </x:c>
      <x:c r="E9" s="2"/>
      <x:c r="F9" s="2"/>
      <x:c r="G9" s="2"/>
      <x:c r="H9" s="2"/>
      <x:c r="I9" s="2"/>
    </x:row>
    <x:row r="10" ht="24" customHeight="1">
      <x:c r="A10" s="2"/>
      <x:c r="B10" s="2"/>
      <x:c r="C10" s="2" t="str">
        <x:v>可用现金</x:v>
      </x:c>
      <x:c r="D10" s="30" t="n">
        <x:f>ROUND('Balance Cash'!E9-515.50286308,6)</x:f>
        <x:v>0</x:v>
      </x:c>
      <x:c r="E10" s="2"/>
      <x:c r="F10" s="2"/>
      <x:c r="G10" s="2"/>
      <x:c r="H10" s="2"/>
      <x:c r="I10" s="2"/>
    </x:row>
    <x:row r="11" ht="24" customHeight="1">
      <x:c r="A11" s="2"/>
      <x:c r="B11" s="2"/>
      <x:c r="C11" s="2" t="str">
        <x:v>现金流资本开支桥</x:v>
      </x:c>
      <x:c r="D11" s="30" t="n">
        <x:f>ROUND('Balance Cash'!D33-208.35390862,6)</x:f>
        <x:v>0</x:v>
      </x:c>
      <x:c r="E11" s="2"/>
      <x:c r="F11" s="2"/>
      <x:c r="G11" s="2"/>
      <x:c r="H11" s="2"/>
      <x:c r="I11" s="2"/>
    </x:row>
    <x:row r="12" ht="24" customHeight="1">
      <x:c r="A12" s="2"/>
      <x:c r="B12" s="2"/>
      <x:c r="C12" s="2" t="str">
        <x:v>股本核对</x:v>
      </x:c>
      <x:c r="D12" s="30" t="n">
        <x:f>ROUND('Assumptions'!D8-442.445375,6)</x:f>
        <x:v>0</x:v>
      </x:c>
      <x:c r="E12" s="2"/>
      <x:c r="F12" s="2"/>
      <x:c r="G12" s="2"/>
      <x:c r="H12" s="2"/>
      <x:c r="I12" s="2"/>
    </x:row>
    <x:row r="13" ht="24" customHeight="1">
      <x:c r="A13" s="2"/>
      <x:c r="B13" s="2"/>
      <x:c r="C13" s="2" t="str">
        <x:v>活动估值桥</x:v>
      </x:c>
      <x:c r="D13" s="30" t="n">
        <x:f>ROUND('Valuation'!D23*'Valuation'!D9-'Valuation'!D22,6)</x:f>
        <x:v>0</x:v>
      </x:c>
      <x:c r="E13" s="2"/>
      <x:c r="F13" s="2"/>
      <x:c r="G13" s="2"/>
      <x:c r="H13" s="2"/>
      <x:c r="I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4" customHeight="1">
      <x:c r="A16" s="2"/>
      <x:c r="B16" s="2"/>
      <x:c r="C16" s="8" t="str">
        <x:v>来源</x:v>
      </x:c>
      <x:c r="D16" s="8" t="str">
        <x:v>标题及范围</x:v>
      </x:c>
      <x:c r="E16" s="8" t="str">
        <x:v>类型</x:v>
      </x:c>
      <x:c r="F16" s="8" t="str">
        <x:v>来源URL</x:v>
      </x:c>
      <x:c r="G16" s="8"/>
      <x:c r="H16" s="8"/>
      <x:c r="I16" s="8"/>
    </x:row>
    <x:row r="17" ht="48" customHeight="1">
      <x:c r="A17" s="2"/>
      <x:c r="B17" s="2"/>
      <x:c r="C17" s="2" t="str">
        <x:v>S01</x:v>
      </x:c>
      <x:c r="D17" s="2" t="str">
        <x:v>2025年年度报告，含2023/24比较数</x:v>
      </x:c>
      <x:c r="E17" s="2" t="str">
        <x:v>审计年度财报</x:v>
      </x:c>
      <x:c r="F17" s="17" t="str">
        <x:v>https://disc.static.szse.cn/disc/disk03/finalpage/2026-04-25/b3704e19-4f99-44fd-84a6-b659a25f9f82.PDF</x:v>
      </x:c>
      <x:c r="G17" s="17"/>
      <x:c r="H17" s="17"/>
      <x:c r="I17" s="17"/>
    </x:row>
    <x:row r="18" ht="48" customHeight="1">
      <x:c r="A18" s="2"/>
      <x:c r="B18" s="2"/>
      <x:c r="C18" s="2" t="str">
        <x:v>S02</x:v>
      </x:c>
      <x:c r="D18" s="2" t="str">
        <x:v>2026年半年度报告，p11/45/53/95等</x:v>
      </x:c>
      <x:c r="E18" s="2" t="str">
        <x:v>未经审计中报</x:v>
      </x:c>
      <x:c r="F18" s="17" t="str">
        <x:v>https://disc.static.szse.cn/disc/disk03/finalpage/2026-08-29/a4c865ef-d655-478a-8c20-e4dc2734c9d6.PDF</x:v>
      </x:c>
      <x:c r="G18" s="17"/>
      <x:c r="H18" s="17"/>
      <x:c r="I18" s="17"/>
    </x:row>
    <x:row r="19" ht="48" customHeight="1">
      <x:c r="A19" s="2"/>
      <x:c r="B19" s="2"/>
      <x:c r="C19" s="2" t="str">
        <x:v>S03</x:v>
      </x:c>
      <x:c r="D19" s="2" t="str">
        <x:v>2026Q1，Q2按H1减Q1计算</x:v>
      </x:c>
      <x:c r="E19" s="2" t="str">
        <x:v>未经审计季报</x:v>
      </x:c>
      <x:c r="F19" s="17" t="str">
        <x:v>https://static.cninfo.com.cn/finalpage/2026-04-29/1225223395.PDF</x:v>
      </x:c>
      <x:c r="G19" s="17"/>
      <x:c r="H19" s="17"/>
      <x:c r="I19" s="17"/>
    </x:row>
    <x:row r="20" ht="48" customHeight="1">
      <x:c r="A20" s="2"/>
      <x:c r="B20" s="2"/>
      <x:c r="C20" s="2" t="str">
        <x:v>S04</x:v>
      </x:c>
      <x:c r="D20" s="2" t="str">
        <x:v>取消高新技术资格，2026-07-07</x:v>
      </x:c>
      <x:c r="E20" s="2" t="str">
        <x:v>正式公告</x:v>
      </x:c>
      <x:c r="F20" s="17" t="str">
        <x:v>https://static.cninfo.com.cn/finalpage/2026-07-07/1225410740.PDF</x:v>
      </x:c>
      <x:c r="G20" s="17"/>
      <x:c r="H20" s="17"/>
      <x:c r="I20" s="17"/>
    </x:row>
    <x:row r="21" ht="48" customHeight="1">
      <x:c r="A21" s="2"/>
      <x:c r="B21" s="2"/>
      <x:c r="C21" s="2" t="str">
        <x:v>S05</x:v>
      </x:c>
      <x:c r="D21" s="2" t="str">
        <x:v>H1业绩预告，2026-07-15</x:v>
      </x:c>
      <x:c r="E21" s="2" t="str">
        <x:v>预告非最终数据</x:v>
      </x:c>
      <x:c r="F21" s="17" t="str">
        <x:v>https://static.cninfo.com.cn/finalpage/2026-07-15/1225424755.PDF</x:v>
      </x:c>
      <x:c r="G21" s="17"/>
      <x:c r="H21" s="17"/>
      <x:c r="I21" s="17"/>
    </x:row>
    <x:row r="22" ht="48" customHeight="1">
      <x:c r="A22" s="2"/>
      <x:c r="B22" s="2"/>
      <x:c r="C22" s="2" t="str">
        <x:v>S06</x:v>
      </x:c>
      <x:c r="D22" s="2" t="str">
        <x:v>控股股东权益变动，2026-07-25</x:v>
      </x:c>
      <x:c r="E22" s="2" t="str">
        <x:v>正式公告</x:v>
      </x:c>
      <x:c r="F22" s="17" t="str">
        <x:v>https://static.cninfo.com.cn/finalpage/2026-07-25/1225441003.PDF</x:v>
      </x:c>
      <x:c r="G22" s="17"/>
      <x:c r="H22" s="17"/>
      <x:c r="I22" s="17"/>
    </x:row>
    <x:row r="23" ht="48" customHeight="1">
      <x:c r="A23" s="2"/>
      <x:c r="B23" s="2"/>
      <x:c r="C23" s="2" t="str">
        <x:v>S07</x:v>
      </x:c>
      <x:c r="D23" s="2" t="str">
        <x:v>第四期员工持股计划，2026-08-26</x:v>
      </x:c>
      <x:c r="E23" s="2" t="str">
        <x:v>正式计划</x:v>
      </x:c>
      <x:c r="F23" s="17" t="str">
        <x:v>https://file.finance.sina.com.cn/211.154.219.97%3A9494/MRGG/CNSESZ_STOCK/2026/2026-8/2026-08-26/12535139.PDF</x:v>
      </x:c>
      <x:c r="G23" s="17"/>
      <x:c r="H23" s="17"/>
      <x:c r="I23" s="17"/>
    </x:row>
    <x:row r="24" ht="48" customHeight="1">
      <x:c r="A24" s="2"/>
      <x:c r="B24" s="2"/>
      <x:c r="C24" s="2" t="str">
        <x:v>S08</x:v>
      </x:c>
      <x:c r="D24" s="2" t="str">
        <x:v>员工持股实施进展，2026-09-28</x:v>
      </x:c>
      <x:c r="E24" s="2" t="str">
        <x:v>正式公告</x:v>
      </x:c>
      <x:c r="F24" s="17" t="str">
        <x:v>https://file.finance.sina.com.cn/211.154.219.97%3A9494/MRGG/CNSESZ_STOCK/2026/2026-9/2026-09-28/12622749.PDF</x:v>
      </x:c>
      <x:c r="G24" s="17"/>
      <x:c r="H24" s="17"/>
      <x:c r="I24" s="17"/>
    </x:row>
    <x:row r="25" ht="48" customHeight="1">
      <x:c r="A25" s="2"/>
      <x:c r="B25" s="2"/>
      <x:c r="C25" s="2" t="str">
        <x:v>S09</x:v>
      </x:c>
      <x:c r="D25" s="2" t="str">
        <x:v>韩国股权质押担保，2026-09-30</x:v>
      </x:c>
      <x:c r="E25" s="2" t="str">
        <x:v>指定媒体公告原文</x:v>
      </x:c>
      <x:c r="F25" s="17" t="str">
        <x:v>https://paper.cnstock.com/html/2026-09/30/content_2273879.htm</x:v>
      </x:c>
      <x:c r="G25" s="17"/>
      <x:c r="H25" s="17"/>
      <x:c r="I25" s="17"/>
    </x:row>
    <x:row r="26" ht="48" customHeight="1">
      <x:c r="A26" s="2"/>
      <x:c r="B26" s="2"/>
      <x:c r="C26" s="2" t="str">
        <x:v>S10</x:v>
      </x:c>
      <x:c r="D26" s="2" t="str">
        <x:v>Investing历史行情，2026-10-09</x:v>
      </x:c>
      <x:c r="E26" s="2" t="str">
        <x:v>市场二级来源</x:v>
      </x:c>
      <x:c r="F26" s="17" t="str">
        <x:v>https://cn.investing.com/equities/lancy-a-historical-data</x:v>
      </x:c>
      <x:c r="G26" s="17"/>
      <x:c r="H26" s="17"/>
      <x:c r="I26" s="17"/>
    </x:row>
    <x:row r="27" ht="48" customHeight="1">
      <x:c r="A27" s="2"/>
      <x:c r="B27" s="2"/>
      <x:c r="C27" s="2" t="str">
        <x:v>S11</x:v>
      </x:c>
      <x:c r="D27" s="2" t="str">
        <x:v>2026-09-01投资者关系记录</x:v>
      </x:c>
      <x:c r="E27" s="2" t="str">
        <x:v>管理层口径</x:v>
      </x:c>
      <x:c r="F27" s="17" t="str">
        <x:v>https://file.finance.sina.com.cn/211.154.219.97%3A9494/MRGG/CNSESZ_STOCK/2026/2026-9/2026-09-01/12578438.PDF</x:v>
      </x:c>
      <x:c r="G27" s="17"/>
      <x:c r="H27" s="17"/>
      <x:c r="I27" s="17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36" customHeight="1">
      <x:c r="A30" s="2"/>
      <x:c r="B30" s="2"/>
      <x:c r="C30" s="17" t="str">
        <x:v>原件及页码见同目录source-index.md；假设只为研究输入，未引用外部预测。</x:v>
      </x:c>
      <x:c r="D30" s="17"/>
      <x:c r="E30" s="17"/>
      <x:c r="F30" s="17"/>
      <x:c r="G30" s="17"/>
      <x:c r="H30" s="17"/>
      <x:c r="I30" s="17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  <x:c r="I33" s="2"/>
    </x:row>
  </x:sheetData>
  <x:mergeCells>
    <x:mergeCell ref="F16:I16"/>
    <x:mergeCell ref="F17:I17"/>
    <x:mergeCell ref="F18:I18"/>
    <x:mergeCell ref="F19:I19"/>
    <x:mergeCell ref="F20:I20"/>
    <x:mergeCell ref="F21:I21"/>
    <x:mergeCell ref="F22:I22"/>
    <x:mergeCell ref="F23:I23"/>
    <x:mergeCell ref="F24:I24"/>
    <x:mergeCell ref="F25:I25"/>
    <x:mergeCell ref="F26:I26"/>
    <x:mergeCell ref="F27:I27"/>
    <x:mergeCell ref="C30:I30"/>
  </x:mergeCells>
  <x:conditionalFormatting sqref="D7:D13">
    <x:cfRule type="expression" dxfId="0" priority="1">
      <x:formula>ABS(D7)&gt;0.01</x:formula>
    </x:cfRule>
  </x:conditionalFormatting>
  <x:pageMargins left="0.7" right="0.7" top="0.75" bottom="0.75" header="0.3" footer="0.3"/>
</x:worksheet>
</file>
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cbae6c195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1e626220a664cf4"/>
    <x:sheet xmlns:r="http://schemas.openxmlformats.org/officeDocument/2006/relationships" name="Assumptions" sheetId="2" r:id="R4a71dbd50df34edc"/>
    <x:sheet xmlns:r="http://schemas.openxmlformats.org/officeDocument/2006/relationships" name="Historical" sheetId="3" r:id="R2b939ec4c2d44c16"/>
    <x:sheet xmlns:r="http://schemas.openxmlformats.org/officeDocument/2006/relationships" name="Businesses" sheetId="4" r:id="Rc57e732098b1446e"/>
    <x:sheet xmlns:r="http://schemas.openxmlformats.org/officeDocument/2006/relationships" name="Balance &amp; Cash" sheetId="5" r:id="R82535dd2fb8e4695"/>
    <x:sheet xmlns:r="http://schemas.openxmlformats.org/officeDocument/2006/relationships" name="Forecast" sheetId="6" r:id="R9948aebab3454498"/>
    <x:sheet xmlns:r="http://schemas.openxmlformats.org/officeDocument/2006/relationships" name="Valuation" sheetId="7" r:id="R97e25de8c6a247d8"/>
    <x:sheet xmlns:r="http://schemas.openxmlformats.org/officeDocument/2006/relationships" name="Checks" sheetId="8" r:id="Ra759a9ad08794eb7"/>
    <x:sheet xmlns:r="http://schemas.openxmlformats.org/officeDocument/2006/relationships" name="Sources Audit" sheetId="9" r:id="Rd2c70ba32f79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.0x"/>
    <x:numFmt numFmtId="202" formatCode="0.0%"/>
    <x:numFmt numFmtId="203" formatCode="#,##0.0"/>
    <x:numFmt numFmtId="204" formatCode="0.0000"/>
    <x:numFmt numFmtId="205" formatCode="#,##0.000"/>
    <x:numFmt numFmtId="206" formatCode="#,##0.0;(#,##0.0);-"/>
  </x:numFmts>
  <x:fonts count="13">
    <x:font>
      <x:sz val="11"/>
      <x:name val="Carlito"/>
    </x:font>
    <x:font>
      <x:sz val="10"/>
      <x:color rgb="FF172B3A"/>
      <x:name val="Aptos"/>
    </x:font>
    <x:font>
      <x:b/>
      <x:sz val="20"/>
      <x:color rgb="FFFFFFFF"/>
      <x:name val="Aptos"/>
    </x:font>
    <x:font>
      <x:b/>
      <x:sz val="18"/>
      <x:color rgb="FF16324F"/>
      <x:name val="Aptos"/>
    </x:font>
    <x:font>
      <x:b/>
      <x:sz val="10"/>
      <x:color rgb="FF16324F"/>
      <x:name val="Aptos"/>
    </x:font>
    <x:font>
      <x:b/>
      <x:sz val="11"/>
      <x:color rgb="FF172B3A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  <x:font>
      <x:sz val="10"/>
      <x:color rgb="FF0000FF"/>
      <x:name val="Aptos"/>
    </x:font>
    <x:font>
      <x:i/>
      <x:sz val="10"/>
      <x:color rgb="FF172B3A"/>
      <x:name val="Aptos"/>
    </x:font>
    <x:font>
      <x:i/>
      <x:sz val="10"/>
      <x:color rgb="FF0000FF"/>
      <x:name val="Aptos"/>
    </x:font>
    <x:font>
      <x:b/>
      <x:sz val="10"/>
      <x:color rgb="FF172B3A"/>
      <x:name val="Aptos"/>
    </x:font>
    <x:font>
      <x:sz val="10"/>
      <x:color rgb="FF0080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6EEF5"/>
      </x:patternFill>
    </x:fill>
    <x:fill>
      <x:patternFill patternType="solid">
        <x:fgColor rgb="FFDCEFF0"/>
      </x:patternFill>
    </x:fill>
    <x:fill>
      <x:patternFill patternType="solid">
        <x:fgColor rgb="FFE9F2FA"/>
      </x:patternFill>
    </x:fill>
    <x:fill>
      <x:patternFill patternType="solid">
        <x:fgColor rgb="FF287D82"/>
      </x:patternFill>
    </x:fill>
    <x:fill>
      <x:patternFill patternType="solid">
        <x:fgColor rgb="FFF3F5F7"/>
      </x:patternFill>
    </x:fill>
  </x:fills>
  <x:borders count="3">
    <x:border/>
    <x:border>
      <x:left style="thin">
        <x:color rgb="FFCDD6DF"/>
      </x:left>
      <x:right style="thin">
        <x:color rgb="FFCDD6DF"/>
      </x:right>
      <x:top style="thin">
        <x:color rgb="FFCDD6DF"/>
      </x:top>
      <x:bottom style="thin">
        <x:color rgb="FFCDD6DF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203" fontId="1" fillId="0" borderId="0" xfId="0" applyNumberFormat="1" applyFont="1" applyFill="1" applyBorder="1"/>
    <x:xf numFmtId="200" fontId="1" fillId="0" borderId="2" xfId="0" applyNumberFormat="1" applyFont="1" applyFill="1" applyBorder="1"/>
    <x:xf numFmtId="202" fontId="1" fillId="0" borderId="2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/>
    <x:xf numFmtId="204" fontId="8" fillId="0" borderId="2" xfId="0" applyNumberFormat="1" applyFont="1" applyFill="1" applyBorder="1"/>
    <x:xf numFmtId="205" fontId="8" fillId="0" borderId="2" xfId="0" applyNumberFormat="1" applyFont="1" applyFill="1" applyBorder="1"/>
    <x:xf numFmtId="200" fontId="8" fillId="0" borderId="2" xfId="0" applyNumberFormat="1" applyFont="1" applyFill="1" applyBorder="1"/>
    <x:xf numFmtId="202" fontId="8" fillId="0" borderId="2" xfId="0" applyNumberFormat="1" applyFont="1" applyFill="1" applyBorder="1"/>
    <x:xf numFmtId="203" fontId="8" fillId="0" borderId="2" xfId="0" applyNumberFormat="1" applyFont="1" applyFill="1" applyBorder="1"/>
    <x:xf numFmtId="201" fontId="8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6" fontId="1" fillId="0" borderId="2" xfId="0" applyNumberFormat="1" applyFont="1" applyFill="1" applyBorder="1"/>
    <x:xf numFmtId="0" fontId="9" fillId="0" borderId="2" xfId="0" applyNumberFormat="1" applyFont="1" applyFill="1" applyBorder="1"/>
    <x:xf numFmtId="206" fontId="9" fillId="0" borderId="2" xfId="0" applyNumberFormat="1" applyFont="1" applyFill="1" applyBorder="1"/>
    <x:xf numFmtId="202" fontId="9" fillId="0" borderId="2" xfId="0" applyNumberFormat="1" applyFont="1" applyFill="1" applyBorder="1"/>
    <x:xf numFmtId="203" fontId="1" fillId="0" borderId="2" xfId="0" applyNumberFormat="1" applyFont="1" applyFill="1" applyBorder="1"/>
    <x:xf numFmtId="0" fontId="4" fillId="0" borderId="2" xfId="0" applyNumberFormat="1" applyFont="1" applyFill="1" applyBorder="1"/>
    <x:xf numFmtId="203" fontId="4" fillId="0" borderId="2" xfId="0" applyNumberFormat="1" applyFont="1" applyFill="1" applyBorder="1"/>
    <x:xf numFmtId="202" fontId="4" fillId="0" borderId="2" xfId="0" applyNumberFormat="1" applyFont="1" applyFill="1" applyBorder="1"/>
    <x:xf numFmtId="206" fontId="8" fillId="0" borderId="2" xfId="0" applyNumberFormat="1" applyFont="1" applyFill="1" applyBorder="1"/>
    <x:xf numFmtId="202" fontId="10" fillId="0" borderId="2" xfId="0" applyNumberFormat="1" applyFont="1" applyFill="1" applyBorder="1"/>
    <x:xf numFmtId="201" fontId="1" fillId="0" borderId="2" xfId="0" applyNumberFormat="1" applyFont="1" applyFill="1" applyBorder="1"/>
    <x:xf numFmtId="0" fontId="1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6" fontId="1" fillId="0" borderId="2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2" fontId="9" fillId="0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6" fontId="8" fillId="0" borderId="2" xfId="0" applyNumberFormat="1" applyFont="1" applyFill="1" applyBorder="1" applyAlignment="1">
      <x:alignment vertical="center"/>
    </x:xf>
    <x:xf numFmtId="202" fontId="10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203" fontId="12" fillId="0" borderId="2" xfId="0" applyNumberFormat="1" applyFont="1" applyFill="1" applyBorder="1" applyAlignment="1">
      <x:alignment vertical="center"/>
    </x:xf>
    <x:xf numFmtId="201" fontId="12" fillId="0" borderId="2" xfId="0" applyNumberFormat="1" applyFont="1" applyFill="1" applyBorder="1" applyAlignment="1">
      <x:alignment vertical="center"/>
    </x:xf>
    <x:xf numFmtId="202" fontId="12" fillId="0" borderId="2" xfId="0" applyNumberFormat="1" applyFont="1" applyFill="1" applyBorder="1" applyAlignment="1">
      <x:alignment vertical="center"/>
    </x:xf>
    <x:xf numFmtId="200" fontId="12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d7079b88743d2" /><Relationship Type="http://schemas.openxmlformats.org/officeDocument/2006/relationships/theme" Target="/xl/theme/theme1.xml" Id="R534dba429f1d4104" /><Relationship Type="http://schemas.openxmlformats.org/officeDocument/2006/relationships/sharedStrings" Target="/xl/sharedStrings.xml" Id="R3b0c49f88c0a4788" /><Relationship Type="http://schemas.openxmlformats.org/officeDocument/2006/relationships/worksheet" Target="/xl/worksheets/sheet1.xml" Id="Rf1e626220a664cf4" /><Relationship Type="http://schemas.openxmlformats.org/officeDocument/2006/relationships/worksheet" Target="/xl/worksheets/sheet2.xml" Id="R4a71dbd50df34edc" /><Relationship Type="http://schemas.openxmlformats.org/officeDocument/2006/relationships/worksheet" Target="/xl/worksheets/sheet3.xml" Id="R2b939ec4c2d44c16" /><Relationship Type="http://schemas.openxmlformats.org/officeDocument/2006/relationships/worksheet" Target="/xl/worksheets/sheet4.xml" Id="Rc57e732098b1446e" /><Relationship Type="http://schemas.openxmlformats.org/officeDocument/2006/relationships/worksheet" Target="/xl/worksheets/sheet5.xml" Id="R82535dd2fb8e4695" /><Relationship Type="http://schemas.openxmlformats.org/officeDocument/2006/relationships/worksheet" Target="/xl/worksheets/sheet6.xml" Id="R9948aebab3454498" /><Relationship Type="http://schemas.openxmlformats.org/officeDocument/2006/relationships/worksheet" Target="/xl/worksheets/sheet7.xml" Id="R97e25de8c6a247d8" /><Relationship Type="http://schemas.openxmlformats.org/officeDocument/2006/relationships/worksheet" Target="/xl/worksheets/sheet8.xml" Id="Ra759a9ad08794eb7" /><Relationship Type="http://schemas.openxmlformats.org/officeDocument/2006/relationships/worksheet" Target="/xl/worksheets/sheet9.xml" Id="Rd2c70ba32f7949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fe2e440a6e48aa" /><Relationship Type="http://schemas.openxmlformats.org/officeDocument/2006/relationships/chart" Target="/xl/drawings/charts/chart2.xml" Id="Rbf632fe19bd448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营业收入与归母净利润（十亿元）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营业收入</c:v>
          </c:tx>
          <c:cat>
            <c:strRef>
              <c:f>'Cover'!$A$18:$A$20</c:f>
              <c:strCache>
                <c:ptCount val="0"/>
              </c:strCache>
            </c:strRef>
          </c:cat>
          <c:val>
            <c:numRef>
              <c:f>'Cover'!$B$18:$B$20</c:f>
              <c:numCache>
                <c:formatCode>#,##0.0</c:formatCode>
                <c:ptCount val="0"/>
              </c:numCache>
            </c:numRef>
          </c:val>
        </c:ser>
        <c:ser>
          <c:idx val="1"/>
          <c:order val="1"/>
          <c:tx>
            <c:v>归母净利润</c:v>
          </c:tx>
          <c:cat>
            <c:strRef>
              <c:f>'Cover'!$A$18:$A$20</c:f>
              <c:strCache>
                <c:ptCount val="0"/>
              </c:strCache>
            </c:strRef>
          </c:cat>
          <c:val>
            <c:numRef>
              <c:f>'Cover'!$C$18:$C$20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2027 情景价值与当前价格（元/股）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Bear</c:v>
          </c:tx>
          <c:cat>
            <c:strRef>
              <c:f>'Cover'!$A$24:$A$25</c:f>
              <c:strCache>
                <c:ptCount val="0"/>
              </c:strCache>
            </c:strRef>
          </c:cat>
          <c:val>
            <c:numRef>
              <c:f>'Cover'!$B$24:$B$25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cat>
            <c:strRef>
              <c:f>'Cover'!$A$24:$A$25</c:f>
              <c:strCache>
                <c:ptCount val="0"/>
              </c:strCache>
            </c:strRef>
          </c:cat>
          <c:val>
            <c:numRef>
              <c:f>'Cover'!$C$24:$C$25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Bull</c:v>
          </c:tx>
          <c:cat>
            <c:strRef>
              <c:f>'Cover'!$A$24:$A$25</c:f>
              <c:strCache>
                <c:ptCount val="0"/>
              </c:strCache>
            </c:strRef>
          </c:cat>
          <c:val>
            <c:numRef>
              <c:f>'Cover'!$D$24:$D$25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fe2e440a6e48aa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632fe19bd448a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cda09b11754e9d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</x:cols>
  <x:sheetData>
    <x:row r="1">
      <x:c r="A1" s="4" t="str">
        <x:v>美的集团财务与估值模型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6" t="str">
        <x:v>000333.SZ / 00300.HK | 资料截止 2026-09-21 | 金额主要为人民币十亿元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9" t="str">
        <x:v>当前判断：谨慎积极</x:v>
      </x:c>
      <x:c r="B5" s="9"/>
      <x:c r="C5" s="9"/>
      <x:c r="D5" s="9"/>
      <x:c r="E5" s="9"/>
      <x:c r="F5" s="9"/>
      <x:c r="G5" s="1"/>
      <x:c r="H5" s="1"/>
      <x:c r="I5" s="1"/>
      <x:c r="J5" s="1"/>
      <x:c r="K5" s="1"/>
      <x:c r="L5" s="1"/>
    </x:row>
    <x:row r="6">
      <x:c r="A6" s="9"/>
      <x:c r="B6" s="9"/>
      <x:c r="C6" s="9"/>
      <x:c r="D6" s="9"/>
      <x:c r="E6" s="9"/>
      <x:c r="F6" s="9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5" t="str">
        <x:v>关键指标</x:v>
      </x:c>
      <x:c r="B8" s="15" t="str">
        <x:v>数值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6" t="str">
        <x:v>A 股价格（元）</x:v>
      </x:c>
      <x:c r="B9" s="18" t="n">
        <x:f>'Assumptions'!B8</x:f>
        <x:v>84.4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6" t="str">
        <x:v>滚动归母 P/E</x:v>
      </x:c>
      <x:c r="B10" s="19" t="n">
        <x:f>'Valuation'!B10</x:f>
        <x:v>14.184289588527662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6" t="str">
        <x:v>基准价值（元）</x:v>
      </x:c>
      <x:c r="B11" s="18" t="n">
        <x:f>'Valuation'!C20</x:f>
        <x:v>105.359477124183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6" t="str">
        <x:v>基准空间</x:v>
      </x:c>
      <x:c r="B12" s="20" t="n">
        <x:f>'Valuation'!C21</x:f>
        <x:v>0.24833503701638615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6" t="str">
        <x:v>2025 股息率</x:v>
      </x:c>
      <x:c r="B13" s="20" t="n">
        <x:f>'Valuation'!B11</x:f>
        <x:v>0.05094786729857819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6" t="str">
        <x:v>广义净金融资产（十亿元）</x:v>
      </x:c>
      <x:c r="B14" s="21" t="n">
        <x:f>'Balance &amp; Cash'!C27</x:f>
        <x:v>250.02013100000002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 t="str">
        <x:v>期间</x:v>
      </x:c>
      <x:c r="B17" s="1" t="str">
        <x:v>营业收入</x:v>
      </x:c>
      <x:c r="C17" s="1" t="str">
        <x:v>归母净利润</x:v>
      </x:c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 t="n">
        <x:v>2023</x:v>
      </x:c>
      <x:c r="B18" s="22" t="n">
        <x:f>'Historical'!C8</x:f>
        <x:v>372.03728</x:v>
      </x:c>
      <x:c r="C18" s="22" t="n">
        <x:f>'Historical'!C11</x:f>
        <x:v>33.719935</x:v>
      </x:c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 t="n">
        <x:v>2024</x:v>
      </x:c>
      <x:c r="B19" s="22" t="n">
        <x:f>'Historical'!D8</x:f>
        <x:v>407.1496</x:v>
      </x:c>
      <x:c r="C19" s="22" t="n">
        <x:f>'Historical'!D11</x:f>
        <x:v>38.537237</x:v>
      </x:c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n">
        <x:v>2025</x:v>
      </x:c>
      <x:c r="B20" s="22" t="n">
        <x:f>'Historical'!E8</x:f>
        <x:v>456.451731</x:v>
      </x:c>
      <x:c r="C20" s="22" t="n">
        <x:f>'Historical'!E11</x:f>
        <x:v>43.945411</x:v>
      </x:c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5" t="str">
        <x:v>情景</x:v>
      </x:c>
      <x:c r="B23" s="15" t="str">
        <x:v>Bear</x:v>
      </x:c>
      <x:c r="C23" s="15" t="str">
        <x:v>Base</x:v>
      </x:c>
      <x:c r="D23" s="15" t="str">
        <x:v>Bull</x:v>
      </x:c>
      <x:c r="E23" s="1"/>
      <x:c r="F23" s="1"/>
      <x:c r="G23" s="1"/>
      <x:c r="H23" s="1"/>
      <x:c r="I23" s="1"/>
      <x:c r="J23" s="1"/>
      <x:c r="K23" s="1"/>
      <x:c r="L23" s="1"/>
    </x:row>
    <x:row r="24">
      <x:c r="A24" s="16" t="str">
        <x:v>每股价值（元）</x:v>
      </x:c>
      <x:c r="B24" s="23" t="n">
        <x:f>'Valuation'!B20</x:f>
        <x:v>57.51633986928105</x:v>
      </x:c>
      <x:c r="C24" s="23" t="n">
        <x:f>'Valuation'!C20</x:f>
        <x:v>105.359477124183</x:v>
      </x:c>
      <x:c r="D24" s="23" t="n">
        <x:f>'Valuation'!D20</x:f>
        <x:v>153.98692810457516</x:v>
      </x:c>
      <x:c r="E24" s="1"/>
      <x:c r="F24" s="1"/>
      <x:c r="G24" s="1"/>
      <x:c r="H24" s="1"/>
      <x:c r="I24" s="1"/>
      <x:c r="J24" s="1"/>
      <x:c r="K24" s="1"/>
      <x:c r="L24" s="1"/>
    </x:row>
    <x:row r="25">
      <x:c r="A25" s="16" t="str">
        <x:v>当前价格（元）</x:v>
      </x:c>
      <x:c r="B25" s="23" t="n">
        <x:f>'Assumptions'!B8</x:f>
        <x:v>84.4</x:v>
      </x:c>
      <x:c r="C25" s="23" t="n">
        <x:f>'Assumptions'!B8</x:f>
        <x:v>84.4</x:v>
      </x:c>
      <x:c r="D25" s="23" t="n">
        <x:f>'Assumptions'!B8</x:f>
        <x:v>84.4</x:v>
      </x:c>
      <x:c r="E25" s="1"/>
      <x:c r="F25" s="1"/>
      <x:c r="G25" s="1"/>
      <x:c r="H25" s="1"/>
      <x:c r="I25" s="1"/>
      <x:c r="J25" s="1"/>
      <x:c r="K25" s="1"/>
      <x:c r="L25" s="1"/>
    </x:row>
    <x:row r="26">
      <x:c r="A26" s="16" t="str">
        <x:v>相对现价</x:v>
      </x:c>
      <x:c r="B26" s="24" t="n">
        <x:f>'Valuation'!B21</x:f>
        <x:v>-0.3185267787999876</x:v>
      </x:c>
      <x:c r="C26" s="24" t="n">
        <x:f>'Valuation'!C21</x:f>
        <x:v>0.24833503701638615</x:v>
      </x:c>
      <x:c r="D26" s="24" t="n">
        <x:f>'Valuation'!D21</x:f>
        <x:v>0.8244896694854875</x:v>
      </x:c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26" t="str">
        <x:v>主要结论</x:v>
      </x:c>
      <x:c r="B39" s="26"/>
      <x:c r="C39" s="26"/>
      <x:c r="D39" s="26"/>
      <x:c r="E39" s="26"/>
      <x:c r="F39" s="26"/>
      <x:c r="G39" s="26"/>
      <x:c r="H39" s="26"/>
      <x:c r="I39" s="1"/>
      <x:c r="J39" s="1"/>
      <x:c r="K39" s="1"/>
      <x:c r="L39" s="1"/>
    </x:row>
    <x:row r="40" ht="27" customHeight="1">
      <x:c r="A40" s="29" t="str">
        <x:v>海外收入占比 43.3%，智能家居海外 OBM 收入占比已超过 50%。</x:v>
      </x:c>
      <x:c r="B40" s="29"/>
      <x:c r="C40" s="29"/>
      <x:c r="D40" s="29"/>
      <x:c r="E40" s="29"/>
      <x:c r="F40" s="29"/>
      <x:c r="G40" s="29"/>
      <x:c r="H40" s="29"/>
      <x:c r="I40" s="1"/>
      <x:c r="J40" s="1"/>
      <x:c r="K40" s="1"/>
      <x:c r="L40" s="1"/>
    </x:row>
    <x:row r="41" ht="27" customHeight="1">
      <x:c r="A41" s="29" t="str">
        <x:v>2026H1 归母利润增长 1.7%，毛利率下降 0.5 个百分点；工业技术收入下降 12.7%。</x:v>
      </x:c>
      <x:c r="B41" s="29"/>
      <x:c r="C41" s="29"/>
      <x:c r="D41" s="29"/>
      <x:c r="E41" s="29"/>
      <x:c r="F41" s="29"/>
      <x:c r="G41" s="29"/>
      <x:c r="H41" s="29"/>
      <x:c r="I41" s="1"/>
      <x:c r="J41" s="1"/>
      <x:c r="K41" s="1"/>
      <x:c r="L41" s="1"/>
    </x:row>
    <x:row r="42" ht="27" customHeight="1">
      <x:c r="A42" s="29" t="str">
        <x:v>经营现金流强，但应收增加明显，现金流仍受应付账期支持。</x:v>
      </x:c>
      <x:c r="B42" s="29"/>
      <x:c r="C42" s="29"/>
      <x:c r="D42" s="29"/>
      <x:c r="E42" s="29"/>
      <x:c r="F42" s="29"/>
      <x:c r="G42" s="29"/>
      <x:c r="H42" s="29"/>
      <x:c r="I42" s="1"/>
      <x:c r="J42" s="1"/>
      <x:c r="K42" s="1"/>
      <x:c r="L42" s="1"/>
    </x:row>
    <x:row r="43" ht="27" customHeight="1">
      <x:c r="A43" s="29" t="str">
        <x:v>A/H 折算价格基本一致；估值采用摊薄股本并纳入可转债潜在股份。</x:v>
      </x:c>
      <x:c r="B43" s="29"/>
      <x:c r="C43" s="29"/>
      <x:c r="D43" s="29"/>
      <x:c r="E43" s="29"/>
      <x:c r="F43" s="29"/>
      <x:c r="G43" s="29"/>
      <x:c r="H43" s="29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</x:sheetData>
  <x:mergeCells>
    <x:mergeCell ref="A1:L2"/>
    <x:mergeCell ref="A3:L3"/>
    <x:mergeCell ref="A5:F6"/>
    <x:mergeCell ref="A39:H39"/>
    <x:mergeCell ref="A40:H40"/>
    <x:mergeCell ref="A41:H41"/>
    <x:mergeCell ref="A42:H42"/>
    <x:mergeCell ref="A43:H43"/>
  </x:mergeCells>
  <x:pageMargins left="0.7" right="0.7" top="0.75" bottom="0.75" header="0.3" footer="0.3"/>
  <x:drawing xmlns:r="http://schemas.openxmlformats.org/officeDocument/2006/relationships" r:id="Reecda09b11754e9d"/>
</x:worksheet>
</file>

<file path=xl/worksheets/sheet2.xml><?xml version="1.0" encoding="utf-8"?>
<x:worksheet xmlns:x="http://schemas.openxmlformats.org/spreadsheetml/2006/main">
  <x:sheetPr>
    <x:tabColor rgb="FF5B8DB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0" hidden="0" customWidth="1"/>
    <x:col min="3" max="3" width="26" hidden="0" customWidth="1"/>
    <x:col min="4" max="4" width="26" hidden="0" customWidth="1"/>
    <x:col min="5" max="5" width="27" hidden="0" customWidth="1"/>
    <x:col min="6" max="6" width="18" hidden="0" customWidth="1"/>
  </x:cols>
  <x:sheetData>
    <x:row r="1">
      <x:c r="A1" s="4" t="str">
        <x:v>估值假设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6" t="str">
        <x:v>蓝色数字为可编辑研究假设；价格、股本与汇率为固定日期输入</x:v>
      </x:c>
      <x:c r="B3" s="6"/>
      <x:c r="C3" s="6"/>
      <x:c r="D3" s="6"/>
      <x:c r="E3" s="6"/>
      <x:c r="F3" s="6"/>
    </x:row>
    <x:row r="4">
      <x:c r="A4" s="1"/>
      <x:c r="B4" s="1"/>
      <x:c r="C4" s="1"/>
      <x:c r="D4" s="1"/>
      <x:c r="E4" s="1"/>
      <x:c r="F4" s="1"/>
    </x:row>
    <x:row r="5">
      <x:c r="A5" s="31" t="str">
        <x:v>市场与股本输入</x:v>
      </x:c>
      <x:c r="B5" s="31"/>
      <x:c r="C5" s="31"/>
      <x:c r="D5" s="31"/>
      <x:c r="E5" s="31"/>
      <x:c r="F5" s="31"/>
    </x:row>
    <x:row r="6">
      <x:c r="A6" s="1"/>
      <x:c r="B6" s="1"/>
      <x:c r="C6" s="1"/>
      <x:c r="D6" s="1"/>
      <x:c r="E6" s="1"/>
      <x:c r="F6" s="1"/>
    </x:row>
    <x:row r="7">
      <x:c r="A7" s="15" t="str">
        <x:v>输入</x:v>
      </x:c>
      <x:c r="B7" s="15" t="str">
        <x:v>数值</x:v>
      </x:c>
      <x:c r="C7" s="15" t="str">
        <x:v>日期/说明</x:v>
      </x:c>
      <x:c r="D7" s="1"/>
      <x:c r="E7" s="15" t="str">
        <x:v>派息与回购</x:v>
      </x:c>
      <x:c r="F7" s="15" t="str">
        <x:v>数值</x:v>
      </x:c>
    </x:row>
    <x:row r="8">
      <x:c r="A8" s="16" t="str">
        <x:v>A 股价格（元）</x:v>
      </x:c>
      <x:c r="B8" s="33" t="n">
        <x:v>84.4</x:v>
      </x:c>
      <x:c r="C8" s="16" t="str">
        <x:v>2026-09-18 收盘</x:v>
      </x:c>
      <x:c r="D8" s="1"/>
      <x:c r="E8" s="16" t="str">
        <x:v>2025 每股股息（元）</x:v>
      </x:c>
      <x:c r="F8" s="35" t="n">
        <x:v>4.3</x:v>
      </x:c>
    </x:row>
    <x:row r="9">
      <x:c r="A9" s="16" t="str">
        <x:v>H 股价格（港元）</x:v>
      </x:c>
      <x:c r="B9" s="33" t="n">
        <x:v>99.3</x:v>
      </x:c>
      <x:c r="C9" s="16" t="str">
        <x:v>2026-09-18 收盘</x:v>
      </x:c>
      <x:c r="D9" s="1"/>
      <x:c r="E9" s="16" t="str">
        <x:v>2026H1 每股拟派息（元）</x:v>
      </x:c>
      <x:c r="F9" s="35" t="n">
        <x:v>0.5</x:v>
      </x:c>
    </x:row>
    <x:row r="10">
      <x:c r="A10" s="16" t="str">
        <x:v>CNY/HKD</x:v>
      </x:c>
      <x:c r="B10" s="33" t="n">
        <x:v>1.1713</x:v>
      </x:c>
      <x:c r="C10" s="16" t="str">
        <x:v>1 人民币兑港元</x:v>
      </x:c>
      <x:c r="D10" s="1"/>
      <x:c r="E10" s="16" t="str">
        <x:v>2025 回购（十亿元）</x:v>
      </x:c>
      <x:c r="F10" s="35" t="n">
        <x:v>11.6053</x:v>
      </x:c>
    </x:row>
    <x:row r="11">
      <x:c r="A11" s="16" t="str">
        <x:v>A 股总股本（百万股）</x:v>
      </x:c>
      <x:c r="B11" s="34" t="n">
        <x:v>6978.570402</x:v>
      </x:c>
      <x:c r="C11" s="16" t="str">
        <x:v>2026-09-18</x:v>
      </x:c>
      <x:c r="D11" s="1"/>
      <x:c r="E11" s="16" t="str">
        <x:v>2026H1 回购及退款（十亿元）</x:v>
      </x:c>
      <x:c r="F11" s="35" t="n">
        <x:v>6.9668</x:v>
      </x:c>
    </x:row>
    <x:row r="12">
      <x:c r="A12" s="16" t="str">
        <x:v>A 股库存股（百万股）</x:v>
      </x:c>
      <x:c r="B12" s="34" t="n">
        <x:v>171.279438</x:v>
      </x:c>
      <x:c r="C12" s="16" t="str">
        <x:v>2026-09-18</x:v>
      </x:c>
      <x:c r="D12" s="1"/>
      <x:c r="E12" s="1"/>
      <x:c r="F12" s="1"/>
    </x:row>
    <x:row r="13">
      <x:c r="A13" s="16" t="str">
        <x:v>H 股股本（百万股）</x:v>
      </x:c>
      <x:c r="B13" s="34" t="n">
        <x:v>650.8485</x:v>
      </x:c>
      <x:c r="C13" s="16" t="str">
        <x:v>2026-09-18</x:v>
      </x:c>
      <x:c r="D13" s="1"/>
      <x:c r="E13" s="1"/>
      <x:c r="F13" s="1"/>
    </x:row>
    <x:row r="14">
      <x:c r="A14" s="16" t="str">
        <x:v>摊薄股本（百万股）</x:v>
      </x:c>
      <x:c r="B14" s="34" t="n">
        <x:v>7650</x:v>
      </x:c>
      <x:c r="C14" s="16" t="str">
        <x:v>含可转债、期权和奖励假设</x:v>
      </x:c>
      <x:c r="D14" s="1"/>
      <x:c r="E14" s="1"/>
      <x:c r="F14" s="1"/>
    </x:row>
    <x:row r="15">
      <x:c r="A15" s="16" t="str">
        <x:v>资料截止</x:v>
      </x:c>
      <x:c r="B15" s="16" t="str">
        <x:v>2026-09-21</x:v>
      </x:c>
      <x:c r="C15" s="16" t="str">
        <x:v>固定日期</x:v>
      </x:c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31" t="str">
        <x:v>2027 情景输入</x:v>
      </x:c>
      <x:c r="B18" s="31"/>
      <x:c r="C18" s="31"/>
      <x:c r="D18" s="31"/>
      <x:c r="E18" s="31"/>
      <x:c r="F18" s="31"/>
    </x:row>
    <x:row r="19">
      <x:c r="A19" s="1"/>
      <x:c r="B19" s="1"/>
      <x:c r="C19" s="1"/>
      <x:c r="D19" s="1"/>
      <x:c r="E19" s="1"/>
      <x:c r="F19" s="1"/>
    </x:row>
    <x:row r="20">
      <x:c r="A20" s="15" t="str">
        <x:v>假设</x:v>
      </x:c>
      <x:c r="B20" s="15" t="str">
        <x:v>Bear</x:v>
      </x:c>
      <x:c r="C20" s="15" t="str">
        <x:v>Base</x:v>
      </x:c>
      <x:c r="D20" s="15" t="str">
        <x:v>Bull</x:v>
      </x:c>
      <x:c r="E20" s="1"/>
      <x:c r="F20" s="1"/>
    </x:row>
    <x:row r="21">
      <x:c r="A21" s="16" t="str">
        <x:v>概率</x:v>
      </x:c>
      <x:c r="B21" s="36" t="n">
        <x:v>0.25</x:v>
      </x:c>
      <x:c r="C21" s="36" t="n">
        <x:v>0.55</x:v>
      </x:c>
      <x:c r="D21" s="36" t="n">
        <x:v>0.2</x:v>
      </x:c>
      <x:c r="E21" s="1"/>
      <x:c r="F21" s="1"/>
    </x:row>
    <x:row r="22">
      <x:c r="A22" s="16" t="str">
        <x:v>归母净利润（十亿元）</x:v>
      </x:c>
      <x:c r="B22" s="37" t="n">
        <x:v>40</x:v>
      </x:c>
      <x:c r="C22" s="37" t="n">
        <x:v>52</x:v>
      </x:c>
      <x:c r="D22" s="37" t="n">
        <x:v>62</x:v>
      </x:c>
      <x:c r="E22" s="1"/>
      <x:c r="F22" s="1"/>
    </x:row>
    <x:row r="23">
      <x:c r="A23" s="16" t="str">
        <x:v>P/E</x:v>
      </x:c>
      <x:c r="B23" s="38" t="n">
        <x:v>11</x:v>
      </x:c>
      <x:c r="C23" s="38" t="n">
        <x:v>15.5</x:v>
      </x:c>
      <x:c r="D23" s="38" t="n">
        <x:v>19</x:v>
      </x:c>
      <x:c r="E23" s="1"/>
      <x:c r="F23" s="1"/>
    </x:row>
    <x:row r="24">
      <x:c r="A24" s="16" t="str">
        <x:v>逻辑</x:v>
      </x:c>
      <x:c r="B24" s="39" t="str">
        <x:v>国内需求偏弱，海外成本上升</x:v>
      </x:c>
      <x:c r="C24" s="39" t="str">
        <x:v>海外与 ToB 稳步增长</x:v>
      </x:c>
      <x:c r="D24" s="39" t="str">
        <x:v>海外、楼宇与 KUKA 加速增长</x:v>
      </x:c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40" t="str">
        <x:v>估值说明</x:v>
      </x:c>
      <x:c r="B27" s="40"/>
      <x:c r="C27" s="40"/>
      <x:c r="D27" s="40"/>
      <x:c r="E27" s="40"/>
      <x:c r="F27" s="40"/>
    </x:row>
    <x:row r="28">
      <x:c r="A28" s="41" t="str">
        <x:v>主估值使用 2027 年归母净利润 P/E，不另加净金融资产。</x:v>
      </x:c>
      <x:c r="B28" s="41"/>
      <x:c r="C28" s="41"/>
      <x:c r="D28" s="41"/>
      <x:c r="E28" s="41"/>
      <x:c r="F28" s="41"/>
    </x:row>
    <x:row r="29">
      <x:c r="A29" s="41" t="str">
        <x:v>利息和金融工具收益已进入利润表；部分存款、存单和受限资金服务于营运与金融业务。</x:v>
      </x:c>
      <x:c r="B29" s="41"/>
      <x:c r="C29" s="41"/>
      <x:c r="D29" s="41"/>
      <x:c r="E29" s="41"/>
      <x:c r="F29" s="41"/>
    </x:row>
    <x:row r="30">
      <x:c r="A30" s="41" t="str">
        <x:v>2026H1 扣非利润受汇兑损失与衍生工具收益分类不对称影响。</x:v>
      </x:c>
      <x:c r="B30" s="41"/>
      <x:c r="C30" s="41"/>
      <x:c r="D30" s="41"/>
      <x:c r="E30" s="41"/>
      <x:c r="F30" s="41"/>
    </x:row>
    <x:row r="31">
      <x:c r="A31" s="41" t="str">
        <x:v>情景价值使用摊薄股本，A/H 换算仅用于价格比较。</x:v>
      </x:c>
      <x:c r="B31" s="41"/>
      <x:c r="C31" s="41"/>
      <x:c r="D31" s="41"/>
      <x:c r="E31" s="41"/>
      <x:c r="F31" s="4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  <x:row r="41">
      <x:c r="A41" s="1"/>
      <x:c r="B41" s="1"/>
      <x:c r="C41" s="1"/>
      <x:c r="D41" s="1"/>
      <x:c r="E41" s="1"/>
      <x:c r="F41" s="1"/>
    </x:row>
    <x:row r="42">
      <x:c r="A42" s="1"/>
      <x:c r="B42" s="1"/>
      <x:c r="C42" s="1"/>
      <x:c r="D42" s="1"/>
      <x:c r="E42" s="1"/>
      <x:c r="F42" s="1"/>
    </x:row>
    <x:row r="43">
      <x:c r="A43" s="1"/>
      <x:c r="B43" s="1"/>
      <x:c r="C43" s="1"/>
      <x:c r="D43" s="1"/>
      <x:c r="E43" s="1"/>
      <x:c r="F43" s="1"/>
    </x:row>
    <x:row r="44">
      <x:c r="A44" s="1"/>
      <x:c r="B44" s="1"/>
      <x:c r="C44" s="1"/>
      <x:c r="D44" s="1"/>
      <x:c r="E44" s="1"/>
      <x:c r="F44" s="1"/>
    </x:row>
    <x:row r="45">
      <x:c r="A45" s="1"/>
      <x:c r="B45" s="1"/>
      <x:c r="C45" s="1"/>
      <x:c r="D45" s="1"/>
      <x:c r="E45" s="1"/>
      <x:c r="F45" s="1"/>
    </x:row>
    <x:row r="46">
      <x:c r="A46" s="1"/>
      <x:c r="B46" s="1"/>
      <x:c r="C46" s="1"/>
      <x:c r="D46" s="1"/>
      <x:c r="E46" s="1"/>
      <x:c r="F46" s="1"/>
    </x:row>
    <x:row r="47">
      <x:c r="A47" s="1"/>
      <x:c r="B47" s="1"/>
      <x:c r="C47" s="1"/>
      <x:c r="D47" s="1"/>
      <x:c r="E47" s="1"/>
      <x:c r="F47" s="1"/>
    </x:row>
    <x:row r="48">
      <x:c r="A48" s="1"/>
      <x:c r="B48" s="1"/>
      <x:c r="C48" s="1"/>
      <x:c r="D48" s="1"/>
      <x:c r="E48" s="1"/>
      <x:c r="F48" s="1"/>
    </x:row>
    <x:row r="49">
      <x:c r="A49" s="1"/>
      <x:c r="B49" s="1"/>
      <x:c r="C49" s="1"/>
      <x:c r="D49" s="1"/>
      <x:c r="E49" s="1"/>
      <x:c r="F49" s="1"/>
    </x:row>
    <x:row r="50">
      <x:c r="A50" s="1"/>
      <x:c r="B50" s="1"/>
      <x:c r="C50" s="1"/>
      <x:c r="D50" s="1"/>
      <x:c r="E50" s="1"/>
      <x:c r="F50" s="1"/>
    </x:row>
    <x:row r="51">
      <x:c r="A51" s="1"/>
      <x:c r="B51" s="1"/>
      <x:c r="C51" s="1"/>
      <x:c r="D51" s="1"/>
      <x:c r="E51" s="1"/>
      <x:c r="F51" s="1"/>
    </x:row>
    <x:row r="52">
      <x:c r="A52" s="1"/>
      <x:c r="B52" s="1"/>
      <x:c r="C52" s="1"/>
      <x:c r="D52" s="1"/>
      <x:c r="E52" s="1"/>
      <x:c r="F52" s="1"/>
    </x:row>
    <x:row r="53">
      <x:c r="A53" s="1"/>
      <x:c r="B53" s="1"/>
      <x:c r="C53" s="1"/>
      <x:c r="D53" s="1"/>
      <x:c r="E53" s="1"/>
      <x:c r="F53" s="1"/>
    </x:row>
    <x:row r="54">
      <x:c r="A54" s="1"/>
      <x:c r="B54" s="1"/>
      <x:c r="C54" s="1"/>
      <x:c r="D54" s="1"/>
      <x:c r="E54" s="1"/>
      <x:c r="F54" s="1"/>
    </x:row>
    <x:row r="55">
      <x:c r="A55" s="1"/>
      <x:c r="B55" s="1"/>
      <x:c r="C55" s="1"/>
      <x:c r="D55" s="1"/>
      <x:c r="E55" s="1"/>
      <x:c r="F55" s="1"/>
    </x:row>
    <x:row r="56">
      <x:c r="A56" s="1"/>
      <x:c r="B56" s="1"/>
      <x:c r="C56" s="1"/>
      <x:c r="D56" s="1"/>
      <x:c r="E56" s="1"/>
      <x:c r="F56" s="1"/>
    </x:row>
    <x:row r="57">
      <x:c r="A57" s="1"/>
      <x:c r="B57" s="1"/>
      <x:c r="C57" s="1"/>
      <x:c r="D57" s="1"/>
      <x:c r="E57" s="1"/>
      <x:c r="F57" s="1"/>
    </x:row>
    <x:row r="58">
      <x:c r="A58" s="1"/>
      <x:c r="B58" s="1"/>
      <x:c r="C58" s="1"/>
      <x:c r="D58" s="1"/>
      <x:c r="E58" s="1"/>
      <x:c r="F58" s="1"/>
    </x:row>
    <x:row r="59">
      <x:c r="A59" s="1"/>
      <x:c r="B59" s="1"/>
      <x:c r="C59" s="1"/>
      <x:c r="D59" s="1"/>
      <x:c r="E59" s="1"/>
      <x:c r="F59" s="1"/>
    </x:row>
    <x:row r="60">
      <x:c r="A60" s="1"/>
      <x:c r="B60" s="1"/>
      <x:c r="C60" s="1"/>
      <x:c r="D60" s="1"/>
      <x:c r="E60" s="1"/>
      <x:c r="F60" s="1"/>
    </x:row>
    <x:row r="61">
      <x:c r="A61" s="1"/>
      <x:c r="B61" s="1"/>
      <x:c r="C61" s="1"/>
      <x:c r="D61" s="1"/>
      <x:c r="E61" s="1"/>
      <x:c r="F61" s="1"/>
    </x:row>
    <x:row r="62">
      <x:c r="A62" s="1"/>
      <x:c r="B62" s="1"/>
      <x:c r="C62" s="1"/>
      <x:c r="D62" s="1"/>
      <x:c r="E62" s="1"/>
      <x:c r="F62" s="1"/>
    </x:row>
    <x:row r="63">
      <x:c r="A63" s="1"/>
      <x:c r="B63" s="1"/>
      <x:c r="C63" s="1"/>
      <x:c r="D63" s="1"/>
      <x:c r="E63" s="1"/>
      <x:c r="F63" s="1"/>
    </x:row>
    <x:row r="64">
      <x:c r="A64" s="1"/>
      <x:c r="B64" s="1"/>
      <x:c r="C64" s="1"/>
      <x:c r="D64" s="1"/>
      <x:c r="E64" s="1"/>
      <x:c r="F64" s="1"/>
    </x:row>
    <x:row r="65">
      <x:c r="A65" s="1"/>
      <x:c r="B65" s="1"/>
      <x:c r="C65" s="1"/>
      <x:c r="D65" s="1"/>
      <x:c r="E65" s="1"/>
      <x:c r="F65" s="1"/>
    </x:row>
    <x:row r="66">
      <x:c r="A66" s="1"/>
      <x:c r="B66" s="1"/>
      <x:c r="C66" s="1"/>
      <x:c r="D66" s="1"/>
      <x:c r="E66" s="1"/>
      <x:c r="F66" s="1"/>
    </x:row>
    <x:row r="67">
      <x:c r="A67" s="1"/>
      <x:c r="B67" s="1"/>
      <x:c r="C67" s="1"/>
      <x:c r="D67" s="1"/>
      <x:c r="E67" s="1"/>
      <x:c r="F67" s="1"/>
    </x:row>
    <x:row r="68">
      <x:c r="A68" s="1"/>
      <x:c r="B68" s="1"/>
      <x:c r="C68" s="1"/>
      <x:c r="D68" s="1"/>
      <x:c r="E68" s="1"/>
      <x:c r="F68" s="1"/>
    </x:row>
    <x:row r="69">
      <x:c r="A69" s="1"/>
      <x:c r="B69" s="1"/>
      <x:c r="C69" s="1"/>
      <x:c r="D69" s="1"/>
      <x:c r="E69" s="1"/>
      <x:c r="F69" s="1"/>
    </x:row>
    <x:row r="70">
      <x:c r="A70" s="1"/>
      <x:c r="B70" s="1"/>
      <x:c r="C70" s="1"/>
      <x:c r="D70" s="1"/>
      <x:c r="E70" s="1"/>
      <x:c r="F70" s="1"/>
    </x:row>
    <x:row r="71">
      <x:c r="A71" s="1"/>
      <x:c r="B71" s="1"/>
      <x:c r="C71" s="1"/>
      <x:c r="D71" s="1"/>
      <x:c r="E71" s="1"/>
      <x:c r="F71" s="1"/>
    </x:row>
    <x:row r="72">
      <x:c r="A72" s="1"/>
      <x:c r="B72" s="1"/>
      <x:c r="C72" s="1"/>
      <x:c r="D72" s="1"/>
      <x:c r="E72" s="1"/>
      <x:c r="F72" s="1"/>
    </x:row>
    <x:row r="73">
      <x:c r="A73" s="1"/>
      <x:c r="B73" s="1"/>
      <x:c r="C73" s="1"/>
      <x:c r="D73" s="1"/>
      <x:c r="E73" s="1"/>
      <x:c r="F73" s="1"/>
    </x:row>
    <x:row r="74">
      <x:c r="A74" s="1"/>
      <x:c r="B74" s="1"/>
      <x:c r="C74" s="1"/>
      <x:c r="D74" s="1"/>
      <x:c r="E74" s="1"/>
      <x:c r="F74" s="1"/>
    </x:row>
    <x:row r="75">
      <x:c r="A75" s="1"/>
      <x:c r="B75" s="1"/>
      <x:c r="C75" s="1"/>
      <x:c r="D75" s="1"/>
      <x:c r="E75" s="1"/>
      <x:c r="F75" s="1"/>
    </x:row>
    <x:row r="76">
      <x:c r="A76" s="1"/>
      <x:c r="B76" s="1"/>
      <x:c r="C76" s="1"/>
      <x:c r="D76" s="1"/>
      <x:c r="E76" s="1"/>
      <x:c r="F76" s="1"/>
    </x:row>
    <x:row r="77">
      <x:c r="A77" s="1"/>
      <x:c r="B77" s="1"/>
      <x:c r="C77" s="1"/>
      <x:c r="D77" s="1"/>
      <x:c r="E77" s="1"/>
      <x:c r="F77" s="1"/>
    </x:row>
    <x:row r="78">
      <x:c r="A78" s="1"/>
      <x:c r="B78" s="1"/>
      <x:c r="C78" s="1"/>
      <x:c r="D78" s="1"/>
      <x:c r="E78" s="1"/>
      <x:c r="F78" s="1"/>
    </x:row>
    <x:row r="79">
      <x:c r="A79" s="1"/>
      <x:c r="B79" s="1"/>
      <x:c r="C79" s="1"/>
      <x:c r="D79" s="1"/>
      <x:c r="E79" s="1"/>
      <x:c r="F79" s="1"/>
    </x:row>
    <x:row r="80">
      <x:c r="A80" s="1"/>
      <x:c r="B80" s="1"/>
      <x:c r="C80" s="1"/>
      <x:c r="D80" s="1"/>
      <x:c r="E80" s="1"/>
      <x:c r="F80" s="1"/>
    </x:row>
    <x:row r="81">
      <x:c r="A81" s="1"/>
      <x:c r="B81" s="1"/>
      <x:c r="C81" s="1"/>
      <x:c r="D81" s="1"/>
      <x:c r="E81" s="1"/>
      <x:c r="F81" s="1"/>
    </x:row>
    <x:row r="82">
      <x:c r="A82" s="1"/>
      <x:c r="B82" s="1"/>
      <x:c r="C82" s="1"/>
      <x:c r="D82" s="1"/>
      <x:c r="E82" s="1"/>
      <x:c r="F82" s="1"/>
    </x:row>
    <x:row r="83">
      <x:c r="A83" s="1"/>
      <x:c r="B83" s="1"/>
      <x:c r="C83" s="1"/>
      <x:c r="D83" s="1"/>
      <x:c r="E83" s="1"/>
      <x:c r="F83" s="1"/>
    </x:row>
    <x:row r="84">
      <x:c r="A84" s="1"/>
      <x:c r="B84" s="1"/>
      <x:c r="C84" s="1"/>
      <x:c r="D84" s="1"/>
      <x:c r="E84" s="1"/>
      <x:c r="F84" s="1"/>
    </x:row>
    <x:row r="85">
      <x:c r="A85" s="1"/>
      <x:c r="B85" s="1"/>
      <x:c r="C85" s="1"/>
      <x:c r="D85" s="1"/>
      <x:c r="E85" s="1"/>
      <x:c r="F85" s="1"/>
    </x:row>
    <x:row r="86">
      <x:c r="A86" s="1"/>
      <x:c r="B86" s="1"/>
      <x:c r="C86" s="1"/>
      <x:c r="D86" s="1"/>
      <x:c r="E86" s="1"/>
      <x:c r="F86" s="1"/>
    </x:row>
    <x:row r="87">
      <x:c r="A87" s="1"/>
      <x:c r="B87" s="1"/>
      <x:c r="C87" s="1"/>
      <x:c r="D87" s="1"/>
      <x:c r="E87" s="1"/>
      <x:c r="F87" s="1"/>
    </x:row>
    <x:row r="88">
      <x:c r="A88" s="1"/>
      <x:c r="B88" s="1"/>
      <x:c r="C88" s="1"/>
      <x:c r="D88" s="1"/>
      <x:c r="E88" s="1"/>
      <x:c r="F88" s="1"/>
    </x:row>
    <x:row r="89">
      <x:c r="A89" s="1"/>
      <x:c r="B89" s="1"/>
      <x:c r="C89" s="1"/>
      <x:c r="D89" s="1"/>
      <x:c r="E89" s="1"/>
      <x:c r="F89" s="1"/>
    </x:row>
    <x:row r="90">
      <x:c r="A90" s="1"/>
      <x:c r="B90" s="1"/>
      <x:c r="C90" s="1"/>
      <x:c r="D90" s="1"/>
      <x:c r="E90" s="1"/>
      <x:c r="F90" s="1"/>
    </x:row>
  </x:sheetData>
  <x:mergeCells>
    <x:mergeCell ref="A1:F2"/>
    <x:mergeCell ref="A3:F3"/>
    <x:mergeCell ref="A5:F5"/>
    <x:mergeCell ref="A18:F18"/>
    <x:mergeCell ref="A27:F27"/>
    <x:mergeCell ref="A28:F28"/>
    <x:mergeCell ref="A29:F29"/>
    <x:mergeCell ref="A30:F30"/>
    <x:mergeCell ref="A31:F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7D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" hidden="0" customWidth="1"/>
  </x:cols>
  <x:sheetData>
    <x:row r="1">
      <x:c r="A1" s="4" t="str">
        <x:v>历史财务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6" t="str">
        <x:v>人民币十亿元；2026H1 为中期数据</x:v>
      </x:c>
      <x:c r="B3" s="6"/>
      <x:c r="C3" s="6"/>
      <x:c r="D3" s="6"/>
      <x:c r="E3" s="6"/>
      <x:c r="F3" s="6"/>
      <x:c r="G3" s="6"/>
      <x:c r="H3" s="6"/>
    </x:row>
    <x:row r="4">
      <x:c r="A4" s="55"/>
      <x:c r="B4" s="55"/>
      <x:c r="C4" s="55"/>
      <x:c r="D4" s="55"/>
      <x:c r="E4" s="55"/>
      <x:c r="F4" s="55"/>
      <x:c r="G4" s="55"/>
      <x:c r="H4" s="55"/>
    </x:row>
    <x:row r="5">
      <x:c r="A5" s="14" t="str">
        <x:v>指标</x:v>
      </x:c>
      <x:c r="B5" s="14" t="str">
        <x:v>单位</x:v>
      </x:c>
      <x:c r="C5" s="14" t="str">
        <x:v>2023</x:v>
      </x:c>
      <x:c r="D5" s="14" t="str">
        <x:v>2024</x:v>
      </x:c>
      <x:c r="E5" s="14" t="str">
        <x:v>2025</x:v>
      </x:c>
      <x:c r="F5" s="14" t="str">
        <x:v>2025H1</x:v>
      </x:c>
      <x:c r="G5" s="14" t="str">
        <x:v>2026H1</x:v>
      </x:c>
      <x:c r="H5" s="55"/>
    </x:row>
    <x:row r="6">
      <x:c r="A6" s="55"/>
      <x:c r="B6" s="55"/>
      <x:c r="C6" s="55"/>
      <x:c r="D6" s="55"/>
      <x:c r="E6" s="55"/>
      <x:c r="F6" s="55"/>
      <x:c r="G6" s="55"/>
      <x:c r="H6" s="55"/>
    </x:row>
    <x:row r="7">
      <x:c r="A7" s="55"/>
      <x:c r="B7" s="55"/>
      <x:c r="C7" s="55"/>
      <x:c r="D7" s="55"/>
      <x:c r="E7" s="55"/>
      <x:c r="F7" s="55"/>
      <x:c r="G7" s="55"/>
      <x:c r="H7" s="55"/>
    </x:row>
    <x:row r="8">
      <x:c r="A8" s="56" t="str">
        <x:v>营业收入</x:v>
      </x:c>
      <x:c r="B8" s="56" t="str">
        <x:v>十亿元</x:v>
      </x:c>
      <x:c r="C8" s="57" t="n">
        <x:v>372.03728</x:v>
      </x:c>
      <x:c r="D8" s="57" t="n">
        <x:v>407.1496</x:v>
      </x:c>
      <x:c r="E8" s="57" t="n">
        <x:v>456.451731</x:v>
      </x:c>
      <x:c r="F8" s="57" t="n">
        <x:v>251.123714</x:v>
      </x:c>
      <x:c r="G8" s="57" t="n">
        <x:v>260.04249</x:v>
      </x:c>
      <x:c r="H8" s="55"/>
    </x:row>
    <x:row r="9">
      <x:c r="A9" s="58" t="str">
        <x:v>收入增长</x:v>
      </x:c>
      <x:c r="B9" s="58" t="str">
        <x:v>%</x:v>
      </x:c>
      <x:c r="C9" s="59"/>
      <x:c r="D9" s="59" t="n">
        <x:f>D8/C8-1</x:f>
        <x:v>0.09437849884291172</x:v>
      </x:c>
      <x:c r="E9" s="59" t="n">
        <x:f>E8/D8-1</x:f>
        <x:v>0.12109094789728392</x:v>
      </x:c>
      <x:c r="F9" s="59"/>
      <x:c r="G9" s="59" t="n">
        <x:f>G8/F8-1</x:f>
        <x:v>0.035515467089659136</x:v>
      </x:c>
      <x:c r="H9" s="55"/>
    </x:row>
    <x:row r="10">
      <x:c r="A10" s="58" t="str">
        <x:v>综合毛利率</x:v>
      </x:c>
      <x:c r="B10" s="58" t="str">
        <x:v>%</x:v>
      </x:c>
      <x:c r="C10" s="59"/>
      <x:c r="D10" s="59" t="n">
        <x:v>0.2641</x:v>
      </x:c>
      <x:c r="E10" s="59" t="n">
        <x:v>0.2639</x:v>
      </x:c>
      <x:c r="F10" s="59" t="n">
        <x:v>0.255</x:v>
      </x:c>
      <x:c r="G10" s="59" t="n">
        <x:v>0.25</x:v>
      </x:c>
      <x:c r="H10" s="55"/>
    </x:row>
    <x:row r="11">
      <x:c r="A11" s="56" t="str">
        <x:v>归母净利润</x:v>
      </x:c>
      <x:c r="B11" s="56" t="str">
        <x:v>十亿元</x:v>
      </x:c>
      <x:c r="C11" s="57" t="n">
        <x:v>33.719935</x:v>
      </x:c>
      <x:c r="D11" s="57" t="n">
        <x:v>38.537237</x:v>
      </x:c>
      <x:c r="E11" s="57" t="n">
        <x:v>43.945411</x:v>
      </x:c>
      <x:c r="F11" s="57" t="n">
        <x:v>26.01369</x:v>
      </x:c>
      <x:c r="G11" s="57" t="n">
        <x:v>26.446037</x:v>
      </x:c>
      <x:c r="H11" s="55"/>
    </x:row>
    <x:row r="12">
      <x:c r="A12" s="58" t="str">
        <x:v>归母净利率</x:v>
      </x:c>
      <x:c r="B12" s="58" t="str">
        <x:v>%</x:v>
      </x:c>
      <x:c r="C12" s="59" t="n">
        <x:f>C11/C8</x:f>
        <x:v>0.09063590347719992</x:v>
      </x:c>
      <x:c r="D12" s="59" t="n">
        <x:f>D11/D8</x:f>
        <x:v>0.09465129524872429</x:v>
      </x:c>
      <x:c r="E12" s="59" t="n">
        <x:f>E11/E8</x:f>
        <x:v>0.09627614053237099</x:v>
      </x:c>
      <x:c r="F12" s="59" t="n">
        <x:f>F11/F8</x:f>
        <x:v>0.1035891417247835</x:v>
      </x:c>
      <x:c r="G12" s="59" t="n">
        <x:f>G11/G8</x:f>
        <x:v>0.1016989069747794</x:v>
      </x:c>
      <x:c r="H12" s="55"/>
    </x:row>
    <x:row r="13">
      <x:c r="A13" s="56" t="str">
        <x:v>扣非归母净利润</x:v>
      </x:c>
      <x:c r="B13" s="56" t="str">
        <x:v>十亿元</x:v>
      </x:c>
      <x:c r="C13" s="57" t="n">
        <x:v>32.974908</x:v>
      </x:c>
      <x:c r="D13" s="57" t="n">
        <x:v>35.741418</x:v>
      </x:c>
      <x:c r="E13" s="57" t="n">
        <x:v>41.267233</x:v>
      </x:c>
      <x:c r="F13" s="57" t="n">
        <x:v>26.235399</x:v>
      </x:c>
      <x:c r="G13" s="57" t="n">
        <x:v>19.595179</x:v>
      </x:c>
      <x:c r="H13" s="55"/>
    </x:row>
    <x:row r="14">
      <x:c r="A14" s="58" t="str">
        <x:v>扣非/归母</x:v>
      </x:c>
      <x:c r="B14" s="58" t="str">
        <x:v>%</x:v>
      </x:c>
      <x:c r="C14" s="59" t="n">
        <x:f>C13/C11</x:f>
        <x:v>0.9779054437679076</x:v>
      </x:c>
      <x:c r="D14" s="59" t="n">
        <x:f>D13/D11</x:f>
        <x:v>0.9274514932142127</x:v>
      </x:c>
      <x:c r="E14" s="59" t="n">
        <x:f>E13/E11</x:f>
        <x:v>0.9390567083329815</x:v>
      </x:c>
      <x:c r="F14" s="59" t="n">
        <x:f>F13/F11</x:f>
        <x:v>1.0085227816584268</x:v>
      </x:c>
      <x:c r="G14" s="59" t="n">
        <x:f>G13/G11</x:f>
        <x:v>0.7409495418916642</x:v>
      </x:c>
      <x:c r="H14" s="55"/>
    </x:row>
    <x:row r="15">
      <x:c r="A15" s="56" t="str">
        <x:v>经营现金流</x:v>
      </x:c>
      <x:c r="B15" s="56" t="str">
        <x:v>十亿元</x:v>
      </x:c>
      <x:c r="C15" s="57" t="n">
        <x:v>57.902611</x:v>
      </x:c>
      <x:c r="D15" s="57" t="n">
        <x:v>60.511572</x:v>
      </x:c>
      <x:c r="E15" s="57" t="n">
        <x:v>53.34593</x:v>
      </x:c>
      <x:c r="F15" s="57" t="n">
        <x:v>37.281015</x:v>
      </x:c>
      <x:c r="G15" s="57" t="n">
        <x:v>37.55209</x:v>
      </x:c>
      <x:c r="H15" s="55"/>
    </x:row>
    <x:row r="16">
      <x:c r="A16" s="58" t="str">
        <x:v>经营现金流/归母</x:v>
      </x:c>
      <x:c r="B16" s="58" t="str">
        <x:v>%</x:v>
      </x:c>
      <x:c r="C16" s="59" t="n">
        <x:f>C15/C11</x:f>
        <x:v>1.71716259239527</x:v>
      </x:c>
      <x:c r="D16" s="59" t="n">
        <x:f>D15/D11</x:f>
        <x:v>1.5702104434731532</x:v>
      </x:c>
      <x:c r="E16" s="59" t="n">
        <x:f>E15/E11</x:f>
        <x:v>1.2139135528849645</x:v>
      </x:c>
      <x:c r="F16" s="59" t="n">
        <x:f>F15/F11</x:f>
        <x:v>1.4331305939295809</x:v>
      </x:c>
      <x:c r="G16" s="59" t="n">
        <x:f>G15/G11</x:f>
        <x:v>1.4199515035088244</x:v>
      </x:c>
      <x:c r="H16" s="55"/>
    </x:row>
    <x:row r="17">
      <x:c r="A17" s="56" t="str">
        <x:v>购建长期资产现金支出</x:v>
      </x:c>
      <x:c r="B17" s="56" t="str">
        <x:v>十亿元</x:v>
      </x:c>
      <x:c r="C17" s="57"/>
      <x:c r="D17" s="57" t="n">
        <x:v>7.839636</x:v>
      </x:c>
      <x:c r="E17" s="57" t="n">
        <x:v>11.141889</x:v>
      </x:c>
      <x:c r="F17" s="57" t="n">
        <x:v>3.145319</x:v>
      </x:c>
      <x:c r="G17" s="57" t="n">
        <x:v>2.63421</x:v>
      </x:c>
      <x:c r="H17" s="55"/>
    </x:row>
    <x:row r="18">
      <x:c r="A18" s="56" t="str">
        <x:v>简化自由现金流</x:v>
      </x:c>
      <x:c r="B18" s="56" t="str">
        <x:v>十亿元</x:v>
      </x:c>
      <x:c r="C18" s="57"/>
      <x:c r="D18" s="57" t="n">
        <x:f>D15-D17</x:f>
        <x:v>52.671936</x:v>
      </x:c>
      <x:c r="E18" s="57" t="n">
        <x:f>E15-E17</x:f>
        <x:v>42.204041000000004</x:v>
      </x:c>
      <x:c r="F18" s="57" t="n">
        <x:f>F15-F17</x:f>
        <x:v>34.135695999999996</x:v>
      </x:c>
      <x:c r="G18" s="57" t="n">
        <x:f>G15-G17</x:f>
        <x:v>34.91788</x:v>
      </x:c>
      <x:c r="H18" s="55"/>
    </x:row>
    <x:row r="19">
      <x:c r="A19" s="56" t="str">
        <x:v>基本每股收益</x:v>
      </x:c>
      <x:c r="B19" s="56" t="str">
        <x:v>元</x:v>
      </x:c>
      <x:c r="C19" s="57" t="n">
        <x:v>4.93</x:v>
      </x:c>
      <x:c r="D19" s="57" t="n">
        <x:v>5.44</x:v>
      </x:c>
      <x:c r="E19" s="57" t="n">
        <x:v>5.8</x:v>
      </x:c>
      <x:c r="F19" s="57" t="n">
        <x:v>3.41</x:v>
      </x:c>
      <x:c r="G19" s="57" t="n">
        <x:v>3.52</x:v>
      </x:c>
      <x:c r="H19" s="55"/>
    </x:row>
    <x:row r="20">
      <x:c r="A20" s="58" t="str">
        <x:v>加权平均 ROE</x:v>
      </x:c>
      <x:c r="B20" s="58" t="str">
        <x:v>%</x:v>
      </x:c>
      <x:c r="C20" s="59" t="n">
        <x:v>0.2223</x:v>
      </x:c>
      <x:c r="D20" s="59" t="n">
        <x:v>0.2129</x:v>
      </x:c>
      <x:c r="E20" s="59" t="n">
        <x:v>0.197</x:v>
      </x:c>
      <x:c r="F20" s="59" t="n">
        <x:v>0.1129</x:v>
      </x:c>
      <x:c r="G20" s="59" t="n">
        <x:v>0.1133</x:v>
      </x:c>
      <x:c r="H20" s="55"/>
    </x:row>
    <x:row r="21">
      <x:c r="A21" s="55"/>
      <x:c r="B21" s="55"/>
      <x:c r="C21" s="55"/>
      <x:c r="D21" s="55"/>
      <x:c r="E21" s="55"/>
      <x:c r="F21" s="55"/>
      <x:c r="G21" s="55"/>
      <x:c r="H21" s="55"/>
    </x:row>
    <x:row r="22">
      <x:c r="A22" s="55"/>
      <x:c r="B22" s="55"/>
      <x:c r="C22" s="55"/>
      <x:c r="D22" s="55"/>
      <x:c r="E22" s="55"/>
      <x:c r="F22" s="55"/>
      <x:c r="G22" s="55"/>
      <x:c r="H22" s="55"/>
    </x:row>
    <x:row r="23">
      <x:c r="A23" s="31" t="str">
        <x:v>滚动十二个月</x:v>
      </x:c>
      <x:c r="B23" s="31"/>
      <x:c r="C23" s="31"/>
      <x:c r="D23" s="31"/>
      <x:c r="E23" s="31"/>
      <x:c r="F23" s="31"/>
      <x:c r="G23" s="31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15" t="str">
        <x:v>指标</x:v>
      </x:c>
      <x:c r="B25" s="15" t="str">
        <x:v>公式</x:v>
      </x:c>
      <x:c r="C25" s="15" t="str">
        <x:v>结果</x:v>
      </x:c>
      <x:c r="D25" s="55"/>
      <x:c r="E25" s="55"/>
      <x:c r="F25" s="55"/>
      <x:c r="G25" s="55"/>
      <x:c r="H25" s="55"/>
    </x:row>
    <x:row r="26">
      <x:c r="A26" s="56" t="str">
        <x:v>滚动营业收入</x:v>
      </x:c>
      <x:c r="B26" s="56" t="str">
        <x:v>2025-2025H1+2026H1</x:v>
      </x:c>
      <x:c r="C26" s="72" t="n">
        <x:f>E8-F8+G8</x:f>
        <x:v>465.370507</x:v>
      </x:c>
      <x:c r="D26" s="55"/>
      <x:c r="E26" s="55"/>
      <x:c r="F26" s="55"/>
      <x:c r="G26" s="55"/>
      <x:c r="H26" s="55"/>
    </x:row>
    <x:row r="27">
      <x:c r="A27" s="56" t="str">
        <x:v>滚动归母净利润</x:v>
      </x:c>
      <x:c r="B27" s="56" t="str">
        <x:v>2025-2025H1+2026H1</x:v>
      </x:c>
      <x:c r="C27" s="72" t="n">
        <x:f>E11-F11+G11</x:f>
        <x:v>44.377758</x:v>
      </x:c>
      <x:c r="D27" s="55"/>
      <x:c r="E27" s="55"/>
      <x:c r="F27" s="55"/>
      <x:c r="G27" s="55"/>
      <x:c r="H27" s="55"/>
    </x:row>
    <x:row r="28">
      <x:c r="A28" s="56" t="str">
        <x:v>滚动经营现金流</x:v>
      </x:c>
      <x:c r="B28" s="56" t="str">
        <x:v>2025-2025H1+2026H1</x:v>
      </x:c>
      <x:c r="C28" s="72" t="n">
        <x:f>E15-F15+G15</x:f>
        <x:v>53.617005000000006</x:v>
      </x:c>
      <x:c r="D28" s="55"/>
      <x:c r="E28" s="55"/>
      <x:c r="F28" s="55"/>
      <x:c r="G28" s="55"/>
      <x:c r="H28" s="55"/>
    </x:row>
    <x:row r="29">
      <x:c r="A29" s="56" t="str">
        <x:v>滚动简化自由现金流</x:v>
      </x:c>
      <x:c r="B29" s="56" t="str">
        <x:v>2025-2025H1+2026H1</x:v>
      </x:c>
      <x:c r="C29" s="72" t="n">
        <x:f>E18-F18+G18</x:f>
        <x:v>42.986225000000005</x:v>
      </x:c>
      <x:c r="D29" s="55"/>
      <x:c r="E29" s="55"/>
      <x:c r="F29" s="55"/>
      <x:c r="G29" s="55"/>
      <x:c r="H29" s="55"/>
    </x:row>
    <x:row r="30">
      <x:c r="A30" s="55"/>
      <x:c r="B30" s="55"/>
      <x:c r="C30" s="55"/>
      <x:c r="D30" s="55"/>
      <x:c r="E30" s="55"/>
      <x:c r="F30" s="55"/>
      <x:c r="G30" s="55"/>
      <x:c r="H30" s="55"/>
    </x:row>
    <x:row r="31">
      <x:c r="A31" s="55"/>
      <x:c r="B31" s="55"/>
      <x:c r="C31" s="55"/>
      <x:c r="D31" s="55"/>
      <x:c r="E31" s="55"/>
      <x:c r="F31" s="55"/>
      <x:c r="G31" s="55"/>
      <x:c r="H31" s="55"/>
    </x:row>
    <x:row r="32">
      <x:c r="A32" s="61" t="str">
        <x:v>解释</x:v>
      </x:c>
      <x:c r="B32" s="61"/>
      <x:c r="C32" s="61"/>
      <x:c r="D32" s="61"/>
      <x:c r="E32" s="61"/>
      <x:c r="F32" s="61"/>
      <x:c r="G32" s="61"/>
      <x:c r="H32" s="55"/>
    </x:row>
    <x:row r="33">
      <x:c r="A33" s="62" t="str">
        <x:v>2026H1 汇兑损失计入经常性损益，而部分对冲工具收益列入非经常性损益。</x:v>
      </x:c>
      <x:c r="B33" s="62"/>
      <x:c r="C33" s="62"/>
      <x:c r="D33" s="62"/>
      <x:c r="E33" s="62"/>
      <x:c r="F33" s="62"/>
      <x:c r="G33" s="62"/>
      <x:c r="H33" s="55"/>
    </x:row>
    <x:row r="34">
      <x:c r="A34" s="62" t="str">
        <x:v>因此扣非利润不适合机械年化，主估值使用归母净利润正常化。</x:v>
      </x:c>
      <x:c r="B34" s="62"/>
      <x:c r="C34" s="62"/>
      <x:c r="D34" s="62"/>
      <x:c r="E34" s="62"/>
      <x:c r="F34" s="62"/>
      <x:c r="G34" s="62"/>
      <x:c r="H34" s="55"/>
    </x:row>
    <x:row r="35">
      <x:c r="A35" s="62" t="str">
        <x:v>简化自由现金流未调整金融业务资产、租赁、并购、股息和回购。</x:v>
      </x:c>
      <x:c r="B35" s="62"/>
      <x:c r="C35" s="62"/>
      <x:c r="D35" s="62"/>
      <x:c r="E35" s="62"/>
      <x:c r="F35" s="62"/>
      <x:c r="G35" s="62"/>
      <x:c r="H35" s="55"/>
    </x:row>
    <x:row r="36">
      <x:c r="A36" s="55"/>
      <x:c r="B36" s="55"/>
      <x:c r="C36" s="55"/>
      <x:c r="D36" s="55"/>
      <x:c r="E36" s="55"/>
      <x:c r="F36" s="55"/>
      <x:c r="G36" s="55"/>
      <x:c r="H36" s="55"/>
    </x:row>
    <x:row r="37">
      <x:c r="A37" s="55"/>
      <x:c r="B37" s="55"/>
      <x:c r="C37" s="55"/>
      <x:c r="D37" s="55"/>
      <x:c r="E37" s="55"/>
      <x:c r="F37" s="55"/>
      <x:c r="G37" s="55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</x:sheetData>
  <x:mergeCells>
    <x:mergeCell ref="A1:H2"/>
    <x:mergeCell ref="A3:H3"/>
    <x:mergeCell ref="A23:G23"/>
    <x:mergeCell ref="A32:G32"/>
    <x:mergeCell ref="A33:G33"/>
    <x:mergeCell ref="A34:G34"/>
    <x:mergeCell ref="A35:G3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87D8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5" hidden="0" customWidth="1"/>
    <x:col min="4" max="4" width="18" hidden="0" customWidth="1"/>
    <x:col min="5" max="5" width="18" hidden="0" customWidth="1"/>
    <x:col min="6" max="6" width="15" hidden="0" customWidth="1"/>
    <x:col min="7" max="7" width="18" hidden="0" customWidth="1"/>
    <x:col min="8" max="8" width="3" hidden="0" customWidth="1"/>
  </x:cols>
  <x:sheetData>
    <x:row r="1">
      <x:c r="A1" s="4" t="str">
        <x:v>业务结构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6" t="str">
        <x:v>收入为人民币十亿元；分部表按公司披露总收入口径</x:v>
      </x:c>
      <x:c r="B3" s="6"/>
      <x:c r="C3" s="6"/>
      <x:c r="D3" s="6"/>
      <x:c r="E3" s="6"/>
      <x:c r="F3" s="6"/>
      <x:c r="G3" s="6"/>
      <x:c r="H3" s="6"/>
    </x:row>
    <x:row r="4">
      <x:c r="A4" s="55"/>
      <x:c r="B4" s="55"/>
      <x:c r="C4" s="55"/>
      <x:c r="D4" s="55"/>
      <x:c r="E4" s="55"/>
      <x:c r="F4" s="55"/>
      <x:c r="G4" s="55"/>
      <x:c r="H4" s="55"/>
    </x:row>
    <x:row r="5">
      <x:c r="A5" s="31" t="str">
        <x:v>业务收入与毛利率</x:v>
      </x:c>
      <x:c r="B5" s="31"/>
      <x:c r="C5" s="31"/>
      <x:c r="D5" s="31"/>
      <x:c r="E5" s="31"/>
      <x:c r="F5" s="31"/>
      <x:c r="G5" s="31"/>
      <x:c r="H5" s="31"/>
    </x:row>
    <x:row r="6">
      <x:c r="A6" s="55"/>
      <x:c r="B6" s="55"/>
      <x:c r="C6" s="55"/>
      <x:c r="D6" s="55"/>
      <x:c r="E6" s="55"/>
      <x:c r="F6" s="55"/>
      <x:c r="G6" s="55"/>
      <x:c r="H6" s="55"/>
    </x:row>
    <x:row r="7">
      <x:c r="A7" s="15" t="str">
        <x:v>业务</x:v>
      </x:c>
      <x:c r="B7" s="15" t="str">
        <x:v>2025 收入</x:v>
      </x:c>
      <x:c r="C7" s="15" t="str">
        <x:v>2025 占比</x:v>
      </x:c>
      <x:c r="D7" s="15" t="str">
        <x:v>2025 毛利率</x:v>
      </x:c>
      <x:c r="E7" s="15" t="str">
        <x:v>2026H1 收入</x:v>
      </x:c>
      <x:c r="F7" s="15" t="str">
        <x:v>2026H1 占比</x:v>
      </x:c>
      <x:c r="G7" s="15" t="str">
        <x:v>2026H1 毛利率</x:v>
      </x:c>
      <x:c r="H7" s="55"/>
    </x:row>
    <x:row r="8">
      <x:c r="A8" s="56" t="str">
        <x:v>智能家居</x:v>
      </x:c>
      <x:c r="B8" s="60" t="n">
        <x:v>299.927239</x:v>
      </x:c>
      <x:c r="C8" s="63" t="n">
        <x:f>B8/B$15</x:f>
        <x:v>0.6570842405239996</x:v>
      </x:c>
      <x:c r="D8" s="63" t="n">
        <x:v>0.299</x:v>
      </x:c>
      <x:c r="E8" s="60" t="n">
        <x:v>174.340606</x:v>
      </x:c>
      <x:c r="F8" s="63" t="n">
        <x:f>E8/E$15</x:f>
        <x:v>0.667837644950173</x:v>
      </x:c>
      <x:c r="G8" s="63" t="n">
        <x:v>0.279</x:v>
      </x:c>
      <x:c r="H8" s="55"/>
    </x:row>
    <x:row r="9">
      <x:c r="A9" s="56" t="str">
        <x:v>商业及工业解决方案</x:v>
      </x:c>
      <x:c r="B9" s="60" t="n">
        <x:v>122.752958</x:v>
      </x:c>
      <x:c r="C9" s="63" t="n">
        <x:f>B9/B$15</x:f>
        <x:v>0.2689286723287725</x:v>
      </x:c>
      <x:c r="D9" s="63" t="n">
        <x:v>0.2081</x:v>
      </x:c>
      <x:c r="E9" s="60" t="n">
        <x:v>66.666119</x:v>
      </x:c>
      <x:c r="F9" s="63" t="n">
        <x:f>E9/E$15</x:f>
        <x:v>0.25537449325447437</x:v>
      </x:c>
      <x:c r="G9" s="63" t="n">
        <x:v>0.208</x:v>
      </x:c>
      <x:c r="H9" s="55"/>
    </x:row>
    <x:row r="10">
      <x:c r="A10" s="56" t="str">
        <x:v>  工业技术</x:v>
      </x:c>
      <x:c r="B10" s="60" t="n">
        <x:v>27.232432</x:v>
      </x:c>
      <x:c r="C10" s="63" t="n">
        <x:f>B10/B$15</x:f>
        <x:v>0.05966114300922653</x:v>
      </x:c>
      <x:c r="D10" s="63" t="n">
        <x:v>0.175</x:v>
      </x:c>
      <x:c r="E10" s="60" t="n">
        <x:v>13.137739</x:v>
      </x:c>
      <x:c r="F10" s="63" t="n">
        <x:f>E10/E$15</x:f>
        <x:v>0.05032606502314234</x:v>
      </x:c>
      <x:c r="G10" s="63" t="n">
        <x:v>0.148</x:v>
      </x:c>
      <x:c r="H10" s="55"/>
    </x:row>
    <x:row r="11">
      <x:c r="A11" s="56" t="str">
        <x:v>  楼宇科技</x:v>
      </x:c>
      <x:c r="B11" s="60" t="n">
        <x:v>35.790825</x:v>
      </x:c>
      <x:c r="C11" s="63" t="n">
        <x:f>B11/B$15</x:f>
        <x:v>0.0784109744125387</x:v>
      </x:c>
      <x:c r="D11" s="63" t="n">
        <x:v>0.3058</x:v>
      </x:c>
      <x:c r="E11" s="60" t="n">
        <x:v>21.625109</x:v>
      </x:c>
      <x:c r="F11" s="63" t="n">
        <x:f>E11/E$15</x:f>
        <x:v>0.08283819930252387</x:v>
      </x:c>
      <x:c r="G11" s="63" t="n">
        <x:v>0.296</x:v>
      </x:c>
      <x:c r="H11" s="55"/>
    </x:row>
    <x:row r="12">
      <x:c r="A12" s="56" t="str">
        <x:v>  机器人与自动化</x:v>
      </x:c>
      <x:c r="B12" s="60" t="n">
        <x:v>31.010933</x:v>
      </x:c>
      <x:c r="C12" s="63" t="n">
        <x:f>B12/B$15</x:f>
        <x:v>0.0679391289240176</x:v>
      </x:c>
      <x:c r="D12" s="63" t="n">
        <x:v>0.2131</x:v>
      </x:c>
      <x:c r="E12" s="60" t="n">
        <x:v>16.620817</x:v>
      </x:c>
      <x:c r="F12" s="63" t="n">
        <x:f>E12/E$15</x:f>
        <x:v>0.06366851381959632</x:v>
      </x:c>
      <x:c r="G12" s="63" t="n">
        <x:v>0.209</x:v>
      </x:c>
      <x:c r="H12" s="55"/>
    </x:row>
    <x:row r="13">
      <x:c r="A13" s="56" t="str">
        <x:v>  其他业务</x:v>
      </x:c>
      <x:c r="B13" s="60" t="n">
        <x:v>28.718768</x:v>
      </x:c>
      <x:c r="C13" s="63" t="n">
        <x:f>B13/B$15</x:f>
        <x:v>0.06291742598298965</x:v>
      </x:c>
      <x:c r="D13" s="63" t="n">
        <x:v>0.1126</x:v>
      </x:c>
      <x:c r="E13" s="60" t="n">
        <x:v>15.282454</x:v>
      </x:c>
      <x:c r="F13" s="63" t="n">
        <x:f>E13/E$15</x:f>
        <x:v>0.05854171510921185</x:v>
      </x:c>
      <x:c r="G13" s="63" t="n">
        <x:v>0.136</x:v>
      </x:c>
      <x:c r="H13" s="55"/>
    </x:row>
    <x:row r="14">
      <x:c r="A14" s="56" t="str">
        <x:v>其他</x:v>
      </x:c>
      <x:c r="B14" s="60" t="n">
        <x:v>33.771534</x:v>
      </x:c>
      <x:c r="C14" s="63" t="n">
        <x:f>B14/B$15</x:f>
        <x:v>0.07398708714722785</x:v>
      </x:c>
      <x:c r="D14" s="63" t="n">
        <x:v>0.1553</x:v>
      </x:c>
      <x:c r="E14" s="60" t="n">
        <x:v>20.045654</x:v>
      </x:c>
      <x:c r="F14" s="63" t="n">
        <x:f>E14/E$15</x:f>
        <x:v>0.07678786179535256</x:v>
      </x:c>
      <x:c r="G14" s="63" t="n">
        <x:v>0.133</x:v>
      </x:c>
      <x:c r="H14" s="55"/>
    </x:row>
    <x:row r="15">
      <x:c r="A15" s="64" t="str">
        <x:v>合计</x:v>
      </x:c>
      <x:c r="B15" s="65" t="n">
        <x:f>B8+B9+B14</x:f>
        <x:v>456.451731</x:v>
      </x:c>
      <x:c r="C15" s="66" t="n">
        <x:f>SUM(C8:C9)+C14</x:f>
        <x:v>1</x:v>
      </x:c>
      <x:c r="D15" s="66"/>
      <x:c r="E15" s="65" t="n">
        <x:f>E8+E9+E14</x:f>
        <x:v>261.05237900000003</x:v>
      </x:c>
      <x:c r="F15" s="66" t="n">
        <x:f>SUM(F8:F9)+F14</x:f>
        <x:v>0.9999999999999999</x:v>
      </x:c>
      <x:c r="G15" s="66"/>
      <x:c r="H15" s="55"/>
    </x:row>
    <x:row r="16">
      <x:c r="A16" s="55"/>
      <x:c r="B16" s="55"/>
      <x:c r="C16" s="55"/>
      <x:c r="D16" s="55"/>
      <x:c r="E16" s="55"/>
      <x:c r="F16" s="55"/>
      <x:c r="G16" s="55"/>
      <x:c r="H16" s="55"/>
    </x:row>
    <x:row r="17">
      <x:c r="A17" s="55"/>
      <x:c r="B17" s="55"/>
      <x:c r="C17" s="55"/>
      <x:c r="D17" s="55"/>
      <x:c r="E17" s="55"/>
      <x:c r="F17" s="55"/>
      <x:c r="G17" s="55"/>
      <x:c r="H17" s="55"/>
    </x:row>
    <x:row r="18">
      <x:c r="A18" s="31" t="str">
        <x:v>地区收入</x:v>
      </x:c>
      <x:c r="B18" s="31"/>
      <x:c r="C18" s="31"/>
      <x:c r="D18" s="31"/>
      <x:c r="E18" s="31"/>
      <x:c r="F18" s="31"/>
      <x:c r="G18" s="31"/>
      <x:c r="H18" s="31"/>
    </x:row>
    <x:row r="19">
      <x:c r="A19" s="55"/>
      <x:c r="B19" s="55"/>
      <x:c r="C19" s="55"/>
      <x:c r="D19" s="55"/>
      <x:c r="E19" s="55"/>
      <x:c r="F19" s="55"/>
      <x:c r="G19" s="55"/>
      <x:c r="H19" s="55"/>
    </x:row>
    <x:row r="20">
      <x:c r="A20" s="15" t="str">
        <x:v>地区</x:v>
      </x:c>
      <x:c r="B20" s="15" t="str">
        <x:v>2025 收入</x:v>
      </x:c>
      <x:c r="C20" s="15" t="str">
        <x:v>2025 占比</x:v>
      </x:c>
      <x:c r="D20" s="15" t="str">
        <x:v>2026H1 收入</x:v>
      </x:c>
      <x:c r="E20" s="15" t="str">
        <x:v>2026H1 占比</x:v>
      </x:c>
      <x:c r="F20" s="15" t="str">
        <x:v>2026H1 同比</x:v>
      </x:c>
      <x:c r="G20" s="55"/>
      <x:c r="H20" s="55"/>
    </x:row>
    <x:row r="21">
      <x:c r="A21" s="56" t="str">
        <x:v>中国内地</x:v>
      </x:c>
      <x:c r="B21" s="60" t="n">
        <x:v>262.554714</x:v>
      </x:c>
      <x:c r="C21" s="63" t="n">
        <x:f>B21/B$23</x:f>
        <x:v>0.5726354103960026</x:v>
      </x:c>
      <x:c r="D21" s="60" t="n">
        <x:v>147.925351</x:v>
      </x:c>
      <x:c r="E21" s="63" t="n">
        <x:f>D21/D$23</x:f>
        <x:v>0.5666500782971222</x:v>
      </x:c>
      <x:c r="F21" s="63" t="n">
        <x:v>0.019</x:v>
      </x:c>
      <x:c r="G21" s="55"/>
      <x:c r="H21" s="55"/>
    </x:row>
    <x:row r="22">
      <x:c r="A22" s="56" t="str">
        <x:v>其他国家或地区</x:v>
      </x:c>
      <x:c r="B22" s="60" t="n">
        <x:v>195.947693</x:v>
      </x:c>
      <x:c r="C22" s="63" t="n">
        <x:f>B22/B$23</x:f>
        <x:v>0.4273645896039975</x:v>
      </x:c>
      <x:c r="D22" s="60" t="n">
        <x:v>113.127028</x:v>
      </x:c>
      <x:c r="E22" s="63" t="n">
        <x:f>D22/D$23</x:f>
        <x:v>0.4333499217028779</x:v>
      </x:c>
      <x:c r="F22" s="63" t="n">
        <x:v>0.055</x:v>
      </x:c>
      <x:c r="G22" s="55"/>
      <x:c r="H22" s="55"/>
    </x:row>
    <x:row r="23">
      <x:c r="A23" s="56" t="str">
        <x:v>合计</x:v>
      </x:c>
      <x:c r="B23" s="60" t="n">
        <x:f>SUM(B21:B22)</x:f>
        <x:v>458.50240699999995</x:v>
      </x:c>
      <x:c r="C23" s="63" t="n">
        <x:f>SUM(C21:C22)</x:f>
        <x:v>1</x:v>
      </x:c>
      <x:c r="D23" s="60" t="n">
        <x:f>SUM(D21:D22)</x:f>
        <x:v>261.052379</x:v>
      </x:c>
      <x:c r="E23" s="63" t="n">
        <x:f>SUM(E21:E22)</x:f>
        <x:v>1</x:v>
      </x:c>
      <x:c r="F23" s="63" t="n">
        <x:v>0.035</x:v>
      </x:c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31" t="str">
        <x:v>运营指标</x:v>
      </x:c>
      <x:c r="B26" s="31"/>
      <x:c r="C26" s="31"/>
      <x:c r="D26" s="31"/>
      <x:c r="E26" s="31"/>
      <x:c r="F26" s="31"/>
      <x:c r="G26" s="31"/>
      <x:c r="H26" s="31"/>
    </x:row>
    <x:row r="27">
      <x:c r="A27" s="55"/>
      <x:c r="B27" s="55"/>
      <x:c r="C27" s="55"/>
      <x:c r="D27" s="55"/>
      <x:c r="E27" s="55"/>
      <x:c r="F27" s="55"/>
      <x:c r="G27" s="55"/>
      <x:c r="H27" s="55"/>
    </x:row>
    <x:row r="28">
      <x:c r="A28" s="15" t="str">
        <x:v>指标</x:v>
      </x:c>
      <x:c r="B28" s="15" t="str">
        <x:v>2025</x:v>
      </x:c>
      <x:c r="C28" s="15" t="str">
        <x:v>2026H1</x:v>
      </x:c>
      <x:c r="D28" s="15" t="str">
        <x:v>说明</x:v>
      </x:c>
      <x:c r="E28" s="55"/>
      <x:c r="F28" s="55"/>
      <x:c r="G28" s="55"/>
      <x:c r="H28" s="55"/>
    </x:row>
    <x:row r="29">
      <x:c r="A29" s="56" t="str">
        <x:v>智能家居海外 OBM 占比</x:v>
      </x:c>
      <x:c r="B29" s="63" t="n">
        <x:v>0.45</x:v>
      </x:c>
      <x:c r="C29" s="63" t="n">
        <x:v>0.5</x:v>
      </x:c>
      <x:c r="D29" s="56" t="str">
        <x:v>均为超过该比例</x:v>
      </x:c>
      <x:c r="E29" s="55"/>
      <x:c r="F29" s="55"/>
      <x:c r="G29" s="55"/>
      <x:c r="H29" s="55"/>
    </x:row>
    <x:row r="30">
      <x:c r="A30" s="56" t="str">
        <x:v>海外收入占比</x:v>
      </x:c>
      <x:c r="B30" s="63" t="n">
        <x:v>0.4273645896039974</x:v>
      </x:c>
      <x:c r="C30" s="63" t="n">
        <x:v>0.4333499217028779</x:v>
      </x:c>
      <x:c r="D30" s="56" t="str">
        <x:v>总收入口径</x:v>
      </x:c>
      <x:c r="E30" s="55"/>
      <x:c r="F30" s="55"/>
      <x:c r="G30" s="55"/>
      <x:c r="H30" s="55"/>
    </x:row>
    <x:row r="31">
      <x:c r="A31" s="56" t="str">
        <x:v>KUKA 中国收入贡献</x:v>
      </x:c>
      <x:c r="B31" s="63"/>
      <x:c r="C31" s="63" t="n">
        <x:v>0.3</x:v>
      </x:c>
      <x:c r="D31" s="56" t="str">
        <x:v>超过 30%</x:v>
      </x:c>
      <x:c r="E31" s="55"/>
      <x:c r="F31" s="55"/>
      <x:c r="G31" s="55"/>
      <x:c r="H31" s="55"/>
    </x:row>
    <x:row r="32">
      <x:c r="A32" s="56" t="str">
        <x:v>KUKA 中国销量份额</x:v>
      </x:c>
      <x:c r="B32" s="63"/>
      <x:c r="C32" s="63" t="n">
        <x:v>0.097</x:v>
      </x:c>
      <x:c r="D32" s="56" t="str">
        <x:v>国内工业机器人</x:v>
      </x:c>
      <x:c r="E32" s="55"/>
      <x:c r="F32" s="55"/>
      <x:c r="G32" s="55"/>
      <x:c r="H32" s="55"/>
    </x:row>
    <x:row r="33">
      <x:c r="A33" s="56" t="str">
        <x:v>研发费用（十亿元）</x:v>
      </x:c>
      <x:c r="B33" s="60" t="n">
        <x:v>17.787624</x:v>
      </x:c>
      <x:c r="C33" s="60" t="n">
        <x:v>8.467</x:v>
      </x:c>
      <x:c r="D33" s="56" t="str">
        <x:v>2026H1 同比下降</x:v>
      </x:c>
      <x:c r="E33" s="55"/>
      <x:c r="F33" s="55"/>
      <x:c r="G33" s="55"/>
      <x:c r="H33" s="55"/>
    </x:row>
    <x:row r="34">
      <x:c r="A34" s="56" t="str">
        <x:v>全球员工（万人）</x:v>
      </x:c>
      <x:c r="B34" s="60" t="n">
        <x:v>19</x:v>
      </x:c>
      <x:c r="C34" s="60" t="n">
        <x:v>19</x:v>
      </x:c>
      <x:c r="D34" s="56" t="str">
        <x:v>超过 19 万人</x:v>
      </x:c>
      <x:c r="E34" s="55"/>
      <x:c r="F34" s="55"/>
      <x:c r="G34" s="55"/>
      <x:c r="H34" s="55"/>
    </x:row>
    <x:row r="35">
      <x:c r="A35" s="55"/>
      <x:c r="B35" s="55"/>
      <x:c r="C35" s="55"/>
      <x:c r="D35" s="55"/>
      <x:c r="E35" s="55"/>
      <x:c r="F35" s="55"/>
      <x:c r="G35" s="55"/>
      <x:c r="H35" s="55"/>
    </x:row>
    <x:row r="36">
      <x:c r="A36" s="55"/>
      <x:c r="B36" s="55"/>
      <x:c r="C36" s="55"/>
      <x:c r="D36" s="55"/>
      <x:c r="E36" s="55"/>
      <x:c r="F36" s="55"/>
      <x:c r="G36" s="55"/>
      <x:c r="H36" s="55"/>
    </x:row>
    <x:row r="37">
      <x:c r="A37" s="55"/>
      <x:c r="B37" s="55"/>
      <x:c r="C37" s="55"/>
      <x:c r="D37" s="55"/>
      <x:c r="E37" s="55"/>
      <x:c r="F37" s="55"/>
      <x:c r="G37" s="55"/>
      <x:c r="H37" s="55"/>
    </x:row>
    <x:row r="38">
      <x:c r="A38" s="55"/>
      <x:c r="B38" s="55"/>
      <x:c r="C38" s="55"/>
      <x:c r="D38" s="55"/>
      <x:c r="E38" s="55"/>
      <x:c r="F38" s="55"/>
      <x:c r="G38" s="55"/>
      <x:c r="H38" s="55"/>
    </x:row>
    <x:row r="39">
      <x:c r="A39" s="55"/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5"/>
      <x:c r="B44" s="55"/>
      <x:c r="C44" s="55"/>
      <x:c r="D44" s="55"/>
      <x:c r="E44" s="55"/>
      <x:c r="F44" s="55"/>
      <x:c r="G44" s="55"/>
      <x:c r="H44" s="55"/>
    </x:row>
    <x:row r="45">
      <x:c r="A45" s="55"/>
      <x:c r="B45" s="55"/>
      <x:c r="C45" s="55"/>
      <x:c r="D45" s="55"/>
      <x:c r="E45" s="55"/>
      <x:c r="F45" s="55"/>
      <x:c r="G45" s="55"/>
      <x:c r="H45" s="55"/>
    </x:row>
    <x:row r="46">
      <x:c r="A46" s="55"/>
      <x:c r="B46" s="55"/>
      <x:c r="C46" s="55"/>
      <x:c r="D46" s="55"/>
      <x:c r="E46" s="55"/>
      <x:c r="F46" s="55"/>
      <x:c r="G46" s="55"/>
      <x:c r="H46" s="55"/>
    </x:row>
    <x:row r="47">
      <x:c r="A47" s="55"/>
      <x:c r="B47" s="55"/>
      <x:c r="C47" s="55"/>
      <x:c r="D47" s="55"/>
      <x:c r="E47" s="55"/>
      <x:c r="F47" s="55"/>
      <x:c r="G47" s="55"/>
      <x:c r="H47" s="55"/>
    </x:row>
    <x:row r="48">
      <x:c r="A48" s="55"/>
      <x:c r="B48" s="55"/>
      <x:c r="C48" s="55"/>
      <x:c r="D48" s="55"/>
      <x:c r="E48" s="55"/>
      <x:c r="F48" s="55"/>
      <x:c r="G48" s="55"/>
      <x:c r="H48" s="55"/>
    </x:row>
    <x:row r="49">
      <x:c r="A49" s="55"/>
      <x:c r="B49" s="55"/>
      <x:c r="C49" s="55"/>
      <x:c r="D49" s="55"/>
      <x:c r="E49" s="55"/>
      <x:c r="F49" s="55"/>
      <x:c r="G49" s="55"/>
      <x:c r="H49" s="55"/>
    </x:row>
    <x:row r="50">
      <x:c r="A50" s="55"/>
      <x:c r="B50" s="55"/>
      <x:c r="C50" s="55"/>
      <x:c r="D50" s="55"/>
      <x:c r="E50" s="55"/>
      <x:c r="F50" s="55"/>
      <x:c r="G50" s="55"/>
      <x:c r="H50" s="55"/>
    </x:row>
    <x:row r="51">
      <x:c r="A51" s="55"/>
      <x:c r="B51" s="55"/>
      <x:c r="C51" s="55"/>
      <x:c r="D51" s="55"/>
      <x:c r="E51" s="55"/>
      <x:c r="F51" s="55"/>
      <x:c r="G51" s="55"/>
      <x:c r="H51" s="55"/>
    </x:row>
    <x:row r="52">
      <x:c r="A52" s="55"/>
      <x:c r="B52" s="55"/>
      <x:c r="C52" s="55"/>
      <x:c r="D52" s="55"/>
      <x:c r="E52" s="55"/>
      <x:c r="F52" s="55"/>
      <x:c r="G52" s="55"/>
      <x:c r="H52" s="55"/>
    </x:row>
    <x:row r="53">
      <x:c r="A53" s="55"/>
      <x:c r="B53" s="55"/>
      <x:c r="C53" s="55"/>
      <x:c r="D53" s="55"/>
      <x:c r="E53" s="55"/>
      <x:c r="F53" s="55"/>
      <x:c r="G53" s="55"/>
      <x:c r="H53" s="55"/>
    </x:row>
    <x:row r="54">
      <x:c r="A54" s="55"/>
      <x:c r="B54" s="55"/>
      <x:c r="C54" s="55"/>
      <x:c r="D54" s="55"/>
      <x:c r="E54" s="55"/>
      <x:c r="F54" s="55"/>
      <x:c r="G54" s="55"/>
      <x:c r="H54" s="55"/>
    </x:row>
    <x:row r="55">
      <x:c r="A55" s="55"/>
      <x:c r="B55" s="55"/>
      <x:c r="C55" s="55"/>
      <x:c r="D55" s="55"/>
      <x:c r="E55" s="55"/>
      <x:c r="F55" s="55"/>
      <x:c r="G55" s="55"/>
      <x:c r="H55" s="55"/>
    </x:row>
    <x:row r="56">
      <x:c r="A56" s="55"/>
      <x:c r="B56" s="55"/>
      <x:c r="C56" s="55"/>
      <x:c r="D56" s="55"/>
      <x:c r="E56" s="55"/>
      <x:c r="F56" s="55"/>
      <x:c r="G56" s="55"/>
      <x:c r="H56" s="55"/>
    </x:row>
    <x:row r="57">
      <x:c r="A57" s="55"/>
      <x:c r="B57" s="55"/>
      <x:c r="C57" s="55"/>
      <x:c r="D57" s="55"/>
      <x:c r="E57" s="55"/>
      <x:c r="F57" s="55"/>
      <x:c r="G57" s="55"/>
      <x:c r="H57" s="55"/>
    </x:row>
    <x:row r="58">
      <x:c r="A58" s="55"/>
      <x:c r="B58" s="55"/>
      <x:c r="C58" s="55"/>
      <x:c r="D58" s="55"/>
      <x:c r="E58" s="55"/>
      <x:c r="F58" s="55"/>
      <x:c r="G58" s="55"/>
      <x:c r="H58" s="55"/>
    </x:row>
    <x:row r="59">
      <x:c r="A59" s="55"/>
      <x:c r="B59" s="55"/>
      <x:c r="C59" s="55"/>
      <x:c r="D59" s="55"/>
      <x:c r="E59" s="55"/>
      <x:c r="F59" s="55"/>
      <x:c r="G59" s="55"/>
      <x:c r="H59" s="55"/>
    </x:row>
    <x:row r="60">
      <x:c r="A60" s="55"/>
      <x:c r="B60" s="55"/>
      <x:c r="C60" s="55"/>
      <x:c r="D60" s="55"/>
      <x:c r="E60" s="55"/>
      <x:c r="F60" s="55"/>
      <x:c r="G60" s="55"/>
      <x:c r="H60" s="55"/>
    </x:row>
    <x:row r="61">
      <x:c r="A61" s="55"/>
      <x:c r="B61" s="55"/>
      <x:c r="C61" s="55"/>
      <x:c r="D61" s="55"/>
      <x:c r="E61" s="55"/>
      <x:c r="F61" s="55"/>
      <x:c r="G61" s="55"/>
      <x:c r="H61" s="55"/>
    </x:row>
    <x:row r="62">
      <x:c r="A62" s="55"/>
      <x:c r="B62" s="55"/>
      <x:c r="C62" s="55"/>
      <x:c r="D62" s="55"/>
      <x:c r="E62" s="55"/>
      <x:c r="F62" s="55"/>
      <x:c r="G62" s="55"/>
      <x:c r="H62" s="55"/>
    </x:row>
    <x:row r="63">
      <x:c r="A63" s="55"/>
      <x:c r="B63" s="55"/>
      <x:c r="C63" s="55"/>
      <x:c r="D63" s="55"/>
      <x:c r="E63" s="55"/>
      <x:c r="F63" s="55"/>
      <x:c r="G63" s="55"/>
      <x:c r="H63" s="55"/>
    </x:row>
    <x:row r="64">
      <x:c r="A64" s="55"/>
      <x:c r="B64" s="55"/>
      <x:c r="C64" s="55"/>
      <x:c r="D64" s="55"/>
      <x:c r="E64" s="55"/>
      <x:c r="F64" s="55"/>
      <x:c r="G64" s="55"/>
      <x:c r="H64" s="55"/>
    </x:row>
    <x:row r="65">
      <x:c r="A65" s="55"/>
      <x:c r="B65" s="55"/>
      <x:c r="C65" s="55"/>
      <x:c r="D65" s="55"/>
      <x:c r="E65" s="55"/>
      <x:c r="F65" s="55"/>
      <x:c r="G65" s="55"/>
      <x:c r="H65" s="55"/>
    </x:row>
    <x:row r="66">
      <x:c r="A66" s="55"/>
      <x:c r="B66" s="55"/>
      <x:c r="C66" s="55"/>
      <x:c r="D66" s="55"/>
      <x:c r="E66" s="55"/>
      <x:c r="F66" s="55"/>
      <x:c r="G66" s="55"/>
      <x:c r="H66" s="55"/>
    </x:row>
    <x:row r="67">
      <x:c r="A67" s="55"/>
      <x:c r="B67" s="55"/>
      <x:c r="C67" s="55"/>
      <x:c r="D67" s="55"/>
      <x:c r="E67" s="55"/>
      <x:c r="F67" s="55"/>
      <x:c r="G67" s="55"/>
      <x:c r="H67" s="55"/>
    </x:row>
    <x:row r="68">
      <x:c r="A68" s="55"/>
      <x:c r="B68" s="55"/>
      <x:c r="C68" s="55"/>
      <x:c r="D68" s="55"/>
      <x:c r="E68" s="55"/>
      <x:c r="F68" s="55"/>
      <x:c r="G68" s="55"/>
      <x:c r="H68" s="55"/>
    </x:row>
    <x:row r="69">
      <x:c r="A69" s="55"/>
      <x:c r="B69" s="55"/>
      <x:c r="C69" s="55"/>
      <x:c r="D69" s="55"/>
      <x:c r="E69" s="55"/>
      <x:c r="F69" s="55"/>
      <x:c r="G69" s="55"/>
      <x:c r="H69" s="55"/>
    </x:row>
    <x:row r="70">
      <x:c r="A70" s="55"/>
      <x:c r="B70" s="55"/>
      <x:c r="C70" s="55"/>
      <x:c r="D70" s="55"/>
      <x:c r="E70" s="55"/>
      <x:c r="F70" s="55"/>
      <x:c r="G70" s="55"/>
      <x:c r="H70" s="55"/>
    </x:row>
    <x:row r="71">
      <x:c r="A71" s="55"/>
      <x:c r="B71" s="55"/>
      <x:c r="C71" s="55"/>
      <x:c r="D71" s="55"/>
      <x:c r="E71" s="55"/>
      <x:c r="F71" s="55"/>
      <x:c r="G71" s="55"/>
      <x:c r="H71" s="55"/>
    </x:row>
    <x:row r="72">
      <x:c r="A72" s="55"/>
      <x:c r="B72" s="55"/>
      <x:c r="C72" s="55"/>
      <x:c r="D72" s="55"/>
      <x:c r="E72" s="55"/>
      <x:c r="F72" s="55"/>
      <x:c r="G72" s="55"/>
      <x:c r="H72" s="55"/>
    </x:row>
    <x:row r="73">
      <x:c r="A73" s="55"/>
      <x:c r="B73" s="55"/>
      <x:c r="C73" s="55"/>
      <x:c r="D73" s="55"/>
      <x:c r="E73" s="55"/>
      <x:c r="F73" s="55"/>
      <x:c r="G73" s="55"/>
      <x:c r="H73" s="55"/>
    </x:row>
    <x:row r="74">
      <x:c r="A74" s="55"/>
      <x:c r="B74" s="55"/>
      <x:c r="C74" s="55"/>
      <x:c r="D74" s="55"/>
      <x:c r="E74" s="55"/>
      <x:c r="F74" s="55"/>
      <x:c r="G74" s="55"/>
      <x:c r="H74" s="55"/>
    </x:row>
    <x:row r="75">
      <x:c r="A75" s="55"/>
      <x:c r="B75" s="55"/>
      <x:c r="C75" s="55"/>
      <x:c r="D75" s="55"/>
      <x:c r="E75" s="55"/>
      <x:c r="F75" s="55"/>
      <x:c r="G75" s="55"/>
      <x:c r="H75" s="55"/>
    </x:row>
    <x:row r="76">
      <x:c r="A76" s="55"/>
      <x:c r="B76" s="55"/>
      <x:c r="C76" s="55"/>
      <x:c r="D76" s="55"/>
      <x:c r="E76" s="55"/>
      <x:c r="F76" s="55"/>
      <x:c r="G76" s="55"/>
      <x:c r="H76" s="55"/>
    </x:row>
    <x:row r="77">
      <x:c r="A77" s="55"/>
      <x:c r="B77" s="55"/>
      <x:c r="C77" s="55"/>
      <x:c r="D77" s="55"/>
      <x:c r="E77" s="55"/>
      <x:c r="F77" s="55"/>
      <x:c r="G77" s="55"/>
      <x:c r="H77" s="55"/>
    </x:row>
    <x:row r="78">
      <x:c r="A78" s="55"/>
      <x:c r="B78" s="55"/>
      <x:c r="C78" s="55"/>
      <x:c r="D78" s="55"/>
      <x:c r="E78" s="55"/>
      <x:c r="F78" s="55"/>
      <x:c r="G78" s="55"/>
      <x:c r="H78" s="55"/>
    </x:row>
    <x:row r="79">
      <x:c r="A79" s="55"/>
      <x:c r="B79" s="55"/>
      <x:c r="C79" s="55"/>
      <x:c r="D79" s="55"/>
      <x:c r="E79" s="55"/>
      <x:c r="F79" s="55"/>
      <x:c r="G79" s="55"/>
      <x:c r="H79" s="55"/>
    </x:row>
    <x:row r="80">
      <x:c r="A80" s="55"/>
      <x:c r="B80" s="55"/>
      <x:c r="C80" s="55"/>
      <x:c r="D80" s="55"/>
      <x:c r="E80" s="55"/>
      <x:c r="F80" s="55"/>
      <x:c r="G80" s="55"/>
      <x:c r="H80" s="55"/>
    </x:row>
    <x:row r="81">
      <x:c r="A81" s="55"/>
      <x:c r="B81" s="55"/>
      <x:c r="C81" s="55"/>
      <x:c r="D81" s="55"/>
      <x:c r="E81" s="55"/>
      <x:c r="F81" s="55"/>
      <x:c r="G81" s="55"/>
      <x:c r="H81" s="55"/>
    </x:row>
    <x:row r="82">
      <x:c r="A82" s="55"/>
      <x:c r="B82" s="55"/>
      <x:c r="C82" s="55"/>
      <x:c r="D82" s="55"/>
      <x:c r="E82" s="55"/>
      <x:c r="F82" s="55"/>
      <x:c r="G82" s="55"/>
      <x:c r="H82" s="55"/>
    </x:row>
    <x:row r="83">
      <x:c r="A83" s="55"/>
      <x:c r="B83" s="55"/>
      <x:c r="C83" s="55"/>
      <x:c r="D83" s="55"/>
      <x:c r="E83" s="55"/>
      <x:c r="F83" s="55"/>
      <x:c r="G83" s="55"/>
      <x:c r="H83" s="55"/>
    </x:row>
    <x:row r="84">
      <x:c r="A84" s="55"/>
      <x:c r="B84" s="55"/>
      <x:c r="C84" s="55"/>
      <x:c r="D84" s="55"/>
      <x:c r="E84" s="55"/>
      <x:c r="F84" s="55"/>
      <x:c r="G84" s="55"/>
      <x:c r="H84" s="55"/>
    </x:row>
    <x:row r="85">
      <x:c r="A85" s="55"/>
      <x:c r="B85" s="55"/>
      <x:c r="C85" s="55"/>
      <x:c r="D85" s="55"/>
      <x:c r="E85" s="55"/>
      <x:c r="F85" s="55"/>
      <x:c r="G85" s="55"/>
      <x:c r="H85" s="55"/>
    </x:row>
    <x:row r="86">
      <x:c r="A86" s="55"/>
      <x:c r="B86" s="55"/>
      <x:c r="C86" s="55"/>
      <x:c r="D86" s="55"/>
      <x:c r="E86" s="55"/>
      <x:c r="F86" s="55"/>
      <x:c r="G86" s="55"/>
      <x:c r="H86" s="55"/>
    </x:row>
    <x:row r="87">
      <x:c r="A87" s="55"/>
      <x:c r="B87" s="55"/>
      <x:c r="C87" s="55"/>
      <x:c r="D87" s="55"/>
      <x:c r="E87" s="55"/>
      <x:c r="F87" s="55"/>
      <x:c r="G87" s="55"/>
      <x:c r="H87" s="55"/>
    </x:row>
    <x:row r="88">
      <x:c r="A88" s="55"/>
      <x:c r="B88" s="55"/>
      <x:c r="C88" s="55"/>
      <x:c r="D88" s="55"/>
      <x:c r="E88" s="55"/>
      <x:c r="F88" s="55"/>
      <x:c r="G88" s="55"/>
      <x:c r="H88" s="55"/>
    </x:row>
    <x:row r="89">
      <x:c r="A89" s="55"/>
      <x:c r="B89" s="55"/>
      <x:c r="C89" s="55"/>
      <x:c r="D89" s="55"/>
      <x:c r="E89" s="55"/>
      <x:c r="F89" s="55"/>
      <x:c r="G89" s="55"/>
      <x:c r="H89" s="55"/>
    </x:row>
    <x:row r="90">
      <x:c r="A90" s="55"/>
      <x:c r="B90" s="55"/>
      <x:c r="C90" s="55"/>
      <x:c r="D90" s="55"/>
      <x:c r="E90" s="55"/>
      <x:c r="F90" s="55"/>
      <x:c r="G90" s="55"/>
      <x:c r="H90" s="55"/>
    </x:row>
  </x:sheetData>
  <x:mergeCells>
    <x:mergeCell ref="A1:H2"/>
    <x:mergeCell ref="A3:H3"/>
    <x:mergeCell ref="A5:H5"/>
    <x:mergeCell ref="A18:H18"/>
    <x:mergeCell ref="A26:H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87D8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19" hidden="0" customWidth="1"/>
    <x:col min="4" max="4" width="17" hidden="0" customWidth="1"/>
    <x:col min="5" max="5" width="3" hidden="0" customWidth="1"/>
    <x:col min="6" max="6" width="3" hidden="0" customWidth="1"/>
    <x:col min="7" max="7" width="3" hidden="0" customWidth="1"/>
  </x:cols>
  <x:sheetData>
    <x:row r="1">
      <x:c r="A1" s="4" t="str">
        <x:v>资产负债表与现金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>
      <x:c r="A3" s="6" t="str">
        <x:v>人民币十亿元；广义净金融资产不直接加到 P/E 估值</x:v>
      </x:c>
      <x:c r="B3" s="6"/>
      <x:c r="C3" s="6"/>
      <x:c r="D3" s="6"/>
      <x:c r="E3" s="6"/>
      <x:c r="F3" s="6"/>
      <x:c r="G3" s="6"/>
    </x:row>
    <x:row r="4">
      <x:c r="A4" s="55"/>
      <x:c r="B4" s="55"/>
      <x:c r="C4" s="55"/>
      <x:c r="D4" s="55"/>
      <x:c r="E4" s="55"/>
      <x:c r="F4" s="55"/>
      <x:c r="G4" s="55"/>
    </x:row>
    <x:row r="5">
      <x:c r="A5" s="31" t="str">
        <x:v>主要资产负债表项目</x:v>
      </x:c>
      <x:c r="B5" s="31"/>
      <x:c r="C5" s="31"/>
      <x:c r="D5" s="31"/>
      <x:c r="E5" s="31"/>
      <x:c r="F5" s="31"/>
      <x:c r="G5" s="31"/>
    </x:row>
    <x:row r="6">
      <x:c r="A6" s="55"/>
      <x:c r="B6" s="55"/>
      <x:c r="C6" s="55"/>
      <x:c r="D6" s="55"/>
      <x:c r="E6" s="55"/>
      <x:c r="F6" s="55"/>
      <x:c r="G6" s="55"/>
    </x:row>
    <x:row r="7">
      <x:c r="A7" s="15" t="str">
        <x:v>项目</x:v>
      </x:c>
      <x:c r="B7" s="15" t="str">
        <x:v>2025-12-31</x:v>
      </x:c>
      <x:c r="C7" s="15" t="str">
        <x:v>2026-06-30</x:v>
      </x:c>
      <x:c r="D7" s="15" t="str">
        <x:v>变化</x:v>
      </x:c>
      <x:c r="E7" s="55"/>
      <x:c r="F7" s="55"/>
      <x:c r="G7" s="55"/>
    </x:row>
    <x:row r="8">
      <x:c r="A8" s="56" t="str">
        <x:v>现金及现金等价物</x:v>
      </x:c>
      <x:c r="B8" s="57" t="n">
        <x:v>68.50867</x:v>
      </x:c>
      <x:c r="C8" s="57" t="n">
        <x:v>74.614244</x:v>
      </x:c>
      <x:c r="D8" s="57" t="n">
        <x:f>C8-B8</x:f>
        <x:v>6.105574000000004</x:v>
      </x:c>
      <x:c r="E8" s="55"/>
      <x:c r="F8" s="55"/>
      <x:c r="G8" s="55"/>
    </x:row>
    <x:row r="9">
      <x:c r="A9" s="56" t="str">
        <x:v>定期存款及受限现金</x:v>
      </x:c>
      <x:c r="B9" s="57" t="n">
        <x:v>16.73848</x:v>
      </x:c>
      <x:c r="C9" s="57" t="n">
        <x:v>16.028539</x:v>
      </x:c>
      <x:c r="D9" s="57" t="n">
        <x:f>C9-B9</x:f>
        <x:v>-0.7099410000000006</x:v>
      </x:c>
      <x:c r="E9" s="55"/>
      <x:c r="F9" s="55"/>
      <x:c r="G9" s="55"/>
    </x:row>
    <x:row r="10">
      <x:c r="A10" s="56" t="str">
        <x:v>摊余成本金融资产</x:v>
      </x:c>
      <x:c r="B10" s="57" t="n">
        <x:v>211.078087</x:v>
      </x:c>
      <x:c r="C10" s="57" t="n">
        <x:v>227.742569</x:v>
      </x:c>
      <x:c r="D10" s="57" t="n">
        <x:f>C10-B10</x:f>
        <x:v>16.664481999999992</x:v>
      </x:c>
      <x:c r="E10" s="55"/>
      <x:c r="F10" s="55"/>
      <x:c r="G10" s="55"/>
    </x:row>
    <x:row r="11">
      <x:c r="A11" s="56" t="str">
        <x:v>公允价值计量金融资产</x:v>
      </x:c>
      <x:c r="B11" s="57" t="n">
        <x:v>5.147972</x:v>
      </x:c>
      <x:c r="C11" s="57" t="n">
        <x:v>10.4252</x:v>
      </x:c>
      <x:c r="D11" s="57" t="n">
        <x:f>C11-B11</x:f>
        <x:v>5.277228</x:v>
      </x:c>
      <x:c r="E11" s="55"/>
      <x:c r="F11" s="55"/>
      <x:c r="G11" s="55"/>
    </x:row>
    <x:row r="12">
      <x:c r="A12" s="56" t="str">
        <x:v>衍生金融资产</x:v>
      </x:c>
      <x:c r="B12" s="57" t="n">
        <x:v>3.318298</x:v>
      </x:c>
      <x:c r="C12" s="57" t="n">
        <x:v>4.849088</x:v>
      </x:c>
      <x:c r="D12" s="57" t="n">
        <x:f>C12-B12</x:f>
        <x:v>1.53079</x:v>
      </x:c>
      <x:c r="E12" s="55"/>
      <x:c r="F12" s="55"/>
      <x:c r="G12" s="55"/>
    </x:row>
    <x:row r="13">
      <x:c r="A13" s="56" t="str">
        <x:v>存货</x:v>
      </x:c>
      <x:c r="B13" s="57" t="n">
        <x:v>64.628834</x:v>
      </x:c>
      <x:c r="C13" s="57" t="n">
        <x:v>55.440969</x:v>
      </x:c>
      <x:c r="D13" s="57" t="n">
        <x:f>C13-B13</x:f>
        <x:v>-9.187864999999995</x:v>
      </x:c>
      <x:c r="E13" s="55"/>
      <x:c r="F13" s="55"/>
      <x:c r="G13" s="55"/>
    </x:row>
    <x:row r="14">
      <x:c r="A14" s="56" t="str">
        <x:v>贸易及票据应收款</x:v>
      </x:c>
      <x:c r="B14" s="57" t="n">
        <x:v>60.632204</x:v>
      </x:c>
      <x:c r="C14" s="57" t="n">
        <x:v>75.848875</x:v>
      </x:c>
      <x:c r="D14" s="57" t="n">
        <x:f>C14-B14</x:f>
        <x:v>15.216671000000005</x:v>
      </x:c>
      <x:c r="E14" s="55"/>
      <x:c r="F14" s="55"/>
      <x:c r="G14" s="55"/>
    </x:row>
    <x:row r="15">
      <x:c r="A15" s="56" t="str">
        <x:v>合同资产</x:v>
      </x:c>
      <x:c r="B15" s="57" t="n">
        <x:v>4.268501</x:v>
      </x:c>
      <x:c r="C15" s="57" t="n">
        <x:v>6.12472</x:v>
      </x:c>
      <x:c r="D15" s="57" t="n">
        <x:f>C15-B15</x:f>
        <x:v>1.8562190000000003</x:v>
      </x:c>
      <x:c r="E15" s="55"/>
      <x:c r="F15" s="55"/>
      <x:c r="G15" s="55"/>
    </x:row>
    <x:row r="16">
      <x:c r="A16" s="56" t="str">
        <x:v>贸易及票据应付款</x:v>
      </x:c>
      <x:c r="B16" s="57" t="n">
        <x:v>130.802372</x:v>
      </x:c>
      <x:c r="C16" s="57" t="n">
        <x:v>157.035826</x:v>
      </x:c>
      <x:c r="D16" s="57" t="n">
        <x:f>C16-B16</x:f>
        <x:v>26.233453999999995</x:v>
      </x:c>
      <x:c r="E16" s="55"/>
      <x:c r="F16" s="55"/>
      <x:c r="G16" s="55"/>
    </x:row>
    <x:row r="17">
      <x:c r="A17" s="56" t="str">
        <x:v>合同负债</x:v>
      </x:c>
      <x:c r="B17" s="57" t="n">
        <x:v>46.99306</x:v>
      </x:c>
      <x:c r="C17" s="57" t="n">
        <x:v>45.458117</x:v>
      </x:c>
      <x:c r="D17" s="57" t="n">
        <x:f>C17-B17</x:f>
        <x:v>-1.5349429999999984</x:v>
      </x:c>
      <x:c r="E17" s="55"/>
      <x:c r="F17" s="55"/>
      <x:c r="G17" s="55"/>
    </x:row>
    <x:row r="18">
      <x:c r="A18" s="56" t="str">
        <x:v>借款</x:v>
      </x:c>
      <x:c r="B18" s="57" t="n">
        <x:v>64.184638</x:v>
      </x:c>
      <x:c r="C18" s="57" t="n">
        <x:v>80.327263</x:v>
      </x:c>
      <x:c r="D18" s="57" t="n">
        <x:f>C18-B18</x:f>
        <x:v>16.142624999999995</x:v>
      </x:c>
      <x:c r="E18" s="55"/>
      <x:c r="F18" s="55"/>
      <x:c r="G18" s="55"/>
    </x:row>
    <x:row r="19">
      <x:c r="A19" s="56" t="str">
        <x:v>租赁负债</x:v>
      </x:c>
      <x:c r="B19" s="57" t="n">
        <x:v>3.296359</x:v>
      </x:c>
      <x:c r="C19" s="57" t="n">
        <x:v>3.312246</x:v>
      </x:c>
      <x:c r="D19" s="57" t="n">
        <x:f>C19-B19</x:f>
        <x:v>0.015887000000000207</x:v>
      </x:c>
      <x:c r="E19" s="55"/>
      <x:c r="F19" s="55"/>
      <x:c r="G19" s="55"/>
    </x:row>
    <x:row r="20">
      <x:c r="A20" s="55"/>
      <x:c r="B20" s="55"/>
      <x:c r="C20" s="55"/>
      <x:c r="D20" s="55"/>
      <x:c r="E20" s="55"/>
      <x:c r="F20" s="55"/>
      <x:c r="G20" s="55"/>
    </x:row>
    <x:row r="21">
      <x:c r="A21" s="55"/>
      <x:c r="B21" s="55"/>
      <x:c r="C21" s="55"/>
      <x:c r="D21" s="55"/>
      <x:c r="E21" s="55"/>
      <x:c r="F21" s="55"/>
      <x:c r="G21" s="55"/>
    </x:row>
    <x:row r="22">
      <x:c r="A22" s="31" t="str">
        <x:v>研究口径净金融资产</x:v>
      </x:c>
      <x:c r="B22" s="31"/>
      <x:c r="C22" s="31"/>
      <x:c r="D22" s="31"/>
      <x:c r="E22" s="31"/>
      <x:c r="F22" s="31"/>
      <x:c r="G22" s="31"/>
    </x:row>
    <x:row r="23">
      <x:c r="A23" s="55"/>
      <x:c r="B23" s="55"/>
      <x:c r="C23" s="55"/>
      <x:c r="D23" s="55"/>
      <x:c r="E23" s="55"/>
      <x:c r="F23" s="55"/>
      <x:c r="G23" s="55"/>
    </x:row>
    <x:row r="24">
      <x:c r="A24" s="15" t="str">
        <x:v>项目</x:v>
      </x:c>
      <x:c r="B24" s="15" t="str">
        <x:v>公式</x:v>
      </x:c>
      <x:c r="C24" s="15" t="str">
        <x:v>2026-06-30</x:v>
      </x:c>
      <x:c r="D24" s="55"/>
      <x:c r="E24" s="55"/>
      <x:c r="F24" s="55"/>
      <x:c r="G24" s="55"/>
    </x:row>
    <x:row r="25">
      <x:c r="A25" s="56" t="str">
        <x:v>广义金融资产</x:v>
      </x:c>
      <x:c r="B25" s="56" t="str">
        <x:v>现金+存款+摊余成本+公允价值+衍生资产</x:v>
      </x:c>
      <x:c r="C25" s="60" t="n">
        <x:f>SUM(C8:C12)</x:f>
        <x:v>333.65964</x:v>
      </x:c>
      <x:c r="D25" s="55"/>
      <x:c r="E25" s="55"/>
      <x:c r="F25" s="55"/>
      <x:c r="G25" s="55"/>
    </x:row>
    <x:row r="26">
      <x:c r="A26" s="56" t="str">
        <x:v>借款及租赁负债</x:v>
      </x:c>
      <x:c r="B26" s="56" t="str">
        <x:v>借款+租赁负债</x:v>
      </x:c>
      <x:c r="C26" s="60" t="n">
        <x:f>SUM(C18:C19)</x:f>
        <x:v>83.639509</x:v>
      </x:c>
      <x:c r="D26" s="55"/>
      <x:c r="E26" s="55"/>
      <x:c r="F26" s="55"/>
      <x:c r="G26" s="55"/>
    </x:row>
    <x:row r="27">
      <x:c r="A27" s="56" t="str">
        <x:v>广义净金融资产</x:v>
      </x:c>
      <x:c r="B27" s="56" t="str">
        <x:v>广义金融资产-借款及租赁负债</x:v>
      </x:c>
      <x:c r="C27" s="60" t="n">
        <x:f>C25-C26</x:f>
        <x:v>250.02013100000002</x:v>
      </x:c>
      <x:c r="D27" s="55"/>
      <x:c r="E27" s="55"/>
      <x:c r="F27" s="55"/>
      <x:c r="G27" s="55"/>
    </x:row>
    <x:row r="28">
      <x:c r="A28" s="56" t="str">
        <x:v>现金及存款净额</x:v>
      </x:c>
      <x:c r="B28" s="56" t="str">
        <x:v>现金+存款-借款及租赁负债</x:v>
      </x:c>
      <x:c r="C28" s="60" t="n">
        <x:f>C8+C9-C26</x:f>
        <x:v>7.0032739999999905</x:v>
      </x:c>
      <x:c r="D28" s="55"/>
      <x:c r="E28" s="55"/>
      <x:c r="F28" s="55"/>
      <x:c r="G28" s="55"/>
    </x:row>
    <x:row r="29">
      <x:c r="A29" s="55"/>
      <x:c r="B29" s="55"/>
      <x:c r="C29" s="55"/>
      <x:c r="D29" s="55"/>
      <x:c r="E29" s="55"/>
      <x:c r="F29" s="55"/>
      <x:c r="G29" s="55"/>
    </x:row>
    <x:row r="30">
      <x:c r="A30" s="55"/>
      <x:c r="B30" s="55"/>
      <x:c r="C30" s="55"/>
      <x:c r="D30" s="55"/>
      <x:c r="E30" s="55"/>
      <x:c r="F30" s="55"/>
      <x:c r="G30" s="55"/>
    </x:row>
    <x:row r="31">
      <x:c r="A31" s="61" t="str">
        <x:v>解释</x:v>
      </x:c>
      <x:c r="B31" s="61"/>
      <x:c r="C31" s="61"/>
      <x:c r="D31" s="61"/>
      <x:c r="E31" s="61"/>
      <x:c r="F31" s="61"/>
      <x:c r="G31" s="61"/>
    </x:row>
    <x:row r="32">
      <x:c r="A32" s="62" t="str">
        <x:v>摊余成本金融资产主要是期限超过一年的定期存款、定制存款和存单。</x:v>
      </x:c>
      <x:c r="B32" s="62"/>
      <x:c r="C32" s="62"/>
      <x:c r="D32" s="62"/>
      <x:c r="E32" s="62"/>
      <x:c r="F32" s="62"/>
      <x:c r="G32" s="62"/>
    </x:row>
    <x:row r="33">
      <x:c r="A33" s="62" t="str">
        <x:v>部分金融资产已质押，且公司存在金融业务、票据保证金、可转债和日常营运需求。</x:v>
      </x:c>
      <x:c r="B33" s="62"/>
      <x:c r="C33" s="62"/>
      <x:c r="D33" s="62"/>
      <x:c r="E33" s="62"/>
      <x:c r="F33" s="62"/>
      <x:c r="G33" s="62"/>
    </x:row>
    <x:row r="34">
      <x:c r="A34" s="62" t="str">
        <x:v>利息收入和金融工具收益已进入利润表，因此主估值不再全额加回净金融资产。</x:v>
      </x:c>
      <x:c r="B34" s="62"/>
      <x:c r="C34" s="62"/>
      <x:c r="D34" s="62"/>
      <x:c r="E34" s="62"/>
      <x:c r="F34" s="62"/>
      <x:c r="G34" s="62"/>
    </x:row>
    <x:row r="35">
      <x:c r="A35" s="62" t="str">
        <x:v>2026H1 贸易及票据应收款上升，应付账款与票据增加对经营现金流形成支持。</x:v>
      </x:c>
      <x:c r="B35" s="62"/>
      <x:c r="C35" s="62"/>
      <x:c r="D35" s="62"/>
      <x:c r="E35" s="62"/>
      <x:c r="F35" s="62"/>
      <x:c r="G35" s="62"/>
    </x:row>
    <x:row r="36">
      <x:c r="A36" s="55"/>
      <x:c r="B36" s="55"/>
      <x:c r="C36" s="55"/>
      <x:c r="D36" s="55"/>
      <x:c r="E36" s="55"/>
      <x:c r="F36" s="55"/>
      <x:c r="G36" s="55"/>
    </x:row>
    <x:row r="37">
      <x:c r="A37" s="55"/>
      <x:c r="B37" s="55"/>
      <x:c r="C37" s="55"/>
      <x:c r="D37" s="55"/>
      <x:c r="E37" s="55"/>
      <x:c r="F37" s="55"/>
      <x:c r="G37" s="55"/>
    </x:row>
    <x:row r="38">
      <x:c r="A38" s="55"/>
      <x:c r="B38" s="55"/>
      <x:c r="C38" s="55"/>
      <x:c r="D38" s="55"/>
      <x:c r="E38" s="55"/>
      <x:c r="F38" s="55"/>
      <x:c r="G38" s="55"/>
    </x:row>
    <x:row r="39">
      <x:c r="A39" s="55"/>
      <x:c r="B39" s="55"/>
      <x:c r="C39" s="55"/>
      <x:c r="D39" s="55"/>
      <x:c r="E39" s="55"/>
      <x:c r="F39" s="55"/>
      <x:c r="G39" s="55"/>
    </x:row>
    <x:row r="40">
      <x:c r="A40" s="55"/>
      <x:c r="B40" s="55"/>
      <x:c r="C40" s="55"/>
      <x:c r="D40" s="55"/>
      <x:c r="E40" s="55"/>
      <x:c r="F40" s="55"/>
      <x:c r="G40" s="55"/>
    </x:row>
    <x:row r="41">
      <x:c r="A41" s="55"/>
      <x:c r="B41" s="55"/>
      <x:c r="C41" s="55"/>
      <x:c r="D41" s="55"/>
      <x:c r="E41" s="55"/>
      <x:c r="F41" s="55"/>
      <x:c r="G41" s="55"/>
    </x:row>
    <x:row r="42">
      <x:c r="A42" s="55"/>
      <x:c r="B42" s="55"/>
      <x:c r="C42" s="55"/>
      <x:c r="D42" s="55"/>
      <x:c r="E42" s="55"/>
      <x:c r="F42" s="55"/>
      <x:c r="G42" s="55"/>
    </x:row>
    <x:row r="43">
      <x:c r="A43" s="55"/>
      <x:c r="B43" s="55"/>
      <x:c r="C43" s="55"/>
      <x:c r="D43" s="55"/>
      <x:c r="E43" s="55"/>
      <x:c r="F43" s="55"/>
      <x:c r="G43" s="55"/>
    </x:row>
    <x:row r="44">
      <x:c r="A44" s="55"/>
      <x:c r="B44" s="55"/>
      <x:c r="C44" s="55"/>
      <x:c r="D44" s="55"/>
      <x:c r="E44" s="55"/>
      <x:c r="F44" s="55"/>
      <x:c r="G44" s="55"/>
    </x:row>
    <x:row r="45">
      <x:c r="A45" s="55"/>
      <x:c r="B45" s="55"/>
      <x:c r="C45" s="55"/>
      <x:c r="D45" s="55"/>
      <x:c r="E45" s="55"/>
      <x:c r="F45" s="55"/>
      <x:c r="G45" s="55"/>
    </x:row>
    <x:row r="46">
      <x:c r="A46" s="55"/>
      <x:c r="B46" s="55"/>
      <x:c r="C46" s="55"/>
      <x:c r="D46" s="55"/>
      <x:c r="E46" s="55"/>
      <x:c r="F46" s="55"/>
      <x:c r="G46" s="55"/>
    </x:row>
    <x:row r="47">
      <x:c r="A47" s="55"/>
      <x:c r="B47" s="55"/>
      <x:c r="C47" s="55"/>
      <x:c r="D47" s="55"/>
      <x:c r="E47" s="55"/>
      <x:c r="F47" s="55"/>
      <x:c r="G47" s="55"/>
    </x:row>
    <x:row r="48">
      <x:c r="A48" s="55"/>
      <x:c r="B48" s="55"/>
      <x:c r="C48" s="55"/>
      <x:c r="D48" s="55"/>
      <x:c r="E48" s="55"/>
      <x:c r="F48" s="55"/>
      <x:c r="G48" s="55"/>
    </x:row>
    <x:row r="49">
      <x:c r="A49" s="55"/>
      <x:c r="B49" s="55"/>
      <x:c r="C49" s="55"/>
      <x:c r="D49" s="55"/>
      <x:c r="E49" s="55"/>
      <x:c r="F49" s="55"/>
      <x:c r="G49" s="55"/>
    </x:row>
    <x:row r="50">
      <x:c r="A50" s="55"/>
      <x:c r="B50" s="55"/>
      <x:c r="C50" s="55"/>
      <x:c r="D50" s="55"/>
      <x:c r="E50" s="55"/>
      <x:c r="F50" s="55"/>
      <x:c r="G50" s="55"/>
    </x:row>
    <x:row r="51">
      <x:c r="A51" s="55"/>
      <x:c r="B51" s="55"/>
      <x:c r="C51" s="55"/>
      <x:c r="D51" s="55"/>
      <x:c r="E51" s="55"/>
      <x:c r="F51" s="55"/>
      <x:c r="G51" s="55"/>
    </x:row>
    <x:row r="52">
      <x:c r="A52" s="55"/>
      <x:c r="B52" s="55"/>
      <x:c r="C52" s="55"/>
      <x:c r="D52" s="55"/>
      <x:c r="E52" s="55"/>
      <x:c r="F52" s="55"/>
      <x:c r="G52" s="55"/>
    </x:row>
    <x:row r="53">
      <x:c r="A53" s="55"/>
      <x:c r="B53" s="55"/>
      <x:c r="C53" s="55"/>
      <x:c r="D53" s="55"/>
      <x:c r="E53" s="55"/>
      <x:c r="F53" s="55"/>
      <x:c r="G53" s="55"/>
    </x:row>
    <x:row r="54">
      <x:c r="A54" s="55"/>
      <x:c r="B54" s="55"/>
      <x:c r="C54" s="55"/>
      <x:c r="D54" s="55"/>
      <x:c r="E54" s="55"/>
      <x:c r="F54" s="55"/>
      <x:c r="G54" s="55"/>
    </x:row>
    <x:row r="55">
      <x:c r="A55" s="55"/>
      <x:c r="B55" s="55"/>
      <x:c r="C55" s="55"/>
      <x:c r="D55" s="55"/>
      <x:c r="E55" s="55"/>
      <x:c r="F55" s="55"/>
      <x:c r="G55" s="55"/>
    </x:row>
    <x:row r="56">
      <x:c r="A56" s="55"/>
      <x:c r="B56" s="55"/>
      <x:c r="C56" s="55"/>
      <x:c r="D56" s="55"/>
      <x:c r="E56" s="55"/>
      <x:c r="F56" s="55"/>
      <x:c r="G56" s="55"/>
    </x:row>
    <x:row r="57">
      <x:c r="A57" s="55"/>
      <x:c r="B57" s="55"/>
      <x:c r="C57" s="55"/>
      <x:c r="D57" s="55"/>
      <x:c r="E57" s="55"/>
      <x:c r="F57" s="55"/>
      <x:c r="G57" s="55"/>
    </x:row>
    <x:row r="58">
      <x:c r="A58" s="55"/>
      <x:c r="B58" s="55"/>
      <x:c r="C58" s="55"/>
      <x:c r="D58" s="55"/>
      <x:c r="E58" s="55"/>
      <x:c r="F58" s="55"/>
      <x:c r="G58" s="55"/>
    </x:row>
    <x:row r="59">
      <x:c r="A59" s="55"/>
      <x:c r="B59" s="55"/>
      <x:c r="C59" s="55"/>
      <x:c r="D59" s="55"/>
      <x:c r="E59" s="55"/>
      <x:c r="F59" s="55"/>
      <x:c r="G59" s="55"/>
    </x:row>
    <x:row r="60">
      <x:c r="A60" s="55"/>
      <x:c r="B60" s="55"/>
      <x:c r="C60" s="55"/>
      <x:c r="D60" s="55"/>
      <x:c r="E60" s="55"/>
      <x:c r="F60" s="55"/>
      <x:c r="G60" s="55"/>
    </x:row>
    <x:row r="61">
      <x:c r="A61" s="55"/>
      <x:c r="B61" s="55"/>
      <x:c r="C61" s="55"/>
      <x:c r="D61" s="55"/>
      <x:c r="E61" s="55"/>
      <x:c r="F61" s="55"/>
      <x:c r="G61" s="55"/>
    </x:row>
    <x:row r="62">
      <x:c r="A62" s="55"/>
      <x:c r="B62" s="55"/>
      <x:c r="C62" s="55"/>
      <x:c r="D62" s="55"/>
      <x:c r="E62" s="55"/>
      <x:c r="F62" s="55"/>
      <x:c r="G62" s="55"/>
    </x:row>
    <x:row r="63">
      <x:c r="A63" s="55"/>
      <x:c r="B63" s="55"/>
      <x:c r="C63" s="55"/>
      <x:c r="D63" s="55"/>
      <x:c r="E63" s="55"/>
      <x:c r="F63" s="55"/>
      <x:c r="G63" s="55"/>
    </x:row>
    <x:row r="64">
      <x:c r="A64" s="55"/>
      <x:c r="B64" s="55"/>
      <x:c r="C64" s="55"/>
      <x:c r="D64" s="55"/>
      <x:c r="E64" s="55"/>
      <x:c r="F64" s="55"/>
      <x:c r="G64" s="55"/>
    </x:row>
    <x:row r="65">
      <x:c r="A65" s="55"/>
      <x:c r="B65" s="55"/>
      <x:c r="C65" s="55"/>
      <x:c r="D65" s="55"/>
      <x:c r="E65" s="55"/>
      <x:c r="F65" s="55"/>
      <x:c r="G65" s="55"/>
    </x:row>
    <x:row r="66">
      <x:c r="A66" s="55"/>
      <x:c r="B66" s="55"/>
      <x:c r="C66" s="55"/>
      <x:c r="D66" s="55"/>
      <x:c r="E66" s="55"/>
      <x:c r="F66" s="55"/>
      <x:c r="G66" s="55"/>
    </x:row>
    <x:row r="67">
      <x:c r="A67" s="55"/>
      <x:c r="B67" s="55"/>
      <x:c r="C67" s="55"/>
      <x:c r="D67" s="55"/>
      <x:c r="E67" s="55"/>
      <x:c r="F67" s="55"/>
      <x:c r="G67" s="55"/>
    </x:row>
    <x:row r="68">
      <x:c r="A68" s="55"/>
      <x:c r="B68" s="55"/>
      <x:c r="C68" s="55"/>
      <x:c r="D68" s="55"/>
      <x:c r="E68" s="55"/>
      <x:c r="F68" s="55"/>
      <x:c r="G68" s="55"/>
    </x:row>
    <x:row r="69">
      <x:c r="A69" s="55"/>
      <x:c r="B69" s="55"/>
      <x:c r="C69" s="55"/>
      <x:c r="D69" s="55"/>
      <x:c r="E69" s="55"/>
      <x:c r="F69" s="55"/>
      <x:c r="G69" s="55"/>
    </x:row>
    <x:row r="70">
      <x:c r="A70" s="55"/>
      <x:c r="B70" s="55"/>
      <x:c r="C70" s="55"/>
      <x:c r="D70" s="55"/>
      <x:c r="E70" s="55"/>
      <x:c r="F70" s="55"/>
      <x:c r="G70" s="55"/>
    </x:row>
    <x:row r="71">
      <x:c r="A71" s="55"/>
      <x:c r="B71" s="55"/>
      <x:c r="C71" s="55"/>
      <x:c r="D71" s="55"/>
      <x:c r="E71" s="55"/>
      <x:c r="F71" s="55"/>
      <x:c r="G71" s="55"/>
    </x:row>
    <x:row r="72">
      <x:c r="A72" s="55"/>
      <x:c r="B72" s="55"/>
      <x:c r="C72" s="55"/>
      <x:c r="D72" s="55"/>
      <x:c r="E72" s="55"/>
      <x:c r="F72" s="55"/>
      <x:c r="G72" s="55"/>
    </x:row>
    <x:row r="73">
      <x:c r="A73" s="55"/>
      <x:c r="B73" s="55"/>
      <x:c r="C73" s="55"/>
      <x:c r="D73" s="55"/>
      <x:c r="E73" s="55"/>
      <x:c r="F73" s="55"/>
      <x:c r="G73" s="55"/>
    </x:row>
    <x:row r="74">
      <x:c r="A74" s="55"/>
      <x:c r="B74" s="55"/>
      <x:c r="C74" s="55"/>
      <x:c r="D74" s="55"/>
      <x:c r="E74" s="55"/>
      <x:c r="F74" s="55"/>
      <x:c r="G74" s="55"/>
    </x:row>
    <x:row r="75">
      <x:c r="A75" s="55"/>
      <x:c r="B75" s="55"/>
      <x:c r="C75" s="55"/>
      <x:c r="D75" s="55"/>
      <x:c r="E75" s="55"/>
      <x:c r="F75" s="55"/>
      <x:c r="G75" s="55"/>
    </x:row>
    <x:row r="76">
      <x:c r="A76" s="55"/>
      <x:c r="B76" s="55"/>
      <x:c r="C76" s="55"/>
      <x:c r="D76" s="55"/>
      <x:c r="E76" s="55"/>
      <x:c r="F76" s="55"/>
      <x:c r="G76" s="55"/>
    </x:row>
    <x:row r="77">
      <x:c r="A77" s="55"/>
      <x:c r="B77" s="55"/>
      <x:c r="C77" s="55"/>
      <x:c r="D77" s="55"/>
      <x:c r="E77" s="55"/>
      <x:c r="F77" s="55"/>
      <x:c r="G77" s="55"/>
    </x:row>
    <x:row r="78">
      <x:c r="A78" s="55"/>
      <x:c r="B78" s="55"/>
      <x:c r="C78" s="55"/>
      <x:c r="D78" s="55"/>
      <x:c r="E78" s="55"/>
      <x:c r="F78" s="55"/>
      <x:c r="G78" s="55"/>
    </x:row>
    <x:row r="79">
      <x:c r="A79" s="55"/>
      <x:c r="B79" s="55"/>
      <x:c r="C79" s="55"/>
      <x:c r="D79" s="55"/>
      <x:c r="E79" s="55"/>
      <x:c r="F79" s="55"/>
      <x:c r="G79" s="55"/>
    </x:row>
    <x:row r="80">
      <x:c r="A80" s="55"/>
      <x:c r="B80" s="55"/>
      <x:c r="C80" s="55"/>
      <x:c r="D80" s="55"/>
      <x:c r="E80" s="55"/>
      <x:c r="F80" s="55"/>
      <x:c r="G80" s="55"/>
    </x:row>
    <x:row r="81">
      <x:c r="A81" s="55"/>
      <x:c r="B81" s="55"/>
      <x:c r="C81" s="55"/>
      <x:c r="D81" s="55"/>
      <x:c r="E81" s="55"/>
      <x:c r="F81" s="55"/>
      <x:c r="G81" s="55"/>
    </x:row>
    <x:row r="82">
      <x:c r="A82" s="55"/>
      <x:c r="B82" s="55"/>
      <x:c r="C82" s="55"/>
      <x:c r="D82" s="55"/>
      <x:c r="E82" s="55"/>
      <x:c r="F82" s="55"/>
      <x:c r="G82" s="55"/>
    </x:row>
    <x:row r="83">
      <x:c r="A83" s="55"/>
      <x:c r="B83" s="55"/>
      <x:c r="C83" s="55"/>
      <x:c r="D83" s="55"/>
      <x:c r="E83" s="55"/>
      <x:c r="F83" s="55"/>
      <x:c r="G83" s="55"/>
    </x:row>
    <x:row r="84">
      <x:c r="A84" s="55"/>
      <x:c r="B84" s="55"/>
      <x:c r="C84" s="55"/>
      <x:c r="D84" s="55"/>
      <x:c r="E84" s="55"/>
      <x:c r="F84" s="55"/>
      <x:c r="G84" s="55"/>
    </x:row>
    <x:row r="85">
      <x:c r="A85" s="55"/>
      <x:c r="B85" s="55"/>
      <x:c r="C85" s="55"/>
      <x:c r="D85" s="55"/>
      <x:c r="E85" s="55"/>
      <x:c r="F85" s="55"/>
      <x:c r="G85" s="55"/>
    </x:row>
    <x:row r="86">
      <x:c r="A86" s="55"/>
      <x:c r="B86" s="55"/>
      <x:c r="C86" s="55"/>
      <x:c r="D86" s="55"/>
      <x:c r="E86" s="55"/>
      <x:c r="F86" s="55"/>
      <x:c r="G86" s="55"/>
    </x:row>
    <x:row r="87">
      <x:c r="A87" s="55"/>
      <x:c r="B87" s="55"/>
      <x:c r="C87" s="55"/>
      <x:c r="D87" s="55"/>
      <x:c r="E87" s="55"/>
      <x:c r="F87" s="55"/>
      <x:c r="G87" s="55"/>
    </x:row>
    <x:row r="88">
      <x:c r="A88" s="55"/>
      <x:c r="B88" s="55"/>
      <x:c r="C88" s="55"/>
      <x:c r="D88" s="55"/>
      <x:c r="E88" s="55"/>
      <x:c r="F88" s="55"/>
      <x:c r="G88" s="55"/>
    </x:row>
    <x:row r="89">
      <x:c r="A89" s="55"/>
      <x:c r="B89" s="55"/>
      <x:c r="C89" s="55"/>
      <x:c r="D89" s="55"/>
      <x:c r="E89" s="55"/>
      <x:c r="F89" s="55"/>
      <x:c r="G89" s="55"/>
    </x:row>
    <x:row r="90">
      <x:c r="A90" s="55"/>
      <x:c r="B90" s="55"/>
      <x:c r="C90" s="55"/>
      <x:c r="D90" s="55"/>
      <x:c r="E90" s="55"/>
      <x:c r="F90" s="55"/>
      <x:c r="G90" s="55"/>
    </x:row>
  </x:sheetData>
  <x:mergeCells>
    <x:mergeCell ref="A1:G2"/>
    <x:mergeCell ref="A3:G3"/>
    <x:mergeCell ref="A5:G5"/>
    <x:mergeCell ref="A22:G22"/>
    <x:mergeCell ref="A31:G31"/>
    <x:mergeCell ref="A32:G32"/>
    <x:mergeCell ref="A33:G33"/>
    <x:mergeCell ref="A34:G34"/>
    <x:mergeCell ref="A35:G3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87D8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34" hidden="0" customWidth="1"/>
    <x:col min="6" max="6" width="3" hidden="0" customWidth="1"/>
    <x:col min="7" max="7" width="3" hidden="0" customWidth="1"/>
  </x:cols>
  <x:sheetData>
    <x:row r="1">
      <x:c r="A1" s="4" t="str">
        <x:v>基准预测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>
      <x:c r="A3" s="6" t="str">
        <x:v>人民币十亿元；用于说明基准情景的收入与利润形成</x:v>
      </x:c>
      <x:c r="B3" s="6"/>
      <x:c r="C3" s="6"/>
      <x:c r="D3" s="6"/>
      <x:c r="E3" s="6"/>
      <x:c r="F3" s="6"/>
      <x:c r="G3" s="6"/>
    </x:row>
    <x:row r="4">
      <x:c r="A4" s="55"/>
      <x:c r="B4" s="55"/>
      <x:c r="C4" s="55"/>
      <x:c r="D4" s="55"/>
      <x:c r="E4" s="55"/>
      <x:c r="F4" s="55"/>
      <x:c r="G4" s="55"/>
    </x:row>
    <x:row r="5">
      <x:c r="A5" s="14" t="str">
        <x:v>指标</x:v>
      </x:c>
      <x:c r="B5" s="14" t="str">
        <x:v>2025A</x:v>
      </x:c>
      <x:c r="C5" s="14" t="str">
        <x:v>2026E</x:v>
      </x:c>
      <x:c r="D5" s="14" t="str">
        <x:v>2027E</x:v>
      </x:c>
      <x:c r="E5" s="14" t="str">
        <x:v>说明</x:v>
      </x:c>
      <x:c r="F5" s="55"/>
      <x:c r="G5" s="55"/>
    </x:row>
    <x:row r="6">
      <x:c r="A6" s="55"/>
      <x:c r="B6" s="55"/>
      <x:c r="C6" s="55"/>
      <x:c r="D6" s="55"/>
      <x:c r="E6" s="55"/>
      <x:c r="F6" s="55"/>
      <x:c r="G6" s="55"/>
    </x:row>
    <x:row r="7">
      <x:c r="A7" s="55"/>
      <x:c r="B7" s="55"/>
      <x:c r="C7" s="55"/>
      <x:c r="D7" s="55"/>
      <x:c r="E7" s="55"/>
      <x:c r="F7" s="55"/>
      <x:c r="G7" s="55"/>
    </x:row>
    <x:row r="8">
      <x:c r="A8" s="56" t="str">
        <x:v>智能家居收入</x:v>
      </x:c>
      <x:c r="B8" s="57" t="n">
        <x:v>299.927239</x:v>
      </x:c>
      <x:c r="C8" s="67" t="n">
        <x:v>314.9</x:v>
      </x:c>
      <x:c r="D8" s="67" t="n">
        <x:v>330.6</x:v>
      </x:c>
      <x:c r="E8" s="56" t="str">
        <x:v>国内稳中偏弱，海外 OBM 增长</x:v>
      </x:c>
      <x:c r="F8" s="55"/>
      <x:c r="G8" s="55"/>
    </x:row>
    <x:row r="9">
      <x:c r="A9" s="56" t="str">
        <x:v>商业及工业解决方案收入</x:v>
      </x:c>
      <x:c r="B9" s="57" t="n">
        <x:v>122.752958</x:v>
      </x:c>
      <x:c r="C9" s="67" t="n">
        <x:v>132</x:v>
      </x:c>
      <x:c r="D9" s="67" t="n">
        <x:v>145</x:v>
      </x:c>
      <x:c r="E9" s="56" t="str">
        <x:v>楼宇与机器人增长，工业技术修复</x:v>
      </x:c>
      <x:c r="F9" s="55"/>
      <x:c r="G9" s="55"/>
    </x:row>
    <x:row r="10">
      <x:c r="A10" s="56" t="str">
        <x:v>其他收入</x:v>
      </x:c>
      <x:c r="B10" s="57" t="n">
        <x:v>33.771534</x:v>
      </x:c>
      <x:c r="C10" s="67" t="n">
        <x:v>34.5</x:v>
      </x:c>
      <x:c r="D10" s="67" t="n">
        <x:v>36</x:v>
      </x:c>
      <x:c r="E10" s="56" t="str">
        <x:v>原材料销售及其他</x:v>
      </x:c>
      <x:c r="F10" s="55"/>
      <x:c r="G10" s="55"/>
    </x:row>
    <x:row r="11">
      <x:c r="A11" s="56" t="str">
        <x:v>营业收入</x:v>
      </x:c>
      <x:c r="B11" s="57" t="n">
        <x:f>SUM(B8:B10)</x:f>
        <x:v>456.451731</x:v>
      </x:c>
      <x:c r="C11" s="57" t="n">
        <x:f>SUM(C8:C10)</x:f>
        <x:v>481.4</x:v>
      </x:c>
      <x:c r="D11" s="57" t="n">
        <x:f>SUM(D8:D10)</x:f>
        <x:v>511.6</x:v>
      </x:c>
      <x:c r="E11" s="56" t="str">
        <x:v>分项合计</x:v>
      </x:c>
      <x:c r="F11" s="55"/>
      <x:c r="G11" s="55"/>
    </x:row>
    <x:row r="12">
      <x:c r="A12" s="58" t="str">
        <x:v>收入增长</x:v>
      </x:c>
      <x:c r="B12" s="59"/>
      <x:c r="C12" s="59" t="n">
        <x:f>C11/B11-1</x:f>
        <x:v>0.05465697094705502</x:v>
      </x:c>
      <x:c r="D12" s="59" t="n">
        <x:f>D11/C11-1</x:f>
        <x:v>0.06273369339426682</x:v>
      </x:c>
      <x:c r="E12" s="56" t="str"/>
      <x:c r="F12" s="55"/>
      <x:c r="G12" s="55"/>
    </x:row>
    <x:row r="13">
      <x:c r="A13" s="58" t="str">
        <x:v>归母净利率</x:v>
      </x:c>
      <x:c r="B13" s="59" t="n">
        <x:v>0.09627614053237099</x:v>
      </x:c>
      <x:c r="C13" s="68" t="n">
        <x:v>0.101</x:v>
      </x:c>
      <x:c r="D13" s="68" t="n">
        <x:v>0.1017</x:v>
      </x:c>
      <x:c r="E13" s="56" t="str">
        <x:v>正常化假设</x:v>
      </x:c>
      <x:c r="F13" s="55"/>
      <x:c r="G13" s="55"/>
    </x:row>
    <x:row r="14">
      <x:c r="A14" s="56" t="str">
        <x:v>归母净利润</x:v>
      </x:c>
      <x:c r="B14" s="57" t="n">
        <x:f>B11*B13</x:f>
        <x:v>43.945411</x:v>
      </x:c>
      <x:c r="C14" s="57" t="n">
        <x:f>C11*C13</x:f>
        <x:v>48.6214</x:v>
      </x:c>
      <x:c r="D14" s="57" t="n">
        <x:f>D11*D13</x:f>
        <x:v>52.029720000000005</x:v>
      </x:c>
      <x:c r="E14" s="56" t="str">
        <x:v>收入×净利率</x:v>
      </x:c>
      <x:c r="F14" s="55"/>
      <x:c r="G14" s="55"/>
    </x:row>
    <x:row r="15">
      <x:c r="A15" s="56" t="str">
        <x:v>摊薄股本（十亿股）</x:v>
      </x:c>
      <x:c r="B15" s="57" t="n">
        <x:v>7.65</x:v>
      </x:c>
      <x:c r="C15" s="57" t="n">
        <x:v>7.65</x:v>
      </x:c>
      <x:c r="D15" s="57" t="n">
        <x:v>7.65</x:v>
      </x:c>
      <x:c r="E15" s="56" t="str">
        <x:v>估值口径</x:v>
      </x:c>
      <x:c r="F15" s="55"/>
      <x:c r="G15" s="55"/>
    </x:row>
    <x:row r="16">
      <x:c r="A16" s="56" t="str">
        <x:v>摊薄每股收益（元）</x:v>
      </x:c>
      <x:c r="B16" s="57" t="n">
        <x:f>B14/B15</x:f>
        <x:v>5.744498169934641</x:v>
      </x:c>
      <x:c r="C16" s="57" t="n">
        <x:f>C14/C15</x:f>
        <x:v>6.355738562091503</x:v>
      </x:c>
      <x:c r="D16" s="57" t="n">
        <x:f>D14/D15</x:f>
        <x:v>6.801270588235295</x:v>
      </x:c>
      <x:c r="E16" s="56" t="str">
        <x:v>归母净利润÷摊薄股本</x:v>
      </x:c>
      <x:c r="F16" s="55"/>
      <x:c r="G16" s="55"/>
    </x:row>
    <x:row r="17">
      <x:c r="A17" s="58" t="str">
        <x:v>派息率</x:v>
      </x:c>
      <x:c r="B17" s="59" t="n">
        <x:v>0.7364</x:v>
      </x:c>
      <x:c r="C17" s="68" t="n">
        <x:v>0.7</x:v>
      </x:c>
      <x:c r="D17" s="68" t="n">
        <x:v>0.7</x:v>
      </x:c>
      <x:c r="E17" s="56" t="str">
        <x:v>仅作股息能力校准</x:v>
      </x:c>
      <x:c r="F17" s="55"/>
      <x:c r="G17" s="55"/>
    </x:row>
    <x:row r="18">
      <x:c r="A18" s="56" t="str">
        <x:v>每股股息（元）</x:v>
      </x:c>
      <x:c r="B18" s="57" t="n">
        <x:f>B16*B17</x:f>
        <x:v>4.23024845233987</x:v>
      </x:c>
      <x:c r="C18" s="57" t="n">
        <x:f>C16*C17</x:f>
        <x:v>4.449016993464052</x:v>
      </x:c>
      <x:c r="D18" s="57" t="n">
        <x:f>D16*D17</x:f>
        <x:v>4.7608894117647065</x:v>
      </x:c>
      <x:c r="E18" s="56" t="str">
        <x:v>EPS×派息率</x:v>
      </x:c>
      <x:c r="F18" s="55"/>
      <x:c r="G18" s="55"/>
    </x:row>
    <x:row r="19">
      <x:c r="A19" s="58" t="str">
        <x:v>经营现金流/归母</x:v>
      </x:c>
      <x:c r="B19" s="59" t="n">
        <x:v>1.2139135528849645</x:v>
      </x:c>
      <x:c r="C19" s="68" t="n">
        <x:v>1.1</x:v>
      </x:c>
      <x:c r="D19" s="68" t="n">
        <x:v>1.1</x:v>
      </x:c>
      <x:c r="E19" s="56" t="str">
        <x:v>正常化假设</x:v>
      </x:c>
      <x:c r="F19" s="55"/>
      <x:c r="G19" s="55"/>
    </x:row>
    <x:row r="20">
      <x:c r="A20" s="56" t="str">
        <x:v>经营现金流</x:v>
      </x:c>
      <x:c r="B20" s="57" t="n">
        <x:f>B14*B19</x:f>
        <x:v>53.34593</x:v>
      </x:c>
      <x:c r="C20" s="57" t="n">
        <x:f>C14*C19</x:f>
        <x:v>53.483540000000005</x:v>
      </x:c>
      <x:c r="D20" s="57" t="n">
        <x:f>D14*D19</x:f>
        <x:v>57.23269200000001</x:v>
      </x:c>
      <x:c r="E20" s="56" t="str">
        <x:v>归母净利润×现金转化</x:v>
      </x:c>
      <x:c r="F20" s="55"/>
      <x:c r="G20" s="55"/>
    </x:row>
    <x:row r="21">
      <x:c r="A21" s="56" t="str">
        <x:v>购建长期资产现金支出</x:v>
      </x:c>
      <x:c r="B21" s="57" t="n">
        <x:v>11.141889</x:v>
      </x:c>
      <x:c r="C21" s="67" t="n">
        <x:v>10.5</x:v>
      </x:c>
      <x:c r="D21" s="67" t="n">
        <x:v>11</x:v>
      </x:c>
      <x:c r="E21" s="56" t="str">
        <x:v>全球化与 ToB 投入</x:v>
      </x:c>
      <x:c r="F21" s="55"/>
      <x:c r="G21" s="55"/>
    </x:row>
    <x:row r="22">
      <x:c r="A22" s="55"/>
      <x:c r="B22" s="55"/>
      <x:c r="C22" s="55"/>
      <x:c r="D22" s="55"/>
      <x:c r="E22" s="55"/>
      <x:c r="F22" s="55"/>
      <x:c r="G22" s="55"/>
    </x:row>
    <x:row r="23">
      <x:c r="A23" s="55"/>
      <x:c r="B23" s="55"/>
      <x:c r="C23" s="55"/>
      <x:c r="D23" s="55"/>
      <x:c r="E23" s="55"/>
      <x:c r="F23" s="55"/>
      <x:c r="G23" s="55"/>
    </x:row>
    <x:row r="24">
      <x:c r="A24" s="31" t="str">
        <x:v>基准预测约束</x:v>
      </x:c>
      <x:c r="B24" s="31"/>
      <x:c r="C24" s="31"/>
      <x:c r="D24" s="31"/>
      <x:c r="E24" s="31"/>
      <x:c r="F24" s="31"/>
      <x:c r="G24" s="31"/>
    </x:row>
    <x:row r="25">
      <x:c r="A25" s="55"/>
      <x:c r="B25" s="55"/>
      <x:c r="C25" s="55"/>
      <x:c r="D25" s="55"/>
      <x:c r="E25" s="55"/>
      <x:c r="F25" s="55"/>
      <x:c r="G25" s="55"/>
    </x:row>
    <x:row r="26">
      <x:c r="A26" s="29" t="str">
        <x:v>2027 归母净利润需达到约 520 亿元，较 2025 年增长约 18%。</x:v>
      </x:c>
      <x:c r="B26" s="29"/>
      <x:c r="C26" s="29"/>
      <x:c r="D26" s="29"/>
      <x:c r="E26" s="29"/>
      <x:c r="F26" s="29"/>
      <x:c r="G26" s="29"/>
    </x:row>
    <x:row r="27">
      <x:c r="A27" s="29" t="str">
        <x:v>若智能家居毛利率持续低于 26%，基准净利率假设需要下调。</x:v>
      </x:c>
      <x:c r="B27" s="29"/>
      <x:c r="C27" s="29"/>
      <x:c r="D27" s="29"/>
      <x:c r="E27" s="29"/>
      <x:c r="F27" s="29"/>
      <x:c r="G27" s="29"/>
    </x:row>
    <x:row r="28">
      <x:c r="A28" s="29" t="str">
        <x:v>若工业技术到 2027 年仍未恢复增长，ToB 收入和利润假设需要下调。</x:v>
      </x:c>
      <x:c r="B28" s="29"/>
      <x:c r="C28" s="29"/>
      <x:c r="D28" s="29"/>
      <x:c r="E28" s="29"/>
      <x:c r="F28" s="29"/>
      <x:c r="G28" s="29"/>
    </x:row>
    <x:row r="29">
      <x:c r="A29" s="29" t="str">
        <x:v>派息率和经营现金转化仅用于校准，不是公司指引。</x:v>
      </x:c>
      <x:c r="B29" s="29"/>
      <x:c r="C29" s="29"/>
      <x:c r="D29" s="29"/>
      <x:c r="E29" s="29"/>
      <x:c r="F29" s="29"/>
      <x:c r="G29" s="29"/>
    </x:row>
    <x:row r="30">
      <x:c r="A30" s="55"/>
      <x:c r="B30" s="55"/>
      <x:c r="C30" s="55"/>
      <x:c r="D30" s="55"/>
      <x:c r="E30" s="55"/>
      <x:c r="F30" s="55"/>
      <x:c r="G30" s="55"/>
    </x:row>
    <x:row r="31">
      <x:c r="A31" s="55"/>
      <x:c r="B31" s="55"/>
      <x:c r="C31" s="55"/>
      <x:c r="D31" s="55"/>
      <x:c r="E31" s="55"/>
      <x:c r="F31" s="55"/>
      <x:c r="G31" s="55"/>
    </x:row>
    <x:row r="32">
      <x:c r="A32" s="55"/>
      <x:c r="B32" s="55"/>
      <x:c r="C32" s="55"/>
      <x:c r="D32" s="55"/>
      <x:c r="E32" s="55"/>
      <x:c r="F32" s="55"/>
      <x:c r="G32" s="55"/>
    </x:row>
    <x:row r="33">
      <x:c r="A33" s="55"/>
      <x:c r="B33" s="55"/>
      <x:c r="C33" s="55"/>
      <x:c r="D33" s="55"/>
      <x:c r="E33" s="55"/>
      <x:c r="F33" s="55"/>
      <x:c r="G33" s="55"/>
    </x:row>
    <x:row r="34">
      <x:c r="A34" s="55"/>
      <x:c r="B34" s="55"/>
      <x:c r="C34" s="55"/>
      <x:c r="D34" s="55"/>
      <x:c r="E34" s="55"/>
      <x:c r="F34" s="55"/>
      <x:c r="G34" s="55"/>
    </x:row>
    <x:row r="35">
      <x:c r="A35" s="55"/>
      <x:c r="B35" s="55"/>
      <x:c r="C35" s="55"/>
      <x:c r="D35" s="55"/>
      <x:c r="E35" s="55"/>
      <x:c r="F35" s="55"/>
      <x:c r="G35" s="55"/>
    </x:row>
    <x:row r="36">
      <x:c r="A36" s="55"/>
      <x:c r="B36" s="55"/>
      <x:c r="C36" s="55"/>
      <x:c r="D36" s="55"/>
      <x:c r="E36" s="55"/>
      <x:c r="F36" s="55"/>
      <x:c r="G36" s="55"/>
    </x:row>
    <x:row r="37">
      <x:c r="A37" s="55"/>
      <x:c r="B37" s="55"/>
      <x:c r="C37" s="55"/>
      <x:c r="D37" s="55"/>
      <x:c r="E37" s="55"/>
      <x:c r="F37" s="55"/>
      <x:c r="G37" s="55"/>
    </x:row>
    <x:row r="38">
      <x:c r="A38" s="55"/>
      <x:c r="B38" s="55"/>
      <x:c r="C38" s="55"/>
      <x:c r="D38" s="55"/>
      <x:c r="E38" s="55"/>
      <x:c r="F38" s="55"/>
      <x:c r="G38" s="55"/>
    </x:row>
    <x:row r="39">
      <x:c r="A39" s="55"/>
      <x:c r="B39" s="55"/>
      <x:c r="C39" s="55"/>
      <x:c r="D39" s="55"/>
      <x:c r="E39" s="55"/>
      <x:c r="F39" s="55"/>
      <x:c r="G39" s="55"/>
    </x:row>
    <x:row r="40">
      <x:c r="A40" s="55"/>
      <x:c r="B40" s="55"/>
      <x:c r="C40" s="55"/>
      <x:c r="D40" s="55"/>
      <x:c r="E40" s="55"/>
      <x:c r="F40" s="55"/>
      <x:c r="G40" s="55"/>
    </x:row>
    <x:row r="41">
      <x:c r="A41" s="55"/>
      <x:c r="B41" s="55"/>
      <x:c r="C41" s="55"/>
      <x:c r="D41" s="55"/>
      <x:c r="E41" s="55"/>
      <x:c r="F41" s="55"/>
      <x:c r="G41" s="55"/>
    </x:row>
    <x:row r="42">
      <x:c r="A42" s="55"/>
      <x:c r="B42" s="55"/>
      <x:c r="C42" s="55"/>
      <x:c r="D42" s="55"/>
      <x:c r="E42" s="55"/>
      <x:c r="F42" s="55"/>
      <x:c r="G42" s="55"/>
    </x:row>
    <x:row r="43">
      <x:c r="A43" s="55"/>
      <x:c r="B43" s="55"/>
      <x:c r="C43" s="55"/>
      <x:c r="D43" s="55"/>
      <x:c r="E43" s="55"/>
      <x:c r="F43" s="55"/>
      <x:c r="G43" s="55"/>
    </x:row>
    <x:row r="44">
      <x:c r="A44" s="55"/>
      <x:c r="B44" s="55"/>
      <x:c r="C44" s="55"/>
      <x:c r="D44" s="55"/>
      <x:c r="E44" s="55"/>
      <x:c r="F44" s="55"/>
      <x:c r="G44" s="55"/>
    </x:row>
    <x:row r="45">
      <x:c r="A45" s="55"/>
      <x:c r="B45" s="55"/>
      <x:c r="C45" s="55"/>
      <x:c r="D45" s="55"/>
      <x:c r="E45" s="55"/>
      <x:c r="F45" s="55"/>
      <x:c r="G45" s="55"/>
    </x:row>
    <x:row r="46">
      <x:c r="A46" s="55"/>
      <x:c r="B46" s="55"/>
      <x:c r="C46" s="55"/>
      <x:c r="D46" s="55"/>
      <x:c r="E46" s="55"/>
      <x:c r="F46" s="55"/>
      <x:c r="G46" s="55"/>
    </x:row>
    <x:row r="47">
      <x:c r="A47" s="55"/>
      <x:c r="B47" s="55"/>
      <x:c r="C47" s="55"/>
      <x:c r="D47" s="55"/>
      <x:c r="E47" s="55"/>
      <x:c r="F47" s="55"/>
      <x:c r="G47" s="55"/>
    </x:row>
    <x:row r="48">
      <x:c r="A48" s="55"/>
      <x:c r="B48" s="55"/>
      <x:c r="C48" s="55"/>
      <x:c r="D48" s="55"/>
      <x:c r="E48" s="55"/>
      <x:c r="F48" s="55"/>
      <x:c r="G48" s="55"/>
    </x:row>
    <x:row r="49">
      <x:c r="A49" s="55"/>
      <x:c r="B49" s="55"/>
      <x:c r="C49" s="55"/>
      <x:c r="D49" s="55"/>
      <x:c r="E49" s="55"/>
      <x:c r="F49" s="55"/>
      <x:c r="G49" s="55"/>
    </x:row>
    <x:row r="50">
      <x:c r="A50" s="55"/>
      <x:c r="B50" s="55"/>
      <x:c r="C50" s="55"/>
      <x:c r="D50" s="55"/>
      <x:c r="E50" s="55"/>
      <x:c r="F50" s="55"/>
      <x:c r="G50" s="55"/>
    </x:row>
    <x:row r="51">
      <x:c r="A51" s="55"/>
      <x:c r="B51" s="55"/>
      <x:c r="C51" s="55"/>
      <x:c r="D51" s="55"/>
      <x:c r="E51" s="55"/>
      <x:c r="F51" s="55"/>
      <x:c r="G51" s="55"/>
    </x:row>
    <x:row r="52">
      <x:c r="A52" s="55"/>
      <x:c r="B52" s="55"/>
      <x:c r="C52" s="55"/>
      <x:c r="D52" s="55"/>
      <x:c r="E52" s="55"/>
      <x:c r="F52" s="55"/>
      <x:c r="G52" s="55"/>
    </x:row>
    <x:row r="53">
      <x:c r="A53" s="55"/>
      <x:c r="B53" s="55"/>
      <x:c r="C53" s="55"/>
      <x:c r="D53" s="55"/>
      <x:c r="E53" s="55"/>
      <x:c r="F53" s="55"/>
      <x:c r="G53" s="55"/>
    </x:row>
    <x:row r="54">
      <x:c r="A54" s="55"/>
      <x:c r="B54" s="55"/>
      <x:c r="C54" s="55"/>
      <x:c r="D54" s="55"/>
      <x:c r="E54" s="55"/>
      <x:c r="F54" s="55"/>
      <x:c r="G54" s="55"/>
    </x:row>
    <x:row r="55">
      <x:c r="A55" s="55"/>
      <x:c r="B55" s="55"/>
      <x:c r="C55" s="55"/>
      <x:c r="D55" s="55"/>
      <x:c r="E55" s="55"/>
      <x:c r="F55" s="55"/>
      <x:c r="G55" s="55"/>
    </x:row>
    <x:row r="56">
      <x:c r="A56" s="55"/>
      <x:c r="B56" s="55"/>
      <x:c r="C56" s="55"/>
      <x:c r="D56" s="55"/>
      <x:c r="E56" s="55"/>
      <x:c r="F56" s="55"/>
      <x:c r="G56" s="55"/>
    </x:row>
    <x:row r="57">
      <x:c r="A57" s="55"/>
      <x:c r="B57" s="55"/>
      <x:c r="C57" s="55"/>
      <x:c r="D57" s="55"/>
      <x:c r="E57" s="55"/>
      <x:c r="F57" s="55"/>
      <x:c r="G57" s="55"/>
    </x:row>
    <x:row r="58">
      <x:c r="A58" s="55"/>
      <x:c r="B58" s="55"/>
      <x:c r="C58" s="55"/>
      <x:c r="D58" s="55"/>
      <x:c r="E58" s="55"/>
      <x:c r="F58" s="55"/>
      <x:c r="G58" s="55"/>
    </x:row>
    <x:row r="59">
      <x:c r="A59" s="55"/>
      <x:c r="B59" s="55"/>
      <x:c r="C59" s="55"/>
      <x:c r="D59" s="55"/>
      <x:c r="E59" s="55"/>
      <x:c r="F59" s="55"/>
      <x:c r="G59" s="55"/>
    </x:row>
    <x:row r="60">
      <x:c r="A60" s="55"/>
      <x:c r="B60" s="55"/>
      <x:c r="C60" s="55"/>
      <x:c r="D60" s="55"/>
      <x:c r="E60" s="55"/>
      <x:c r="F60" s="55"/>
      <x:c r="G60" s="55"/>
    </x:row>
    <x:row r="61">
      <x:c r="A61" s="55"/>
      <x:c r="B61" s="55"/>
      <x:c r="C61" s="55"/>
      <x:c r="D61" s="55"/>
      <x:c r="E61" s="55"/>
      <x:c r="F61" s="55"/>
      <x:c r="G61" s="55"/>
    </x:row>
    <x:row r="62">
      <x:c r="A62" s="55"/>
      <x:c r="B62" s="55"/>
      <x:c r="C62" s="55"/>
      <x:c r="D62" s="55"/>
      <x:c r="E62" s="55"/>
      <x:c r="F62" s="55"/>
      <x:c r="G62" s="55"/>
    </x:row>
    <x:row r="63">
      <x:c r="A63" s="55"/>
      <x:c r="B63" s="55"/>
      <x:c r="C63" s="55"/>
      <x:c r="D63" s="55"/>
      <x:c r="E63" s="55"/>
      <x:c r="F63" s="55"/>
      <x:c r="G63" s="55"/>
    </x:row>
    <x:row r="64">
      <x:c r="A64" s="55"/>
      <x:c r="B64" s="55"/>
      <x:c r="C64" s="55"/>
      <x:c r="D64" s="55"/>
      <x:c r="E64" s="55"/>
      <x:c r="F64" s="55"/>
      <x:c r="G64" s="55"/>
    </x:row>
    <x:row r="65">
      <x:c r="A65" s="55"/>
      <x:c r="B65" s="55"/>
      <x:c r="C65" s="55"/>
      <x:c r="D65" s="55"/>
      <x:c r="E65" s="55"/>
      <x:c r="F65" s="55"/>
      <x:c r="G65" s="55"/>
    </x:row>
    <x:row r="66">
      <x:c r="A66" s="55"/>
      <x:c r="B66" s="55"/>
      <x:c r="C66" s="55"/>
      <x:c r="D66" s="55"/>
      <x:c r="E66" s="55"/>
      <x:c r="F66" s="55"/>
      <x:c r="G66" s="55"/>
    </x:row>
    <x:row r="67">
      <x:c r="A67" s="55"/>
      <x:c r="B67" s="55"/>
      <x:c r="C67" s="55"/>
      <x:c r="D67" s="55"/>
      <x:c r="E67" s="55"/>
      <x:c r="F67" s="55"/>
      <x:c r="G67" s="55"/>
    </x:row>
    <x:row r="68">
      <x:c r="A68" s="55"/>
      <x:c r="B68" s="55"/>
      <x:c r="C68" s="55"/>
      <x:c r="D68" s="55"/>
      <x:c r="E68" s="55"/>
      <x:c r="F68" s="55"/>
      <x:c r="G68" s="55"/>
    </x:row>
    <x:row r="69">
      <x:c r="A69" s="55"/>
      <x:c r="B69" s="55"/>
      <x:c r="C69" s="55"/>
      <x:c r="D69" s="55"/>
      <x:c r="E69" s="55"/>
      <x:c r="F69" s="55"/>
      <x:c r="G69" s="55"/>
    </x:row>
    <x:row r="70">
      <x:c r="A70" s="55"/>
      <x:c r="B70" s="55"/>
      <x:c r="C70" s="55"/>
      <x:c r="D70" s="55"/>
      <x:c r="E70" s="55"/>
      <x:c r="F70" s="55"/>
      <x:c r="G70" s="55"/>
    </x:row>
    <x:row r="71">
      <x:c r="A71" s="55"/>
      <x:c r="B71" s="55"/>
      <x:c r="C71" s="55"/>
      <x:c r="D71" s="55"/>
      <x:c r="E71" s="55"/>
      <x:c r="F71" s="55"/>
      <x:c r="G71" s="55"/>
    </x:row>
    <x:row r="72">
      <x:c r="A72" s="55"/>
      <x:c r="B72" s="55"/>
      <x:c r="C72" s="55"/>
      <x:c r="D72" s="55"/>
      <x:c r="E72" s="55"/>
      <x:c r="F72" s="55"/>
      <x:c r="G72" s="55"/>
    </x:row>
    <x:row r="73">
      <x:c r="A73" s="55"/>
      <x:c r="B73" s="55"/>
      <x:c r="C73" s="55"/>
      <x:c r="D73" s="55"/>
      <x:c r="E73" s="55"/>
      <x:c r="F73" s="55"/>
      <x:c r="G73" s="55"/>
    </x:row>
    <x:row r="74">
      <x:c r="A74" s="55"/>
      <x:c r="B74" s="55"/>
      <x:c r="C74" s="55"/>
      <x:c r="D74" s="55"/>
      <x:c r="E74" s="55"/>
      <x:c r="F74" s="55"/>
      <x:c r="G74" s="55"/>
    </x:row>
    <x:row r="75">
      <x:c r="A75" s="55"/>
      <x:c r="B75" s="55"/>
      <x:c r="C75" s="55"/>
      <x:c r="D75" s="55"/>
      <x:c r="E75" s="55"/>
      <x:c r="F75" s="55"/>
      <x:c r="G75" s="55"/>
    </x:row>
    <x:row r="76">
      <x:c r="A76" s="55"/>
      <x:c r="B76" s="55"/>
      <x:c r="C76" s="55"/>
      <x:c r="D76" s="55"/>
      <x:c r="E76" s="55"/>
      <x:c r="F76" s="55"/>
      <x:c r="G76" s="55"/>
    </x:row>
    <x:row r="77">
      <x:c r="A77" s="55"/>
      <x:c r="B77" s="55"/>
      <x:c r="C77" s="55"/>
      <x:c r="D77" s="55"/>
      <x:c r="E77" s="55"/>
      <x:c r="F77" s="55"/>
      <x:c r="G77" s="55"/>
    </x:row>
    <x:row r="78">
      <x:c r="A78" s="55"/>
      <x:c r="B78" s="55"/>
      <x:c r="C78" s="55"/>
      <x:c r="D78" s="55"/>
      <x:c r="E78" s="55"/>
      <x:c r="F78" s="55"/>
      <x:c r="G78" s="55"/>
    </x:row>
    <x:row r="79">
      <x:c r="A79" s="55"/>
      <x:c r="B79" s="55"/>
      <x:c r="C79" s="55"/>
      <x:c r="D79" s="55"/>
      <x:c r="E79" s="55"/>
      <x:c r="F79" s="55"/>
      <x:c r="G79" s="55"/>
    </x:row>
    <x:row r="80">
      <x:c r="A80" s="55"/>
      <x:c r="B80" s="55"/>
      <x:c r="C80" s="55"/>
      <x:c r="D80" s="55"/>
      <x:c r="E80" s="55"/>
      <x:c r="F80" s="55"/>
      <x:c r="G80" s="55"/>
    </x:row>
    <x:row r="81">
      <x:c r="A81" s="55"/>
      <x:c r="B81" s="55"/>
      <x:c r="C81" s="55"/>
      <x:c r="D81" s="55"/>
      <x:c r="E81" s="55"/>
      <x:c r="F81" s="55"/>
      <x:c r="G81" s="55"/>
    </x:row>
    <x:row r="82">
      <x:c r="A82" s="55"/>
      <x:c r="B82" s="55"/>
      <x:c r="C82" s="55"/>
      <x:c r="D82" s="55"/>
      <x:c r="E82" s="55"/>
      <x:c r="F82" s="55"/>
      <x:c r="G82" s="55"/>
    </x:row>
    <x:row r="83">
      <x:c r="A83" s="55"/>
      <x:c r="B83" s="55"/>
      <x:c r="C83" s="55"/>
      <x:c r="D83" s="55"/>
      <x:c r="E83" s="55"/>
      <x:c r="F83" s="55"/>
      <x:c r="G83" s="55"/>
    </x:row>
    <x:row r="84">
      <x:c r="A84" s="55"/>
      <x:c r="B84" s="55"/>
      <x:c r="C84" s="55"/>
      <x:c r="D84" s="55"/>
      <x:c r="E84" s="55"/>
      <x:c r="F84" s="55"/>
      <x:c r="G84" s="55"/>
    </x:row>
    <x:row r="85">
      <x:c r="A85" s="55"/>
      <x:c r="B85" s="55"/>
      <x:c r="C85" s="55"/>
      <x:c r="D85" s="55"/>
      <x:c r="E85" s="55"/>
      <x:c r="F85" s="55"/>
      <x:c r="G85" s="55"/>
    </x:row>
    <x:row r="86">
      <x:c r="A86" s="55"/>
      <x:c r="B86" s="55"/>
      <x:c r="C86" s="55"/>
      <x:c r="D86" s="55"/>
      <x:c r="E86" s="55"/>
      <x:c r="F86" s="55"/>
      <x:c r="G86" s="55"/>
    </x:row>
    <x:row r="87">
      <x:c r="A87" s="55"/>
      <x:c r="B87" s="55"/>
      <x:c r="C87" s="55"/>
      <x:c r="D87" s="55"/>
      <x:c r="E87" s="55"/>
      <x:c r="F87" s="55"/>
      <x:c r="G87" s="55"/>
    </x:row>
    <x:row r="88">
      <x:c r="A88" s="55"/>
      <x:c r="B88" s="55"/>
      <x:c r="C88" s="55"/>
      <x:c r="D88" s="55"/>
      <x:c r="E88" s="55"/>
      <x:c r="F88" s="55"/>
      <x:c r="G88" s="55"/>
    </x:row>
    <x:row r="89">
      <x:c r="A89" s="55"/>
      <x:c r="B89" s="55"/>
      <x:c r="C89" s="55"/>
      <x:c r="D89" s="55"/>
      <x:c r="E89" s="55"/>
      <x:c r="F89" s="55"/>
      <x:c r="G89" s="55"/>
    </x:row>
    <x:row r="90">
      <x:c r="A90" s="55"/>
      <x:c r="B90" s="55"/>
      <x:c r="C90" s="55"/>
      <x:c r="D90" s="55"/>
      <x:c r="E90" s="55"/>
      <x:c r="F90" s="55"/>
      <x:c r="G90" s="55"/>
    </x:row>
  </x:sheetData>
  <x:mergeCells>
    <x:mergeCell ref="A1:G2"/>
    <x:mergeCell ref="A3:G3"/>
    <x:mergeCell ref="A24:G24"/>
    <x:mergeCell ref="A26:G26"/>
    <x:mergeCell ref="A27:G27"/>
    <x:mergeCell ref="A28:G28"/>
    <x:mergeCell ref="A29:G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47F1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20" hidden="0" customWidth="1"/>
    <x:col min="3" max="3" width="25" hidden="0" customWidth="1"/>
    <x:col min="4" max="4" width="20" hidden="0" customWidth="1"/>
    <x:col min="5" max="5" width="3" hidden="0" customWidth="1"/>
    <x:col min="6" max="6" width="3" hidden="0" customWidth="1"/>
    <x:col min="7" max="7" width="3" hidden="0" customWidth="1"/>
  </x:cols>
  <x:sheetData>
    <x:row r="1">
      <x:c r="A1" s="4" t="str">
        <x:v>情景估值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>
      <x:c r="A3" s="6" t="str">
        <x:v>2027E 归母净利润 P/E；使用摊薄股本，不另加净金融资产</x:v>
      </x:c>
      <x:c r="B3" s="6"/>
      <x:c r="C3" s="6"/>
      <x:c r="D3" s="6"/>
      <x:c r="E3" s="6"/>
      <x:c r="F3" s="6"/>
      <x:c r="G3" s="6"/>
    </x:row>
    <x:row r="4">
      <x:c r="A4" s="55"/>
      <x:c r="B4" s="55"/>
      <x:c r="C4" s="55"/>
      <x:c r="D4" s="55"/>
      <x:c r="E4" s="55"/>
      <x:c r="F4" s="55"/>
      <x:c r="G4" s="55"/>
    </x:row>
    <x:row r="5">
      <x:c r="A5" s="31" t="str">
        <x:v>当前估值</x:v>
      </x:c>
      <x:c r="B5" s="31"/>
      <x:c r="C5" s="31"/>
      <x:c r="D5" s="31"/>
      <x:c r="E5" s="31"/>
      <x:c r="F5" s="31"/>
      <x:c r="G5" s="31"/>
    </x:row>
    <x:row r="6">
      <x:c r="A6" s="55"/>
      <x:c r="B6" s="55"/>
      <x:c r="C6" s="55"/>
      <x:c r="D6" s="55"/>
      <x:c r="E6" s="55"/>
      <x:c r="F6" s="55"/>
      <x:c r="G6" s="55"/>
    </x:row>
    <x:row r="7">
      <x:c r="A7" s="15" t="str">
        <x:v>指标</x:v>
      </x:c>
      <x:c r="B7" s="15" t="str">
        <x:v>结果</x:v>
      </x:c>
      <x:c r="C7" s="15" t="str">
        <x:v>说明</x:v>
      </x:c>
      <x:c r="D7" s="55"/>
      <x:c r="E7" s="55"/>
      <x:c r="F7" s="55"/>
      <x:c r="G7" s="55"/>
    </x:row>
    <x:row r="8">
      <x:c r="A8" s="56" t="str">
        <x:v>经济股本（百万股）</x:v>
      </x:c>
      <x:c r="B8" s="72" t="n">
        <x:f>'Assumptions'!B11-'Assumptions'!B12+'Assumptions'!B13</x:f>
        <x:v>7458.139464000001</x:v>
      </x:c>
      <x:c r="C8" s="56" t="str">
        <x:v>A 股扣库存股 + H 股</x:v>
      </x:c>
      <x:c r="D8" s="55"/>
      <x:c r="E8" s="55"/>
      <x:c r="F8" s="55"/>
      <x:c r="G8" s="55"/>
    </x:row>
    <x:row r="9">
      <x:c r="A9" s="56" t="str">
        <x:v>等值市值（十亿元）</x:v>
      </x:c>
      <x:c r="B9" s="72" t="n">
        <x:f>B8*'Assumptions'!B8/1000</x:f>
        <x:v>629.4669707616001</x:v>
      </x:c>
      <x:c r="C9" s="56" t="str">
        <x:v>A 股价格×经济股本</x:v>
      </x:c>
      <x:c r="D9" s="55"/>
      <x:c r="E9" s="55"/>
      <x:c r="F9" s="55"/>
      <x:c r="G9" s="55"/>
    </x:row>
    <x:row r="10">
      <x:c r="A10" s="56" t="str">
        <x:v>滚动归母 P/E</x:v>
      </x:c>
      <x:c r="B10" s="73" t="n">
        <x:f>B9/'Historical'!C27</x:f>
        <x:v>14.184289588527662</x:v>
      </x:c>
      <x:c r="C10" s="56" t="str">
        <x:v>市值÷滚动归母净利润</x:v>
      </x:c>
      <x:c r="D10" s="55"/>
      <x:c r="E10" s="55"/>
      <x:c r="F10" s="55"/>
      <x:c r="G10" s="55"/>
    </x:row>
    <x:row r="11">
      <x:c r="A11" s="56" t="str">
        <x:v>2025 股息率</x:v>
      </x:c>
      <x:c r="B11" s="74" t="n">
        <x:f>'Assumptions'!F8/'Assumptions'!B8</x:f>
        <x:v>0.05094786729857819</x:v>
      </x:c>
      <x:c r="C11" s="56" t="str">
        <x:v>每股股息÷A 股价格</x:v>
      </x:c>
      <x:c r="D11" s="55"/>
      <x:c r="E11" s="55"/>
      <x:c r="F11" s="55"/>
      <x:c r="G11" s="55"/>
    </x:row>
    <x:row r="12">
      <x:c r="A12" s="56" t="str">
        <x:v>H 股折合人民币（元）</x:v>
      </x:c>
      <x:c r="B12" s="75" t="n">
        <x:f>'Assumptions'!B9/'Assumptions'!B10</x:f>
        <x:v>84.77759754119354</x:v>
      </x:c>
      <x:c r="C12" s="56" t="str">
        <x:v>H 股价格÷CNY/HKD</x:v>
      </x:c>
      <x:c r="D12" s="55"/>
      <x:c r="E12" s="55"/>
      <x:c r="F12" s="55"/>
      <x:c r="G12" s="55"/>
    </x:row>
    <x:row r="13">
      <x:c r="A13" s="55"/>
      <x:c r="B13" s="55"/>
      <x:c r="C13" s="55"/>
      <x:c r="D13" s="55"/>
      <x:c r="E13" s="55"/>
      <x:c r="F13" s="55"/>
      <x:c r="G13" s="55"/>
    </x:row>
    <x:row r="14">
      <x:c r="A14" s="55"/>
      <x:c r="B14" s="55"/>
      <x:c r="C14" s="55"/>
      <x:c r="D14" s="55"/>
      <x:c r="E14" s="55"/>
      <x:c r="F14" s="55"/>
      <x:c r="G14" s="55"/>
    </x:row>
    <x:row r="15">
      <x:c r="A15" s="31" t="str">
        <x:v>Bear / Base / Bull</x:v>
      </x:c>
      <x:c r="B15" s="31"/>
      <x:c r="C15" s="31"/>
      <x:c r="D15" s="31"/>
      <x:c r="E15" s="31"/>
      <x:c r="F15" s="31"/>
      <x:c r="G15" s="31"/>
    </x:row>
    <x:row r="16">
      <x:c r="A16" s="55"/>
      <x:c r="B16" s="55"/>
      <x:c r="C16" s="55"/>
      <x:c r="D16" s="55"/>
      <x:c r="E16" s="55"/>
      <x:c r="F16" s="55"/>
      <x:c r="G16" s="55"/>
    </x:row>
    <x:row r="17">
      <x:c r="A17" s="15" t="str">
        <x:v>指标</x:v>
      </x:c>
      <x:c r="B17" s="15" t="str">
        <x:v>Bear</x:v>
      </x:c>
      <x:c r="C17" s="15" t="str">
        <x:v>Base</x:v>
      </x:c>
      <x:c r="D17" s="15" t="str">
        <x:v>Bull</x:v>
      </x:c>
      <x:c r="E17" s="55"/>
      <x:c r="F17" s="55"/>
      <x:c r="G17" s="55"/>
    </x:row>
    <x:row r="18">
      <x:c r="A18" s="56" t="str">
        <x:v>2027 归母净利润（十亿元）</x:v>
      </x:c>
      <x:c r="B18" s="72" t="n">
        <x:f>'Assumptions'!B22</x:f>
        <x:v>40</x:v>
      </x:c>
      <x:c r="C18" s="72" t="n">
        <x:f>'Assumptions'!C22</x:f>
        <x:v>52</x:v>
      </x:c>
      <x:c r="D18" s="72" t="n">
        <x:f>'Assumptions'!D22</x:f>
        <x:v>62</x:v>
      </x:c>
      <x:c r="E18" s="55"/>
      <x:c r="F18" s="55"/>
      <x:c r="G18" s="55"/>
    </x:row>
    <x:row r="19">
      <x:c r="A19" s="56" t="str">
        <x:v>P/E</x:v>
      </x:c>
      <x:c r="B19" s="73" t="n">
        <x:f>'Assumptions'!B23</x:f>
        <x:v>11</x:v>
      </x:c>
      <x:c r="C19" s="73" t="n">
        <x:f>'Assumptions'!C23</x:f>
        <x:v>15.5</x:v>
      </x:c>
      <x:c r="D19" s="73" t="n">
        <x:f>'Assumptions'!D23</x:f>
        <x:v>19</x:v>
      </x:c>
      <x:c r="E19" s="55"/>
      <x:c r="F19" s="55"/>
      <x:c r="G19" s="55"/>
    </x:row>
    <x:row r="20">
      <x:c r="A20" s="56" t="str">
        <x:v>每股价值（元）</x:v>
      </x:c>
      <x:c r="B20" s="70" t="n">
        <x:f>B18*B19*1000/'Assumptions'!$B$14</x:f>
        <x:v>57.51633986928105</x:v>
      </x:c>
      <x:c r="C20" s="70" t="n">
        <x:f>C18*C19*1000/'Assumptions'!$B$14</x:f>
        <x:v>105.359477124183</x:v>
      </x:c>
      <x:c r="D20" s="70" t="n">
        <x:f>D18*D19*1000/'Assumptions'!$B$14</x:f>
        <x:v>153.98692810457516</x:v>
      </x:c>
      <x:c r="E20" s="55"/>
      <x:c r="F20" s="55"/>
      <x:c r="G20" s="55"/>
    </x:row>
    <x:row r="21">
      <x:c r="A21" s="56" t="str">
        <x:v>相对 A 股现价</x:v>
      </x:c>
      <x:c r="B21" s="63" t="n">
        <x:f>B20/'Assumptions'!$B$8-1</x:f>
        <x:v>-0.3185267787999876</x:v>
      </x:c>
      <x:c r="C21" s="63" t="n">
        <x:f>C20/'Assumptions'!$B$8-1</x:f>
        <x:v>0.24833503701638615</x:v>
      </x:c>
      <x:c r="D21" s="63" t="n">
        <x:f>D20/'Assumptions'!$B$8-1</x:f>
        <x:v>0.8244896694854875</x:v>
      </x:c>
      <x:c r="E21" s="55"/>
      <x:c r="F21" s="55"/>
      <x:c r="G21" s="55"/>
    </x:row>
    <x:row r="22">
      <x:c r="A22" s="56" t="str">
        <x:v>概率</x:v>
      </x:c>
      <x:c r="B22" s="63" t="n">
        <x:f>'Assumptions'!B21</x:f>
        <x:v>0.25</x:v>
      </x:c>
      <x:c r="C22" s="63" t="n">
        <x:f>'Assumptions'!C21</x:f>
        <x:v>0.55</x:v>
      </x:c>
      <x:c r="D22" s="63" t="n">
        <x:f>'Assumptions'!D21</x:f>
        <x:v>0.2</x:v>
      </x:c>
      <x:c r="E22" s="55"/>
      <x:c r="F22" s="55"/>
      <x:c r="G22" s="55"/>
    </x:row>
    <x:row r="23">
      <x:c r="A23" s="55"/>
      <x:c r="B23" s="55"/>
      <x:c r="C23" s="55"/>
      <x:c r="D23" s="55"/>
      <x:c r="E23" s="55"/>
      <x:c r="F23" s="55"/>
      <x:c r="G23" s="55"/>
    </x:row>
    <x:row r="24">
      <x:c r="A24" s="55"/>
      <x:c r="B24" s="55"/>
      <x:c r="C24" s="55"/>
      <x:c r="D24" s="55"/>
      <x:c r="E24" s="55"/>
      <x:c r="F24" s="55"/>
      <x:c r="G24" s="55"/>
    </x:row>
    <x:row r="25">
      <x:c r="A25" s="15" t="str">
        <x:v>汇总</x:v>
      </x:c>
      <x:c r="B25" s="15" t="str">
        <x:v>结果</x:v>
      </x:c>
      <x:c r="C25" s="15" t="str">
        <x:v>说明</x:v>
      </x:c>
      <x:c r="D25" s="55"/>
      <x:c r="E25" s="55"/>
      <x:c r="F25" s="55"/>
      <x:c r="G25" s="55"/>
    </x:row>
    <x:row r="26">
      <x:c r="A26" s="56" t="str">
        <x:v>概率加权价值（元）</x:v>
      </x:c>
      <x:c r="B26" s="70" t="n">
        <x:f>SUMPRODUCT(B20:D20,B22:D22)</x:f>
        <x:v>103.12418300653596</x:v>
      </x:c>
      <x:c r="C26" s="56" t="str">
        <x:v>各情景价值×概率</x:v>
      </x:c>
      <x:c r="D26" s="55"/>
      <x:c r="E26" s="55"/>
      <x:c r="F26" s="55"/>
      <x:c r="G26" s="55"/>
    </x:row>
    <x:row r="27">
      <x:c r="A27" s="56" t="str">
        <x:v>Base 隐含 H 股价值（港元）</x:v>
      </x:c>
      <x:c r="B27" s="70" t="n">
        <x:f>C20*'Assumptions'!B10</x:f>
        <x:v>123.40755555555555</x:v>
      </x:c>
      <x:c r="C27" s="56" t="str">
        <x:v>Base 人民币价值×当前汇率</x:v>
      </x:c>
      <x:c r="D27" s="55"/>
      <x:c r="E27" s="55"/>
      <x:c r="F27" s="55"/>
      <x:c r="G27" s="55"/>
    </x:row>
    <x:row r="28">
      <x:c r="A28" s="56" t="str">
        <x:v>H 股相对 Base 空间</x:v>
      </x:c>
      <x:c r="B28" s="63" t="n">
        <x:f>B27/'Assumptions'!B9-1</x:f>
        <x:v>0.2427749804184849</x:v>
      </x:c>
      <x:c r="C28" s="56" t="str">
        <x:v>隐含 H 股价值÷H 股价格-1</x:v>
      </x:c>
      <x:c r="D28" s="55"/>
      <x:c r="E28" s="55"/>
      <x:c r="F28" s="55"/>
      <x:c r="G28" s="55"/>
    </x:row>
    <x:row r="29">
      <x:c r="A29" s="55"/>
      <x:c r="B29" s="55"/>
      <x:c r="C29" s="55"/>
      <x:c r="D29" s="55"/>
      <x:c r="E29" s="55"/>
      <x:c r="F29" s="55"/>
      <x:c r="G29" s="55"/>
    </x:row>
    <x:row r="30">
      <x:c r="A30" s="55"/>
      <x:c r="B30" s="55"/>
      <x:c r="C30" s="55"/>
      <x:c r="D30" s="55"/>
      <x:c r="E30" s="55"/>
      <x:c r="F30" s="55"/>
      <x:c r="G30" s="55"/>
    </x:row>
    <x:row r="31">
      <x:c r="A31" s="61" t="str">
        <x:v>关键解释</x:v>
      </x:c>
      <x:c r="B31" s="61"/>
      <x:c r="C31" s="61"/>
      <x:c r="D31" s="61"/>
      <x:c r="E31" s="61"/>
      <x:c r="F31" s="61"/>
      <x:c r="G31" s="61"/>
    </x:row>
    <x:row r="32">
      <x:c r="A32" s="62" t="str">
        <x:v>P/E 直接作用于归母净利润，避免现金与利息收益重复计值。</x:v>
      </x:c>
      <x:c r="B32" s="62"/>
      <x:c r="C32" s="62"/>
      <x:c r="D32" s="62"/>
      <x:c r="E32" s="62"/>
      <x:c r="F32" s="62"/>
      <x:c r="G32" s="62"/>
    </x:row>
    <x:row r="33">
      <x:c r="A33" s="62" t="str">
        <x:v>摊薄股本包含两期 H 股可转债、A 股期权和股份奖励的潜在影响。</x:v>
      </x:c>
      <x:c r="B33" s="62"/>
      <x:c r="C33" s="62"/>
      <x:c r="D33" s="62"/>
      <x:c r="E33" s="62"/>
      <x:c r="F33" s="62"/>
      <x:c r="G33" s="62"/>
    </x:row>
    <x:row r="34">
      <x:c r="A34" s="62" t="str">
        <x:v>Base 需要 2027 年利润约 520 亿元，较 2025 年增长约 18%。</x:v>
      </x:c>
      <x:c r="B34" s="62"/>
      <x:c r="C34" s="62"/>
      <x:c r="D34" s="62"/>
      <x:c r="E34" s="62"/>
      <x:c r="F34" s="62"/>
      <x:c r="G34" s="62"/>
    </x:row>
    <x:row r="35">
      <x:c r="A35" s="62" t="str">
        <x:v>估值对净利润和 P/E 都敏感，情景价值不是短期价格承诺。</x:v>
      </x:c>
      <x:c r="B35" s="62"/>
      <x:c r="C35" s="62"/>
      <x:c r="D35" s="62"/>
      <x:c r="E35" s="62"/>
      <x:c r="F35" s="62"/>
      <x:c r="G35" s="62"/>
    </x:row>
    <x:row r="36">
      <x:c r="A36" s="55"/>
      <x:c r="B36" s="55"/>
      <x:c r="C36" s="55"/>
      <x:c r="D36" s="55"/>
      <x:c r="E36" s="55"/>
      <x:c r="F36" s="55"/>
      <x:c r="G36" s="55"/>
    </x:row>
    <x:row r="37">
      <x:c r="A37" s="55"/>
      <x:c r="B37" s="55"/>
      <x:c r="C37" s="55"/>
      <x:c r="D37" s="55"/>
      <x:c r="E37" s="55"/>
      <x:c r="F37" s="55"/>
      <x:c r="G37" s="55"/>
    </x:row>
    <x:row r="38">
      <x:c r="A38" s="55"/>
      <x:c r="B38" s="55"/>
      <x:c r="C38" s="55"/>
      <x:c r="D38" s="55"/>
      <x:c r="E38" s="55"/>
      <x:c r="F38" s="55"/>
      <x:c r="G38" s="55"/>
    </x:row>
    <x:row r="39">
      <x:c r="A39" s="55"/>
      <x:c r="B39" s="55"/>
      <x:c r="C39" s="55"/>
      <x:c r="D39" s="55"/>
      <x:c r="E39" s="55"/>
      <x:c r="F39" s="55"/>
      <x:c r="G39" s="55"/>
    </x:row>
    <x:row r="40">
      <x:c r="A40" s="55"/>
      <x:c r="B40" s="55"/>
      <x:c r="C40" s="55"/>
      <x:c r="D40" s="55"/>
      <x:c r="E40" s="55"/>
      <x:c r="F40" s="55"/>
      <x:c r="G40" s="55"/>
    </x:row>
    <x:row r="41">
      <x:c r="A41" s="55"/>
      <x:c r="B41" s="55"/>
      <x:c r="C41" s="55"/>
      <x:c r="D41" s="55"/>
      <x:c r="E41" s="55"/>
      <x:c r="F41" s="55"/>
      <x:c r="G41" s="55"/>
    </x:row>
    <x:row r="42">
      <x:c r="A42" s="55"/>
      <x:c r="B42" s="55"/>
      <x:c r="C42" s="55"/>
      <x:c r="D42" s="55"/>
      <x:c r="E42" s="55"/>
      <x:c r="F42" s="55"/>
      <x:c r="G42" s="55"/>
    </x:row>
    <x:row r="43">
      <x:c r="A43" s="55"/>
      <x:c r="B43" s="55"/>
      <x:c r="C43" s="55"/>
      <x:c r="D43" s="55"/>
      <x:c r="E43" s="55"/>
      <x:c r="F43" s="55"/>
      <x:c r="G43" s="55"/>
    </x:row>
    <x:row r="44">
      <x:c r="A44" s="55"/>
      <x:c r="B44" s="55"/>
      <x:c r="C44" s="55"/>
      <x:c r="D44" s="55"/>
      <x:c r="E44" s="55"/>
      <x:c r="F44" s="55"/>
      <x:c r="G44" s="55"/>
    </x:row>
    <x:row r="45">
      <x:c r="A45" s="55"/>
      <x:c r="B45" s="55"/>
      <x:c r="C45" s="55"/>
      <x:c r="D45" s="55"/>
      <x:c r="E45" s="55"/>
      <x:c r="F45" s="55"/>
      <x:c r="G45" s="55"/>
    </x:row>
    <x:row r="46">
      <x:c r="A46" s="55"/>
      <x:c r="B46" s="55"/>
      <x:c r="C46" s="55"/>
      <x:c r="D46" s="55"/>
      <x:c r="E46" s="55"/>
      <x:c r="F46" s="55"/>
      <x:c r="G46" s="55"/>
    </x:row>
    <x:row r="47">
      <x:c r="A47" s="55"/>
      <x:c r="B47" s="55"/>
      <x:c r="C47" s="55"/>
      <x:c r="D47" s="55"/>
      <x:c r="E47" s="55"/>
      <x:c r="F47" s="55"/>
      <x:c r="G47" s="55"/>
    </x:row>
    <x:row r="48">
      <x:c r="A48" s="55"/>
      <x:c r="B48" s="55"/>
      <x:c r="C48" s="55"/>
      <x:c r="D48" s="55"/>
      <x:c r="E48" s="55"/>
      <x:c r="F48" s="55"/>
      <x:c r="G48" s="55"/>
    </x:row>
    <x:row r="49">
      <x:c r="A49" s="55"/>
      <x:c r="B49" s="55"/>
      <x:c r="C49" s="55"/>
      <x:c r="D49" s="55"/>
      <x:c r="E49" s="55"/>
      <x:c r="F49" s="55"/>
      <x:c r="G49" s="55"/>
    </x:row>
    <x:row r="50">
      <x:c r="A50" s="55"/>
      <x:c r="B50" s="55"/>
      <x:c r="C50" s="55"/>
      <x:c r="D50" s="55"/>
      <x:c r="E50" s="55"/>
      <x:c r="F50" s="55"/>
      <x:c r="G50" s="55"/>
    </x:row>
    <x:row r="51">
      <x:c r="A51" s="55"/>
      <x:c r="B51" s="55"/>
      <x:c r="C51" s="55"/>
      <x:c r="D51" s="55"/>
      <x:c r="E51" s="55"/>
      <x:c r="F51" s="55"/>
      <x:c r="G51" s="55"/>
    </x:row>
    <x:row r="52">
      <x:c r="A52" s="55"/>
      <x:c r="B52" s="55"/>
      <x:c r="C52" s="55"/>
      <x:c r="D52" s="55"/>
      <x:c r="E52" s="55"/>
      <x:c r="F52" s="55"/>
      <x:c r="G52" s="55"/>
    </x:row>
    <x:row r="53">
      <x:c r="A53" s="55"/>
      <x:c r="B53" s="55"/>
      <x:c r="C53" s="55"/>
      <x:c r="D53" s="55"/>
      <x:c r="E53" s="55"/>
      <x:c r="F53" s="55"/>
      <x:c r="G53" s="55"/>
    </x:row>
    <x:row r="54">
      <x:c r="A54" s="55"/>
      <x:c r="B54" s="55"/>
      <x:c r="C54" s="55"/>
      <x:c r="D54" s="55"/>
      <x:c r="E54" s="55"/>
      <x:c r="F54" s="55"/>
      <x:c r="G54" s="55"/>
    </x:row>
    <x:row r="55">
      <x:c r="A55" s="55"/>
      <x:c r="B55" s="55"/>
      <x:c r="C55" s="55"/>
      <x:c r="D55" s="55"/>
      <x:c r="E55" s="55"/>
      <x:c r="F55" s="55"/>
      <x:c r="G55" s="55"/>
    </x:row>
    <x:row r="56">
      <x:c r="A56" s="55"/>
      <x:c r="B56" s="55"/>
      <x:c r="C56" s="55"/>
      <x:c r="D56" s="55"/>
      <x:c r="E56" s="55"/>
      <x:c r="F56" s="55"/>
      <x:c r="G56" s="55"/>
    </x:row>
    <x:row r="57">
      <x:c r="A57" s="55"/>
      <x:c r="B57" s="55"/>
      <x:c r="C57" s="55"/>
      <x:c r="D57" s="55"/>
      <x:c r="E57" s="55"/>
      <x:c r="F57" s="55"/>
      <x:c r="G57" s="55"/>
    </x:row>
    <x:row r="58">
      <x:c r="A58" s="55"/>
      <x:c r="B58" s="55"/>
      <x:c r="C58" s="55"/>
      <x:c r="D58" s="55"/>
      <x:c r="E58" s="55"/>
      <x:c r="F58" s="55"/>
      <x:c r="G58" s="55"/>
    </x:row>
    <x:row r="59">
      <x:c r="A59" s="55"/>
      <x:c r="B59" s="55"/>
      <x:c r="C59" s="55"/>
      <x:c r="D59" s="55"/>
      <x:c r="E59" s="55"/>
      <x:c r="F59" s="55"/>
      <x:c r="G59" s="55"/>
    </x:row>
    <x:row r="60">
      <x:c r="A60" s="55"/>
      <x:c r="B60" s="55"/>
      <x:c r="C60" s="55"/>
      <x:c r="D60" s="55"/>
      <x:c r="E60" s="55"/>
      <x:c r="F60" s="55"/>
      <x:c r="G60" s="55"/>
    </x:row>
    <x:row r="61">
      <x:c r="A61" s="55"/>
      <x:c r="B61" s="55"/>
      <x:c r="C61" s="55"/>
      <x:c r="D61" s="55"/>
      <x:c r="E61" s="55"/>
      <x:c r="F61" s="55"/>
      <x:c r="G61" s="55"/>
    </x:row>
    <x:row r="62">
      <x:c r="A62" s="55"/>
      <x:c r="B62" s="55"/>
      <x:c r="C62" s="55"/>
      <x:c r="D62" s="55"/>
      <x:c r="E62" s="55"/>
      <x:c r="F62" s="55"/>
      <x:c r="G62" s="55"/>
    </x:row>
    <x:row r="63">
      <x:c r="A63" s="55"/>
      <x:c r="B63" s="55"/>
      <x:c r="C63" s="55"/>
      <x:c r="D63" s="55"/>
      <x:c r="E63" s="55"/>
      <x:c r="F63" s="55"/>
      <x:c r="G63" s="55"/>
    </x:row>
    <x:row r="64">
      <x:c r="A64" s="55"/>
      <x:c r="B64" s="55"/>
      <x:c r="C64" s="55"/>
      <x:c r="D64" s="55"/>
      <x:c r="E64" s="55"/>
      <x:c r="F64" s="55"/>
      <x:c r="G64" s="55"/>
    </x:row>
    <x:row r="65">
      <x:c r="A65" s="55"/>
      <x:c r="B65" s="55"/>
      <x:c r="C65" s="55"/>
      <x:c r="D65" s="55"/>
      <x:c r="E65" s="55"/>
      <x:c r="F65" s="55"/>
      <x:c r="G65" s="55"/>
    </x:row>
    <x:row r="66">
      <x:c r="A66" s="55"/>
      <x:c r="B66" s="55"/>
      <x:c r="C66" s="55"/>
      <x:c r="D66" s="55"/>
      <x:c r="E66" s="55"/>
      <x:c r="F66" s="55"/>
      <x:c r="G66" s="55"/>
    </x:row>
    <x:row r="67">
      <x:c r="A67" s="55"/>
      <x:c r="B67" s="55"/>
      <x:c r="C67" s="55"/>
      <x:c r="D67" s="55"/>
      <x:c r="E67" s="55"/>
      <x:c r="F67" s="55"/>
      <x:c r="G67" s="55"/>
    </x:row>
    <x:row r="68">
      <x:c r="A68" s="55"/>
      <x:c r="B68" s="55"/>
      <x:c r="C68" s="55"/>
      <x:c r="D68" s="55"/>
      <x:c r="E68" s="55"/>
      <x:c r="F68" s="55"/>
      <x:c r="G68" s="55"/>
    </x:row>
    <x:row r="69">
      <x:c r="A69" s="55"/>
      <x:c r="B69" s="55"/>
      <x:c r="C69" s="55"/>
      <x:c r="D69" s="55"/>
      <x:c r="E69" s="55"/>
      <x:c r="F69" s="55"/>
      <x:c r="G69" s="55"/>
    </x:row>
    <x:row r="70">
      <x:c r="A70" s="55"/>
      <x:c r="B70" s="55"/>
      <x:c r="C70" s="55"/>
      <x:c r="D70" s="55"/>
      <x:c r="E70" s="55"/>
      <x:c r="F70" s="55"/>
      <x:c r="G70" s="55"/>
    </x:row>
    <x:row r="71">
      <x:c r="A71" s="55"/>
      <x:c r="B71" s="55"/>
      <x:c r="C71" s="55"/>
      <x:c r="D71" s="55"/>
      <x:c r="E71" s="55"/>
      <x:c r="F71" s="55"/>
      <x:c r="G71" s="55"/>
    </x:row>
    <x:row r="72">
      <x:c r="A72" s="55"/>
      <x:c r="B72" s="55"/>
      <x:c r="C72" s="55"/>
      <x:c r="D72" s="55"/>
      <x:c r="E72" s="55"/>
      <x:c r="F72" s="55"/>
      <x:c r="G72" s="55"/>
    </x:row>
    <x:row r="73">
      <x:c r="A73" s="55"/>
      <x:c r="B73" s="55"/>
      <x:c r="C73" s="55"/>
      <x:c r="D73" s="55"/>
      <x:c r="E73" s="55"/>
      <x:c r="F73" s="55"/>
      <x:c r="G73" s="55"/>
    </x:row>
    <x:row r="74">
      <x:c r="A74" s="55"/>
      <x:c r="B74" s="55"/>
      <x:c r="C74" s="55"/>
      <x:c r="D74" s="55"/>
      <x:c r="E74" s="55"/>
      <x:c r="F74" s="55"/>
      <x:c r="G74" s="55"/>
    </x:row>
    <x:row r="75">
      <x:c r="A75" s="55"/>
      <x:c r="B75" s="55"/>
      <x:c r="C75" s="55"/>
      <x:c r="D75" s="55"/>
      <x:c r="E75" s="55"/>
      <x:c r="F75" s="55"/>
      <x:c r="G75" s="55"/>
    </x:row>
    <x:row r="76">
      <x:c r="A76" s="55"/>
      <x:c r="B76" s="55"/>
      <x:c r="C76" s="55"/>
      <x:c r="D76" s="55"/>
      <x:c r="E76" s="55"/>
      <x:c r="F76" s="55"/>
      <x:c r="G76" s="55"/>
    </x:row>
    <x:row r="77">
      <x:c r="A77" s="55"/>
      <x:c r="B77" s="55"/>
      <x:c r="C77" s="55"/>
      <x:c r="D77" s="55"/>
      <x:c r="E77" s="55"/>
      <x:c r="F77" s="55"/>
      <x:c r="G77" s="55"/>
    </x:row>
    <x:row r="78">
      <x:c r="A78" s="55"/>
      <x:c r="B78" s="55"/>
      <x:c r="C78" s="55"/>
      <x:c r="D78" s="55"/>
      <x:c r="E78" s="55"/>
      <x:c r="F78" s="55"/>
      <x:c r="G78" s="55"/>
    </x:row>
    <x:row r="79">
      <x:c r="A79" s="55"/>
      <x:c r="B79" s="55"/>
      <x:c r="C79" s="55"/>
      <x:c r="D79" s="55"/>
      <x:c r="E79" s="55"/>
      <x:c r="F79" s="55"/>
      <x:c r="G79" s="55"/>
    </x:row>
    <x:row r="80">
      <x:c r="A80" s="55"/>
      <x:c r="B80" s="55"/>
      <x:c r="C80" s="55"/>
      <x:c r="D80" s="55"/>
      <x:c r="E80" s="55"/>
      <x:c r="F80" s="55"/>
      <x:c r="G80" s="55"/>
    </x:row>
    <x:row r="81">
      <x:c r="A81" s="55"/>
      <x:c r="B81" s="55"/>
      <x:c r="C81" s="55"/>
      <x:c r="D81" s="55"/>
      <x:c r="E81" s="55"/>
      <x:c r="F81" s="55"/>
      <x:c r="G81" s="55"/>
    </x:row>
    <x:row r="82">
      <x:c r="A82" s="55"/>
      <x:c r="B82" s="55"/>
      <x:c r="C82" s="55"/>
      <x:c r="D82" s="55"/>
      <x:c r="E82" s="55"/>
      <x:c r="F82" s="55"/>
      <x:c r="G82" s="55"/>
    </x:row>
    <x:row r="83">
      <x:c r="A83" s="55"/>
      <x:c r="B83" s="55"/>
      <x:c r="C83" s="55"/>
      <x:c r="D83" s="55"/>
      <x:c r="E83" s="55"/>
      <x:c r="F83" s="55"/>
      <x:c r="G83" s="55"/>
    </x:row>
    <x:row r="84">
      <x:c r="A84" s="55"/>
      <x:c r="B84" s="55"/>
      <x:c r="C84" s="55"/>
      <x:c r="D84" s="55"/>
      <x:c r="E84" s="55"/>
      <x:c r="F84" s="55"/>
      <x:c r="G84" s="55"/>
    </x:row>
    <x:row r="85">
      <x:c r="A85" s="55"/>
      <x:c r="B85" s="55"/>
      <x:c r="C85" s="55"/>
      <x:c r="D85" s="55"/>
      <x:c r="E85" s="55"/>
      <x:c r="F85" s="55"/>
      <x:c r="G85" s="55"/>
    </x:row>
    <x:row r="86">
      <x:c r="A86" s="55"/>
      <x:c r="B86" s="55"/>
      <x:c r="C86" s="55"/>
      <x:c r="D86" s="55"/>
      <x:c r="E86" s="55"/>
      <x:c r="F86" s="55"/>
      <x:c r="G86" s="55"/>
    </x:row>
    <x:row r="87">
      <x:c r="A87" s="55"/>
      <x:c r="B87" s="55"/>
      <x:c r="C87" s="55"/>
      <x:c r="D87" s="55"/>
      <x:c r="E87" s="55"/>
      <x:c r="F87" s="55"/>
      <x:c r="G87" s="55"/>
    </x:row>
    <x:row r="88">
      <x:c r="A88" s="55"/>
      <x:c r="B88" s="55"/>
      <x:c r="C88" s="55"/>
      <x:c r="D88" s="55"/>
      <x:c r="E88" s="55"/>
      <x:c r="F88" s="55"/>
      <x:c r="G88" s="55"/>
    </x:row>
    <x:row r="89">
      <x:c r="A89" s="55"/>
      <x:c r="B89" s="55"/>
      <x:c r="C89" s="55"/>
      <x:c r="D89" s="55"/>
      <x:c r="E89" s="55"/>
      <x:c r="F89" s="55"/>
      <x:c r="G89" s="55"/>
    </x:row>
    <x:row r="90">
      <x:c r="A90" s="55"/>
      <x:c r="B90" s="55"/>
      <x:c r="C90" s="55"/>
      <x:c r="D90" s="55"/>
      <x:c r="E90" s="55"/>
      <x:c r="F90" s="55"/>
      <x:c r="G90" s="55"/>
    </x:row>
  </x:sheetData>
  <x:mergeCells>
    <x:mergeCell ref="A1:G2"/>
    <x:mergeCell ref="A3:G3"/>
    <x:mergeCell ref="A5:G5"/>
    <x:mergeCell ref="A15:G15"/>
    <x:mergeCell ref="A31:G31"/>
    <x:mergeCell ref="A32:G32"/>
    <x:mergeCell ref="A33:G33"/>
    <x:mergeCell ref="A34:G34"/>
    <x:mergeCell ref="A35:G3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6708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15" hidden="0" customWidth="1"/>
    <x:col min="4" max="4" width="15" hidden="0" customWidth="1"/>
    <x:col min="5" max="5" width="3" hidden="0" customWidth="1"/>
    <x:col min="6" max="6" width="3" hidden="0" customWidth="1"/>
  </x:cols>
  <x:sheetData>
    <x:row r="1">
      <x:c r="A1" s="4" t="str">
        <x:v>模型检查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6" t="str">
        <x:v>差异显示为 0.00；检查表不参与估值计算</x:v>
      </x:c>
      <x:c r="B3" s="6"/>
      <x:c r="C3" s="6"/>
      <x:c r="D3" s="6"/>
      <x:c r="E3" s="6"/>
      <x:c r="F3" s="6"/>
    </x:row>
    <x:row r="4">
      <x:c r="A4" s="55"/>
      <x:c r="B4" s="55"/>
      <x:c r="C4" s="55"/>
      <x:c r="D4" s="55"/>
      <x:c r="E4" s="55"/>
      <x:c r="F4" s="55"/>
    </x:row>
    <x:row r="5">
      <x:c r="A5" s="14" t="str">
        <x:v>检查</x:v>
      </x:c>
      <x:c r="B5" s="14" t="str">
        <x:v>结果/差异</x:v>
      </x:c>
      <x:c r="C5" s="14" t="str">
        <x:v>容差</x:v>
      </x:c>
      <x:c r="D5" s="14" t="str">
        <x:v>状态</x:v>
      </x:c>
      <x:c r="E5" s="55"/>
      <x:c r="F5" s="55"/>
    </x:row>
    <x:row r="6">
      <x:c r="A6" s="55"/>
      <x:c r="B6" s="55"/>
      <x:c r="C6" s="55"/>
      <x:c r="D6" s="55"/>
      <x:c r="E6" s="55"/>
      <x:c r="F6" s="55"/>
    </x:row>
    <x:row r="7">
      <x:c r="A7" s="56" t="str">
        <x:v>2025 业务收入合计</x:v>
      </x:c>
      <x:c r="B7" s="70" t="n">
        <x:f>'Businesses'!B15-'Historical'!E8</x:f>
        <x:v>0</x:v>
      </x:c>
      <x:c r="C7" s="70" t="n">
        <x:v>0.01</x:v>
      </x:c>
      <x:c r="D7" s="71" t="str">
        <x:f>IF(ABS(B7)&lt;=C7,"OK","CHECK")</x:f>
        <x:v>OK</x:v>
      </x:c>
      <x:c r="E7" s="55"/>
      <x:c r="F7" s="55"/>
    </x:row>
    <x:row r="8">
      <x:c r="A8" s="56" t="str">
        <x:v>2026H1 业务收入合计</x:v>
      </x:c>
      <x:c r="B8" s="70" t="n">
        <x:f>'Businesses'!E15-261.052379</x:f>
        <x:v>5.684341886080802e-14</x:v>
      </x:c>
      <x:c r="C8" s="70" t="n">
        <x:v>0.01</x:v>
      </x:c>
      <x:c r="D8" s="71" t="str">
        <x:f>IF(ABS(B8)&lt;=C8,"OK","CHECK")</x:f>
        <x:v>OK</x:v>
      </x:c>
      <x:c r="E8" s="55"/>
      <x:c r="F8" s="55"/>
    </x:row>
    <x:row r="9">
      <x:c r="A9" s="56" t="str">
        <x:v>2025 地区收入合计</x:v>
      </x:c>
      <x:c r="B9" s="70" t="n">
        <x:f>'Businesses'!B23-458.502407</x:f>
        <x:v>-5.684341886080802e-14</x:v>
      </x:c>
      <x:c r="C9" s="70" t="n">
        <x:v>0.01</x:v>
      </x:c>
      <x:c r="D9" s="71" t="str">
        <x:f>IF(ABS(B9)&lt;=C9,"OK","CHECK")</x:f>
        <x:v>OK</x:v>
      </x:c>
      <x:c r="E9" s="55"/>
      <x:c r="F9" s="55"/>
    </x:row>
    <x:row r="10">
      <x:c r="A10" s="56" t="str">
        <x:v>2026H1 地区收入合计</x:v>
      </x:c>
      <x:c r="B10" s="70" t="n">
        <x:f>'Businesses'!D23-261.052379</x:f>
        <x:v>0</x:v>
      </x:c>
      <x:c r="C10" s="70" t="n">
        <x:v>0.01</x:v>
      </x:c>
      <x:c r="D10" s="71" t="str">
        <x:f>IF(ABS(B10)&lt;=C10,"OK","CHECK")</x:f>
        <x:v>OK</x:v>
      </x:c>
      <x:c r="E10" s="55"/>
      <x:c r="F10" s="55"/>
    </x:row>
    <x:row r="11">
      <x:c r="A11" s="56" t="str">
        <x:v>商业及工业解决方案 2025 分项</x:v>
      </x:c>
      <x:c r="B11" s="70" t="n">
        <x:f>SUM('Businesses'!B10:B13)-'Businesses'!B9</x:f>
        <x:v>-1.4210854715202004e-14</x:v>
      </x:c>
      <x:c r="C11" s="70" t="n">
        <x:v>0.01</x:v>
      </x:c>
      <x:c r="D11" s="71" t="str">
        <x:f>IF(ABS(B11)&lt;=C11,"OK","CHECK")</x:f>
        <x:v>OK</x:v>
      </x:c>
      <x:c r="E11" s="55"/>
      <x:c r="F11" s="55"/>
    </x:row>
    <x:row r="12">
      <x:c r="A12" s="56" t="str">
        <x:v>商业及工业解决方案 2026H1 分项</x:v>
      </x:c>
      <x:c r="B12" s="70" t="n">
        <x:f>SUM('Businesses'!E10:E13)-'Businesses'!E9</x:f>
        <x:v>0</x:v>
      </x:c>
      <x:c r="C12" s="70" t="n">
        <x:v>0.01</x:v>
      </x:c>
      <x:c r="D12" s="71" t="str">
        <x:f>IF(ABS(B12)&lt;=C12,"OK","CHECK")</x:f>
        <x:v>OK</x:v>
      </x:c>
      <x:c r="E12" s="55"/>
      <x:c r="F12" s="55"/>
    </x:row>
    <x:row r="13">
      <x:c r="A13" s="56" t="str">
        <x:v>经济股本桥</x:v>
      </x:c>
      <x:c r="B13" s="70" t="n">
        <x:f>'Valuation'!B8-('Assumptions'!B11-'Assumptions'!B12+'Assumptions'!B13)</x:f>
        <x:v>0</x:v>
      </x:c>
      <x:c r="C13" s="70" t="n">
        <x:v>0.001</x:v>
      </x:c>
      <x:c r="D13" s="71" t="str">
        <x:f>IF(ABS(B13)&lt;=C13,"OK","CHECK")</x:f>
        <x:v>OK</x:v>
      </x:c>
      <x:c r="E13" s="55"/>
      <x:c r="F13" s="55"/>
    </x:row>
    <x:row r="14">
      <x:c r="A14" s="56" t="str">
        <x:v>概率合计</x:v>
      </x:c>
      <x:c r="B14" s="70" t="n">
        <x:f>SUM('Assumptions'!B21:D21)-1</x:f>
        <x:v>0</x:v>
      </x:c>
      <x:c r="C14" s="70" t="n">
        <x:v>0.0001</x:v>
      </x:c>
      <x:c r="D14" s="71" t="str">
        <x:f>IF(ABS(B14)&lt;=C14,"OK","CHECK")</x:f>
        <x:v>OK</x:v>
      </x:c>
      <x:c r="E14" s="55"/>
      <x:c r="F14" s="55"/>
    </x:row>
    <x:row r="15">
      <x:c r="A15" s="56" t="str">
        <x:v>基准价值重算</x:v>
      </x:c>
      <x:c r="B15" s="70" t="n">
        <x:f>'Valuation'!C20-('Assumptions'!C22*'Assumptions'!C23*1000/'Assumptions'!B14)</x:f>
        <x:v>0</x:v>
      </x:c>
      <x:c r="C15" s="70" t="n">
        <x:v>0.01</x:v>
      </x:c>
      <x:c r="D15" s="71" t="str">
        <x:f>IF(ABS(B15)&lt;=C15,"OK","CHECK")</x:f>
        <x:v>OK</x:v>
      </x:c>
      <x:c r="E15" s="55"/>
      <x:c r="F15" s="55"/>
    </x:row>
    <x:row r="16">
      <x:c r="A16" s="56" t="str">
        <x:v>滚动归母利润重算</x:v>
      </x:c>
      <x:c r="B16" s="70" t="n">
        <x:f>'Historical'!C27-('Historical'!E11-'Historical'!F11+'Historical'!G11)</x:f>
        <x:v>0</x:v>
      </x:c>
      <x:c r="C16" s="70" t="n">
        <x:v>0.01</x:v>
      </x:c>
      <x:c r="D16" s="71" t="str">
        <x:f>IF(ABS(B16)&lt;=C16,"OK","CHECK")</x:f>
        <x:v>OK</x:v>
      </x:c>
      <x:c r="E16" s="55"/>
      <x:c r="F16" s="55"/>
    </x:row>
    <x:row r="17">
      <x:c r="A17" s="55"/>
      <x:c r="B17" s="55"/>
      <x:c r="C17" s="55"/>
      <x:c r="D17" s="55"/>
      <x:c r="E17" s="55"/>
      <x:c r="F17" s="55"/>
    </x:row>
    <x:row r="18">
      <x:c r="A18" s="55"/>
      <x:c r="B18" s="55"/>
      <x:c r="C18" s="55"/>
      <x:c r="D18" s="55"/>
      <x:c r="E18" s="55"/>
      <x:c r="F18" s="55"/>
    </x:row>
    <x:row r="19">
      <x:c r="A19" s="61" t="str">
        <x:v>检查说明</x:v>
      </x:c>
      <x:c r="B19" s="61"/>
      <x:c r="C19" s="61"/>
      <x:c r="D19" s="61"/>
      <x:c r="E19" s="61"/>
      <x:c r="F19" s="61"/>
    </x:row>
    <x:row r="20">
      <x:c r="A20" s="62" t="str">
        <x:v>所有检查均为终端读数，不向历史、预测或估值表回写。</x:v>
      </x:c>
      <x:c r="B20" s="62"/>
      <x:c r="C20" s="62"/>
      <x:c r="D20" s="62"/>
      <x:c r="E20" s="62"/>
      <x:c r="F20" s="62"/>
    </x:row>
    <x:row r="21">
      <x:c r="A21" s="62" t="str">
        <x:v>模型需要在修改情景利润、P/E 或摊薄股本后重新计算。</x:v>
      </x:c>
      <x:c r="B21" s="62"/>
      <x:c r="C21" s="62"/>
      <x:c r="D21" s="62"/>
      <x:c r="E21" s="62"/>
      <x:c r="F21" s="62"/>
    </x:row>
    <x:row r="22">
      <x:c r="A22" s="62" t="str">
        <x:v>扣非利润会受汇兑与对冲分类影响，未设置扣非利润估值检查。</x:v>
      </x:c>
      <x:c r="B22" s="62"/>
      <x:c r="C22" s="62"/>
      <x:c r="D22" s="62"/>
      <x:c r="E22" s="62"/>
      <x:c r="F22" s="62"/>
    </x:row>
    <x:row r="23">
      <x:c r="A23" s="55"/>
      <x:c r="B23" s="55"/>
      <x:c r="C23" s="55"/>
      <x:c r="D23" s="55"/>
      <x:c r="E23" s="55"/>
      <x:c r="F23" s="55"/>
    </x:row>
    <x:row r="24">
      <x:c r="A24" s="55"/>
      <x:c r="B24" s="55"/>
      <x:c r="C24" s="55"/>
      <x:c r="D24" s="55"/>
      <x:c r="E24" s="55"/>
      <x:c r="F24" s="55"/>
    </x:row>
    <x:row r="25">
      <x:c r="A25" s="55"/>
      <x:c r="B25" s="55"/>
      <x:c r="C25" s="55"/>
      <x:c r="D25" s="55"/>
      <x:c r="E25" s="55"/>
      <x:c r="F25" s="55"/>
    </x:row>
    <x:row r="26">
      <x:c r="A26" s="55"/>
      <x:c r="B26" s="55"/>
      <x:c r="C26" s="55"/>
      <x:c r="D26" s="55"/>
      <x:c r="E26" s="55"/>
      <x:c r="F26" s="55"/>
    </x:row>
    <x:row r="27">
      <x:c r="A27" s="55"/>
      <x:c r="B27" s="55"/>
      <x:c r="C27" s="55"/>
      <x:c r="D27" s="55"/>
      <x:c r="E27" s="55"/>
      <x:c r="F27" s="55"/>
    </x:row>
    <x:row r="28">
      <x:c r="A28" s="55"/>
      <x:c r="B28" s="55"/>
      <x:c r="C28" s="55"/>
      <x:c r="D28" s="55"/>
      <x:c r="E28" s="55"/>
      <x:c r="F28" s="55"/>
    </x:row>
    <x:row r="29">
      <x:c r="A29" s="55"/>
      <x:c r="B29" s="55"/>
      <x:c r="C29" s="55"/>
      <x:c r="D29" s="55"/>
      <x:c r="E29" s="55"/>
      <x:c r="F29" s="55"/>
    </x:row>
    <x:row r="30">
      <x:c r="A30" s="55"/>
      <x:c r="B30" s="55"/>
      <x:c r="C30" s="55"/>
      <x:c r="D30" s="55"/>
      <x:c r="E30" s="55"/>
      <x:c r="F30" s="55"/>
    </x:row>
    <x:row r="31">
      <x:c r="A31" s="55"/>
      <x:c r="B31" s="55"/>
      <x:c r="C31" s="55"/>
      <x:c r="D31" s="55"/>
      <x:c r="E31" s="55"/>
      <x:c r="F31" s="55"/>
    </x:row>
    <x:row r="32">
      <x:c r="A32" s="55"/>
      <x:c r="B32" s="55"/>
      <x:c r="C32" s="55"/>
      <x:c r="D32" s="55"/>
      <x:c r="E32" s="55"/>
      <x:c r="F32" s="55"/>
    </x:row>
    <x:row r="33">
      <x:c r="A33" s="55"/>
      <x:c r="B33" s="55"/>
      <x:c r="C33" s="55"/>
      <x:c r="D33" s="55"/>
      <x:c r="E33" s="55"/>
      <x:c r="F33" s="55"/>
    </x:row>
    <x:row r="34">
      <x:c r="A34" s="55"/>
      <x:c r="B34" s="55"/>
      <x:c r="C34" s="55"/>
      <x:c r="D34" s="55"/>
      <x:c r="E34" s="55"/>
      <x:c r="F34" s="55"/>
    </x:row>
    <x:row r="35">
      <x:c r="A35" s="55"/>
      <x:c r="B35" s="55"/>
      <x:c r="C35" s="55"/>
      <x:c r="D35" s="55"/>
      <x:c r="E35" s="55"/>
      <x:c r="F35" s="55"/>
    </x:row>
    <x:row r="36">
      <x:c r="A36" s="55"/>
      <x:c r="B36" s="55"/>
      <x:c r="C36" s="55"/>
      <x:c r="D36" s="55"/>
      <x:c r="E36" s="55"/>
      <x:c r="F36" s="55"/>
    </x:row>
    <x:row r="37">
      <x:c r="A37" s="55"/>
      <x:c r="B37" s="55"/>
      <x:c r="C37" s="55"/>
      <x:c r="D37" s="55"/>
      <x:c r="E37" s="55"/>
      <x:c r="F37" s="55"/>
    </x:row>
    <x:row r="38">
      <x:c r="A38" s="55"/>
      <x:c r="B38" s="55"/>
      <x:c r="C38" s="55"/>
      <x:c r="D38" s="55"/>
      <x:c r="E38" s="55"/>
      <x:c r="F38" s="55"/>
    </x:row>
    <x:row r="39">
      <x:c r="A39" s="55"/>
      <x:c r="B39" s="55"/>
      <x:c r="C39" s="55"/>
      <x:c r="D39" s="55"/>
      <x:c r="E39" s="55"/>
      <x:c r="F39" s="55"/>
    </x:row>
    <x:row r="40">
      <x:c r="A40" s="55"/>
      <x:c r="B40" s="55"/>
      <x:c r="C40" s="55"/>
      <x:c r="D40" s="55"/>
      <x:c r="E40" s="55"/>
      <x:c r="F40" s="55"/>
    </x:row>
    <x:row r="41">
      <x:c r="A41" s="55"/>
      <x:c r="B41" s="55"/>
      <x:c r="C41" s="55"/>
      <x:c r="D41" s="55"/>
      <x:c r="E41" s="55"/>
      <x:c r="F41" s="55"/>
    </x:row>
    <x:row r="42">
      <x:c r="A42" s="55"/>
      <x:c r="B42" s="55"/>
      <x:c r="C42" s="55"/>
      <x:c r="D42" s="55"/>
      <x:c r="E42" s="55"/>
      <x:c r="F42" s="55"/>
    </x:row>
    <x:row r="43">
      <x:c r="A43" s="55"/>
      <x:c r="B43" s="55"/>
      <x:c r="C43" s="55"/>
      <x:c r="D43" s="55"/>
      <x:c r="E43" s="55"/>
      <x:c r="F43" s="55"/>
    </x:row>
    <x:row r="44">
      <x:c r="A44" s="55"/>
      <x:c r="B44" s="55"/>
      <x:c r="C44" s="55"/>
      <x:c r="D44" s="55"/>
      <x:c r="E44" s="55"/>
      <x:c r="F44" s="55"/>
    </x:row>
    <x:row r="45">
      <x:c r="A45" s="55"/>
      <x:c r="B45" s="55"/>
      <x:c r="C45" s="55"/>
      <x:c r="D45" s="55"/>
      <x:c r="E45" s="55"/>
      <x:c r="F45" s="55"/>
    </x:row>
    <x:row r="46">
      <x:c r="A46" s="55"/>
      <x:c r="B46" s="55"/>
      <x:c r="C46" s="55"/>
      <x:c r="D46" s="55"/>
      <x:c r="E46" s="55"/>
      <x:c r="F46" s="55"/>
    </x:row>
    <x:row r="47">
      <x:c r="A47" s="55"/>
      <x:c r="B47" s="55"/>
      <x:c r="C47" s="55"/>
      <x:c r="D47" s="55"/>
      <x:c r="E47" s="55"/>
      <x:c r="F47" s="55"/>
    </x:row>
    <x:row r="48">
      <x:c r="A48" s="55"/>
      <x:c r="B48" s="55"/>
      <x:c r="C48" s="55"/>
      <x:c r="D48" s="55"/>
      <x:c r="E48" s="55"/>
      <x:c r="F48" s="55"/>
    </x:row>
    <x:row r="49">
      <x:c r="A49" s="55"/>
      <x:c r="B49" s="55"/>
      <x:c r="C49" s="55"/>
      <x:c r="D49" s="55"/>
      <x:c r="E49" s="55"/>
      <x:c r="F49" s="55"/>
    </x:row>
    <x:row r="50">
      <x:c r="A50" s="55"/>
      <x:c r="B50" s="55"/>
      <x:c r="C50" s="55"/>
      <x:c r="D50" s="55"/>
      <x:c r="E50" s="55"/>
      <x:c r="F50" s="55"/>
    </x:row>
    <x:row r="51">
      <x:c r="A51" s="55"/>
      <x:c r="B51" s="55"/>
      <x:c r="C51" s="55"/>
      <x:c r="D51" s="55"/>
      <x:c r="E51" s="55"/>
      <x:c r="F51" s="55"/>
    </x:row>
    <x:row r="52">
      <x:c r="A52" s="55"/>
      <x:c r="B52" s="55"/>
      <x:c r="C52" s="55"/>
      <x:c r="D52" s="55"/>
      <x:c r="E52" s="55"/>
      <x:c r="F52" s="55"/>
    </x:row>
    <x:row r="53">
      <x:c r="A53" s="55"/>
      <x:c r="B53" s="55"/>
      <x:c r="C53" s="55"/>
      <x:c r="D53" s="55"/>
      <x:c r="E53" s="55"/>
      <x:c r="F53" s="55"/>
    </x:row>
    <x:row r="54">
      <x:c r="A54" s="55"/>
      <x:c r="B54" s="55"/>
      <x:c r="C54" s="55"/>
      <x:c r="D54" s="55"/>
      <x:c r="E54" s="55"/>
      <x:c r="F54" s="55"/>
    </x:row>
    <x:row r="55">
      <x:c r="A55" s="55"/>
      <x:c r="B55" s="55"/>
      <x:c r="C55" s="55"/>
      <x:c r="D55" s="55"/>
      <x:c r="E55" s="55"/>
      <x:c r="F55" s="55"/>
    </x:row>
    <x:row r="56">
      <x:c r="A56" s="55"/>
      <x:c r="B56" s="55"/>
      <x:c r="C56" s="55"/>
      <x:c r="D56" s="55"/>
      <x:c r="E56" s="55"/>
      <x:c r="F56" s="55"/>
    </x:row>
    <x:row r="57">
      <x:c r="A57" s="55"/>
      <x:c r="B57" s="55"/>
      <x:c r="C57" s="55"/>
      <x:c r="D57" s="55"/>
      <x:c r="E57" s="55"/>
      <x:c r="F57" s="55"/>
    </x:row>
    <x:row r="58">
      <x:c r="A58" s="55"/>
      <x:c r="B58" s="55"/>
      <x:c r="C58" s="55"/>
      <x:c r="D58" s="55"/>
      <x:c r="E58" s="55"/>
      <x:c r="F58" s="55"/>
    </x:row>
    <x:row r="59">
      <x:c r="A59" s="55"/>
      <x:c r="B59" s="55"/>
      <x:c r="C59" s="55"/>
      <x:c r="D59" s="55"/>
      <x:c r="E59" s="55"/>
      <x:c r="F59" s="55"/>
    </x:row>
    <x:row r="60">
      <x:c r="A60" s="55"/>
      <x:c r="B60" s="55"/>
      <x:c r="C60" s="55"/>
      <x:c r="D60" s="55"/>
      <x:c r="E60" s="55"/>
      <x:c r="F60" s="55"/>
    </x:row>
    <x:row r="61">
      <x:c r="A61" s="55"/>
      <x:c r="B61" s="55"/>
      <x:c r="C61" s="55"/>
      <x:c r="D61" s="55"/>
      <x:c r="E61" s="55"/>
      <x:c r="F61" s="55"/>
    </x:row>
    <x:row r="62">
      <x:c r="A62" s="55"/>
      <x:c r="B62" s="55"/>
      <x:c r="C62" s="55"/>
      <x:c r="D62" s="55"/>
      <x:c r="E62" s="55"/>
      <x:c r="F62" s="55"/>
    </x:row>
    <x:row r="63">
      <x:c r="A63" s="55"/>
      <x:c r="B63" s="55"/>
      <x:c r="C63" s="55"/>
      <x:c r="D63" s="55"/>
      <x:c r="E63" s="55"/>
      <x:c r="F63" s="55"/>
    </x:row>
    <x:row r="64">
      <x:c r="A64" s="55"/>
      <x:c r="B64" s="55"/>
      <x:c r="C64" s="55"/>
      <x:c r="D64" s="55"/>
      <x:c r="E64" s="55"/>
      <x:c r="F64" s="55"/>
    </x:row>
    <x:row r="65">
      <x:c r="A65" s="55"/>
      <x:c r="B65" s="55"/>
      <x:c r="C65" s="55"/>
      <x:c r="D65" s="55"/>
      <x:c r="E65" s="55"/>
      <x:c r="F65" s="55"/>
    </x:row>
    <x:row r="66">
      <x:c r="A66" s="55"/>
      <x:c r="B66" s="55"/>
      <x:c r="C66" s="55"/>
      <x:c r="D66" s="55"/>
      <x:c r="E66" s="55"/>
      <x:c r="F66" s="55"/>
    </x:row>
    <x:row r="67">
      <x:c r="A67" s="55"/>
      <x:c r="B67" s="55"/>
      <x:c r="C67" s="55"/>
      <x:c r="D67" s="55"/>
      <x:c r="E67" s="55"/>
      <x:c r="F67" s="55"/>
    </x:row>
    <x:row r="68">
      <x:c r="A68" s="55"/>
      <x:c r="B68" s="55"/>
      <x:c r="C68" s="55"/>
      <x:c r="D68" s="55"/>
      <x:c r="E68" s="55"/>
      <x:c r="F68" s="55"/>
    </x:row>
    <x:row r="69">
      <x:c r="A69" s="55"/>
      <x:c r="B69" s="55"/>
      <x:c r="C69" s="55"/>
      <x:c r="D69" s="55"/>
      <x:c r="E69" s="55"/>
      <x:c r="F69" s="55"/>
    </x:row>
    <x:row r="70">
      <x:c r="A70" s="55"/>
      <x:c r="B70" s="55"/>
      <x:c r="C70" s="55"/>
      <x:c r="D70" s="55"/>
      <x:c r="E70" s="55"/>
      <x:c r="F70" s="55"/>
    </x:row>
    <x:row r="71">
      <x:c r="A71" s="55"/>
      <x:c r="B71" s="55"/>
      <x:c r="C71" s="55"/>
      <x:c r="D71" s="55"/>
      <x:c r="E71" s="55"/>
      <x:c r="F71" s="55"/>
    </x:row>
    <x:row r="72">
      <x:c r="A72" s="55"/>
      <x:c r="B72" s="55"/>
      <x:c r="C72" s="55"/>
      <x:c r="D72" s="55"/>
      <x:c r="E72" s="55"/>
      <x:c r="F72" s="55"/>
    </x:row>
    <x:row r="73">
      <x:c r="A73" s="55"/>
      <x:c r="B73" s="55"/>
      <x:c r="C73" s="55"/>
      <x:c r="D73" s="55"/>
      <x:c r="E73" s="55"/>
      <x:c r="F73" s="55"/>
    </x:row>
    <x:row r="74">
      <x:c r="A74" s="55"/>
      <x:c r="B74" s="55"/>
      <x:c r="C74" s="55"/>
      <x:c r="D74" s="55"/>
      <x:c r="E74" s="55"/>
      <x:c r="F74" s="55"/>
    </x:row>
    <x:row r="75">
      <x:c r="A75" s="55"/>
      <x:c r="B75" s="55"/>
      <x:c r="C75" s="55"/>
      <x:c r="D75" s="55"/>
      <x:c r="E75" s="55"/>
      <x:c r="F75" s="55"/>
    </x:row>
    <x:row r="76">
      <x:c r="A76" s="55"/>
      <x:c r="B76" s="55"/>
      <x:c r="C76" s="55"/>
      <x:c r="D76" s="55"/>
      <x:c r="E76" s="55"/>
      <x:c r="F76" s="55"/>
    </x:row>
    <x:row r="77">
      <x:c r="A77" s="55"/>
      <x:c r="B77" s="55"/>
      <x:c r="C77" s="55"/>
      <x:c r="D77" s="55"/>
      <x:c r="E77" s="55"/>
      <x:c r="F77" s="55"/>
    </x:row>
    <x:row r="78">
      <x:c r="A78" s="55"/>
      <x:c r="B78" s="55"/>
      <x:c r="C78" s="55"/>
      <x:c r="D78" s="55"/>
      <x:c r="E78" s="55"/>
      <x:c r="F78" s="55"/>
    </x:row>
    <x:row r="79">
      <x:c r="A79" s="55"/>
      <x:c r="B79" s="55"/>
      <x:c r="C79" s="55"/>
      <x:c r="D79" s="55"/>
      <x:c r="E79" s="55"/>
      <x:c r="F79" s="55"/>
    </x:row>
    <x:row r="80">
      <x:c r="A80" s="55"/>
      <x:c r="B80" s="55"/>
      <x:c r="C80" s="55"/>
      <x:c r="D80" s="55"/>
      <x:c r="E80" s="55"/>
      <x:c r="F80" s="55"/>
    </x:row>
    <x:row r="81">
      <x:c r="A81" s="55"/>
      <x:c r="B81" s="55"/>
      <x:c r="C81" s="55"/>
      <x:c r="D81" s="55"/>
      <x:c r="E81" s="55"/>
      <x:c r="F81" s="55"/>
    </x:row>
    <x:row r="82">
      <x:c r="A82" s="55"/>
      <x:c r="B82" s="55"/>
      <x:c r="C82" s="55"/>
      <x:c r="D82" s="55"/>
      <x:c r="E82" s="55"/>
      <x:c r="F82" s="55"/>
    </x:row>
    <x:row r="83">
      <x:c r="A83" s="55"/>
      <x:c r="B83" s="55"/>
      <x:c r="C83" s="55"/>
      <x:c r="D83" s="55"/>
      <x:c r="E83" s="55"/>
      <x:c r="F83" s="55"/>
    </x:row>
    <x:row r="84">
      <x:c r="A84" s="55"/>
      <x:c r="B84" s="55"/>
      <x:c r="C84" s="55"/>
      <x:c r="D84" s="55"/>
      <x:c r="E84" s="55"/>
      <x:c r="F84" s="55"/>
    </x:row>
    <x:row r="85">
      <x:c r="A85" s="55"/>
      <x:c r="B85" s="55"/>
      <x:c r="C85" s="55"/>
      <x:c r="D85" s="55"/>
      <x:c r="E85" s="55"/>
      <x:c r="F85" s="55"/>
    </x:row>
    <x:row r="86">
      <x:c r="A86" s="55"/>
      <x:c r="B86" s="55"/>
      <x:c r="C86" s="55"/>
      <x:c r="D86" s="55"/>
      <x:c r="E86" s="55"/>
      <x:c r="F86" s="55"/>
    </x:row>
    <x:row r="87">
      <x:c r="A87" s="55"/>
      <x:c r="B87" s="55"/>
      <x:c r="C87" s="55"/>
      <x:c r="D87" s="55"/>
      <x:c r="E87" s="55"/>
      <x:c r="F87" s="55"/>
    </x:row>
    <x:row r="88">
      <x:c r="A88" s="55"/>
      <x:c r="B88" s="55"/>
      <x:c r="C88" s="55"/>
      <x:c r="D88" s="55"/>
      <x:c r="E88" s="55"/>
      <x:c r="F88" s="55"/>
    </x:row>
    <x:row r="89">
      <x:c r="A89" s="55"/>
      <x:c r="B89" s="55"/>
      <x:c r="C89" s="55"/>
      <x:c r="D89" s="55"/>
      <x:c r="E89" s="55"/>
      <x:c r="F89" s="55"/>
    </x:row>
    <x:row r="90">
      <x:c r="A90" s="55"/>
      <x:c r="B90" s="55"/>
      <x:c r="C90" s="55"/>
      <x:c r="D90" s="55"/>
      <x:c r="E90" s="55"/>
      <x:c r="F90" s="55"/>
    </x:row>
  </x:sheetData>
  <x:mergeCells>
    <x:mergeCell ref="A1:F2"/>
    <x:mergeCell ref="A3:F3"/>
    <x:mergeCell ref="A19:F19"/>
    <x:mergeCell ref="A20:F20"/>
    <x:mergeCell ref="A21:F21"/>
    <x:mergeCell ref="A22:F22"/>
  </x:mergeCells>
  <x:conditionalFormatting sqref="D7:D16">
    <x:cfRule type="containsText" dxfId="0" priority="1" operator="containsText" text="CHECK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6708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34" hidden="0" customWidth="1"/>
    <x:col min="4" max="4" width="40" hidden="0" customWidth="1"/>
    <x:col min="5" max="5" width="58" hidden="0" customWidth="1"/>
    <x:col min="6" max="6" width="3" hidden="0" customWidth="1"/>
    <x:col min="7" max="7" width="3" hidden="0" customWidth="1"/>
    <x:col min="8" max="8" width="3" hidden="0" customWidth="1"/>
  </x:cols>
  <x:sheetData>
    <x:row r="1">
      <x:c r="A1" s="4" t="str">
        <x:v>来源与口径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6" t="str">
        <x:v>正式披露优先；价格和汇率为固定日期市场数据</x:v>
      </x:c>
      <x:c r="B3" s="6"/>
      <x:c r="C3" s="6"/>
      <x:c r="D3" s="6"/>
      <x:c r="E3" s="6"/>
      <x:c r="F3" s="6"/>
      <x:c r="G3" s="6"/>
      <x:c r="H3" s="6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4" t="str">
        <x:v>来源</x:v>
      </x:c>
      <x:c r="B5" s="14" t="str">
        <x:v>日期</x:v>
      </x:c>
      <x:c r="C5" s="14" t="str">
        <x:v>用于</x:v>
      </x:c>
      <x:c r="D5" s="14" t="str">
        <x:v>本地文件</x:v>
      </x:c>
      <x:c r="E5" s="14" t="str">
        <x:v>链接</x:v>
      </x:c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42" customHeight="1">
      <x:c r="A7" s="54" t="str">
        <x:v>2025 年年度报告</x:v>
      </x:c>
      <x:c r="B7" s="54" t="str">
        <x:v>2026-03-30</x:v>
      </x:c>
      <x:c r="C7" s="54" t="str">
        <x:v>历史财务、分部、研发、股息、回购、治理</x:v>
      </x:c>
      <x:c r="D7" s="54" t="str">
        <x:v>source-documents/2025-annual-report.pdf</x:v>
      </x:c>
      <x:c r="E7" s="54" t="str">
        <x:v>https://static.cninfo.com.cn/finalpage/2026-03-30/1225063589.PDF</x:v>
      </x:c>
      <x:c r="F7" s="1"/>
      <x:c r="G7" s="1"/>
      <x:c r="H7" s="1"/>
    </x:row>
    <x:row r="8" ht="42" customHeight="1">
      <x:c r="A8" s="54" t="str">
        <x:v>2026 年中期报告</x:v>
      </x:c>
      <x:c r="B8" s="54" t="str">
        <x:v>2026-09-15</x:v>
      </x:c>
      <x:c r="C8" s="54" t="str">
        <x:v>中期财务、业务、地区、现金、股息</x:v>
      </x:c>
      <x:c r="D8" s="54" t="str">
        <x:v>source-documents/2026-H1-interim-report.pdf</x:v>
      </x:c>
      <x:c r="E8" s="54" t="str">
        <x:v>https://www1.hkexnews.hk/listedco/listconews/sehk/2026/0915/2026091500547.pdf</x:v>
      </x:c>
      <x:c r="F8" s="1"/>
      <x:c r="G8" s="1"/>
      <x:c r="H8" s="1"/>
    </x:row>
    <x:row r="9" ht="42" customHeight="1">
      <x:c r="A9" s="54" t="str">
        <x:v>2026 年 8 月月报表</x:v>
      </x:c>
      <x:c r="B9" s="54" t="str">
        <x:v>2026-09-04</x:v>
      </x:c>
      <x:c r="C9" s="54" t="str">
        <x:v>A/H 股本、库存股、期权、可转债</x:v>
      </x:c>
      <x:c r="D9" s="54" t="str">
        <x:v>source-documents/2026-08-monthly-return.pdf</x:v>
      </x:c>
      <x:c r="E9" s="54" t="str">
        <x:v>https://www1.hkexnews.hk/listedco/listconews/sehk/2026/0904/2026090402241.pdf</x:v>
      </x:c>
      <x:c r="F9" s="1"/>
      <x:c r="G9" s="1"/>
      <x:c r="H9" s="1"/>
    </x:row>
    <x:row r="10" ht="42" customHeight="1">
      <x:c r="A10" s="54" t="str">
        <x:v>2026-09-18 翌日披露报表</x:v>
      </x:c>
      <x:c r="B10" s="54" t="str">
        <x:v>2026-09-18</x:v>
      </x:c>
      <x:c r="C10" s="54" t="str">
        <x:v>最新 A 股股本、库存股与回购</x:v>
      </x:c>
      <x:c r="D10" s="54" t="str">
        <x:v>source-documents/2026-09-18-next-day-disclosure.pdf</x:v>
      </x:c>
      <x:c r="E10" s="54" t="str">
        <x:v>https://www1.hkexnews.hk/listedco/listconews/sehk/2026/0918/2026091800795.pdf</x:v>
      </x:c>
      <x:c r="F10" s="1"/>
      <x:c r="G10" s="1"/>
      <x:c r="H10" s="1"/>
    </x:row>
    <x:row r="11" ht="42" customHeight="1">
      <x:c r="A11" s="54" t="str">
        <x:v>A 股历史价格</x:v>
      </x:c>
      <x:c r="B11" s="54" t="str">
        <x:v>2026-09-18</x:v>
      </x:c>
      <x:c r="C11" s="54" t="str">
        <x:v>84.40 元收盘价</x:v>
      </x:c>
      <x:c r="D11" s="54" t="str">
        <x:v>—</x:v>
      </x:c>
      <x:c r="E11" s="54" t="str">
        <x:v>https://stockanalysis.com/quote/she/000333/history/</x:v>
      </x:c>
      <x:c r="F11" s="1"/>
      <x:c r="G11" s="1"/>
      <x:c r="H11" s="1"/>
    </x:row>
    <x:row r="12" ht="42" customHeight="1">
      <x:c r="A12" s="54" t="str">
        <x:v>H 股历史价格</x:v>
      </x:c>
      <x:c r="B12" s="54" t="str">
        <x:v>2026-09-18</x:v>
      </x:c>
      <x:c r="C12" s="54" t="str">
        <x:v>99.30 港元收盘价</x:v>
      </x:c>
      <x:c r="D12" s="54" t="str">
        <x:v>—</x:v>
      </x:c>
      <x:c r="E12" s="54" t="str">
        <x:v>https://tr.investing.com/equities/midea-group-class-h-historical-data</x:v>
      </x:c>
      <x:c r="F12" s="1"/>
      <x:c r="G12" s="1"/>
      <x:c r="H12" s="1"/>
    </x:row>
    <x:row r="13" ht="42" customHeight="1">
      <x:c r="A13" s="54" t="str">
        <x:v>人民币兑港元</x:v>
      </x:c>
      <x:c r="B13" s="54" t="str">
        <x:v>2026-09-18</x:v>
      </x:c>
      <x:c r="C13" s="54" t="str">
        <x:v>1 人民币兑 1.1713 港元</x:v>
      </x:c>
      <x:c r="D13" s="54" t="str">
        <x:v>—</x:v>
      </x:c>
      <x:c r="E13" s="54" t="str">
        <x:v>https://www.investing.com/currencies/cny-hkd-historical-data</x:v>
      </x:c>
      <x:c r="F13" s="1"/>
      <x:c r="G13" s="1"/>
      <x:c r="H13" s="1"/>
    </x:row>
    <x:row r="14" ht="42" customHeight="1">
      <x:c r="A14" s="54" t="str">
        <x:v>安得智联申请版本</x:v>
      </x:c>
      <x:c r="B14" s="54" t="str">
        <x:v>2026-06-12</x:v>
      </x:c>
      <x:c r="C14" s="54" t="str">
        <x:v>分拆上市进展</x:v>
      </x:c>
      <x:c r="D14" s="54" t="str">
        <x:v>—</x:v>
      </x:c>
      <x:c r="E14" s="54" t="str">
        <x:v>https://www1.hkexnews.hk/app/sehk/2026/108634/2026061201744.htm</x:v>
      </x:c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31" t="str">
        <x:v>关键口径</x:v>
      </x:c>
      <x:c r="B17" s="31"/>
      <x:c r="C17" s="31"/>
      <x:c r="D17" s="31"/>
      <x:c r="E17" s="31"/>
      <x:c r="F17" s="31"/>
      <x:c r="G17" s="31"/>
      <x:c r="H17" s="3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29" t="str">
        <x:v>营业收入采用中国会计准则营业收入；分部与地区按公司披露总收入口径。</x:v>
      </x:c>
      <x:c r="B19" s="29"/>
      <x:c r="C19" s="29"/>
      <x:c r="D19" s="29"/>
      <x:c r="E19" s="29"/>
      <x:c r="F19" s="29"/>
      <x:c r="G19" s="29"/>
      <x:c r="H19" s="29"/>
    </x:row>
    <x:row r="20">
      <x:c r="A20" s="29" t="str">
        <x:v>简化自由现金流等于经营现金流减购建长期资产现金支出。</x:v>
      </x:c>
      <x:c r="B20" s="29"/>
      <x:c r="C20" s="29"/>
      <x:c r="D20" s="29"/>
      <x:c r="E20" s="29"/>
      <x:c r="F20" s="29"/>
      <x:c r="G20" s="29"/>
      <x:c r="H20" s="29"/>
    </x:row>
    <x:row r="21">
      <x:c r="A21" s="29" t="str">
        <x:v>滚动数据等于 2025 全年减 2025H1 加 2026H1。</x:v>
      </x:c>
      <x:c r="B21" s="29"/>
      <x:c r="C21" s="29"/>
      <x:c r="D21" s="29"/>
      <x:c r="E21" s="29"/>
      <x:c r="F21" s="29"/>
      <x:c r="G21" s="29"/>
      <x:c r="H21" s="29"/>
    </x:row>
    <x:row r="22">
      <x:c r="A22" s="29" t="str">
        <x:v>经济股本采用 2026-09-18 最新披露并扣除库存股；摊薄股本为研究假设。</x:v>
      </x:c>
      <x:c r="B22" s="29"/>
      <x:c r="C22" s="29"/>
      <x:c r="D22" s="29"/>
      <x:c r="E22" s="29"/>
      <x:c r="F22" s="29"/>
      <x:c r="G22" s="29"/>
      <x:c r="H22" s="29"/>
    </x:row>
    <x:row r="23">
      <x:c r="A23" s="29" t="str">
        <x:v>主估值不全额加回净金融资产，以免与利息和金融工具收益重复计值。</x:v>
      </x:c>
      <x:c r="B23" s="29"/>
      <x:c r="C23" s="29"/>
      <x:c r="D23" s="29"/>
      <x:c r="E23" s="29"/>
      <x:c r="F23" s="29"/>
      <x:c r="G23" s="29"/>
      <x:c r="H23" s="29"/>
    </x:row>
    <x:row r="24">
      <x:c r="A24" s="29" t="str">
        <x:v>情景概率、2027 利润和 P/E 均为研究假设，不是公司指引。</x:v>
      </x:c>
      <x:c r="B24" s="29"/>
      <x:c r="C24" s="29"/>
      <x:c r="D24" s="29"/>
      <x:c r="E24" s="29"/>
      <x:c r="F24" s="29"/>
      <x:c r="G24" s="29"/>
      <x:c r="H24" s="29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</x:sheetData>
  <x:mergeCells>
    <x:mergeCell ref="A1:H2"/>
    <x:mergeCell ref="A3:H3"/>
    <x:mergeCell ref="A17:H17"/>
    <x:mergeCell ref="A19:H19"/>
    <x:mergeCell ref="A20:H20"/>
    <x:mergeCell ref="A21:H21"/>
    <x:mergeCell ref="A22:H22"/>
    <x:mergeCell ref="A23:H23"/>
    <x:mergeCell ref="A24:H24"/>
  </x:mergeCells>
  <x:pageMargins left="0.7" right="0.7" top="0.75" bottom="0.75" header="0.3" footer="0.3"/>
</x:worksheet>
</file>
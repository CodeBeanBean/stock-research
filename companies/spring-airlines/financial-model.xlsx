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23e5edde3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8179ae7379944df"/>
    <x:sheet xmlns:r="http://schemas.openxmlformats.org/officeDocument/2006/relationships" name="Assumptions" sheetId="2" r:id="Reba28c5863974786"/>
    <x:sheet xmlns:r="http://schemas.openxmlformats.org/officeDocument/2006/relationships" name="Historical" sheetId="3" r:id="R996dd0ea09264d05"/>
    <x:sheet xmlns:r="http://schemas.openxmlformats.org/officeDocument/2006/relationships" name="Operating KPIs" sheetId="4" r:id="R94dc73894e054df7"/>
    <x:sheet xmlns:r="http://schemas.openxmlformats.org/officeDocument/2006/relationships" name="Balance &amp; Cash" sheetId="5" r:id="Raf665aa483d347b2"/>
    <x:sheet xmlns:r="http://schemas.openxmlformats.org/officeDocument/2006/relationships" name="Forecast" sheetId="6" r:id="Rcb4b1a6d4c194eb1"/>
    <x:sheet xmlns:r="http://schemas.openxmlformats.org/officeDocument/2006/relationships" name="Valuation" sheetId="7" r:id="Rd1c1219c110b4a51"/>
    <x:sheet xmlns:r="http://schemas.openxmlformats.org/officeDocument/2006/relationships" name="Checks" sheetId="8" r:id="R9b254696a97f4ad9"/>
    <x:sheet xmlns:r="http://schemas.openxmlformats.org/officeDocument/2006/relationships" name="Sources Audit" sheetId="9" r:id="Rf59d1c155f5a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.0x"/>
    <x:numFmt numFmtId="202" formatCode="0.0%"/>
    <x:numFmt numFmtId="203" formatCode="#,##0.0"/>
    <x:numFmt numFmtId="204" formatCode="#,##0.000"/>
    <x:numFmt numFmtId="205" formatCode="0.000"/>
    <x:numFmt numFmtId="206" formatCode="#,##0.0;(#,##0.0);-"/>
    <x:numFmt numFmtId="207" formatCode="0"/>
    <x:numFmt numFmtId="208" formatCode="#,##0.000;(#,##0.000);-"/>
  </x:numFmts>
  <x:fonts count="13">
    <x:font>
      <x:sz val="11"/>
      <x:name val="Carlito"/>
    </x:font>
    <x:font>
      <x:sz val="10"/>
      <x:color rgb="FF172B3A"/>
      <x:name val="Aptos"/>
    </x:font>
    <x:font>
      <x:b/>
      <x:sz val="20"/>
      <x:color rgb="FFFFFFFF"/>
      <x:name val="Aptos"/>
    </x:font>
    <x:font>
      <x:b/>
      <x:sz val="18"/>
      <x:color rgb="FF16324F"/>
      <x:name val="Aptos"/>
    </x:font>
    <x:font>
      <x:b/>
      <x:sz val="10"/>
      <x:color rgb="FF16324F"/>
      <x:name val="Aptos"/>
    </x:font>
    <x:font>
      <x:b/>
      <x:sz val="11"/>
      <x:color rgb="FF172B3A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i/>
      <x:sz val="10"/>
      <x:color rgb="FF172B3A"/>
      <x:name val="Aptos"/>
    </x:font>
    <x:font>
      <x:b/>
      <x:sz val="10"/>
      <x:color rgb="FF172B3A"/>
      <x:name val="Aptos"/>
    </x:font>
    <x:font>
      <x:b/>
      <x:sz val="11"/>
      <x:color rgb="FF008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6EEF5"/>
      </x:patternFill>
    </x:fill>
    <x:fill>
      <x:patternFill patternType="solid">
        <x:fgColor rgb="FFDCEFF0"/>
      </x:patternFill>
    </x:fill>
    <x:fill>
      <x:patternFill patternType="solid">
        <x:fgColor rgb="FFE9F2FA"/>
      </x:patternFill>
    </x:fill>
    <x:fill>
      <x:patternFill patternType="solid">
        <x:fgColor rgb="FF287D82"/>
      </x:patternFill>
    </x:fill>
    <x:fill>
      <x:patternFill patternType="solid">
        <x:fgColor rgb="FFF3F5F7"/>
      </x:patternFill>
    </x:fill>
  </x:fills>
  <x:borders count="3">
    <x:border/>
    <x:border>
      <x:left style="thin">
        <x:color rgb="FFCDD6DF"/>
      </x:left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3" fontId="1" fillId="0" borderId="0" xfId="0" applyNumberFormat="1" applyFont="1" applyFill="1" applyBorder="1"/>
    <x:xf numFmtId="200" fontId="1" fillId="0" borderId="2" xfId="0" applyNumberFormat="1" applyFont="1" applyFill="1" applyBorder="1"/>
    <x:xf numFmtId="202" fontId="1" fillId="0" borderId="2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/>
    <x:xf numFmtId="204" fontId="8" fillId="0" borderId="2" xfId="0" applyNumberFormat="1" applyFont="1" applyFill="1" applyBorder="1"/>
    <x:xf numFmtId="202" fontId="8" fillId="0" borderId="2" xfId="0" applyNumberFormat="1" applyFont="1" applyFill="1" applyBorder="1"/>
    <x:xf numFmtId="204" fontId="9" fillId="0" borderId="2" xfId="0" applyNumberFormat="1" applyFont="1" applyFill="1" applyBorder="1"/>
    <x:xf numFmtId="203" fontId="8" fillId="0" borderId="2" xfId="0" applyNumberFormat="1" applyFont="1" applyFill="1" applyBorder="1"/>
    <x:xf numFmtId="201" fontId="8" fillId="0" borderId="2" xfId="0" applyNumberFormat="1" applyFont="1" applyFill="1" applyBorder="1"/>
    <x:xf numFmtId="200" fontId="8" fillId="0" borderId="2" xfId="0" applyNumberFormat="1" applyFont="1" applyFill="1" applyBorder="1"/>
    <x:xf numFmtId="203" fontId="1" fillId="0" borderId="2" xfId="0" applyNumberFormat="1" applyFont="1" applyFill="1" applyBorder="1"/>
    <x:xf numFmtId="205" fontId="1" fillId="0" borderId="2" xfId="0" applyNumberFormat="1" applyFont="1" applyFill="1" applyBorder="1"/>
    <x:xf numFmtId="205" fontId="8" fillId="0" borderId="2" xfId="0" applyNumberFormat="1" applyFont="1" applyFill="1" applyBorder="1"/>
    <x:xf numFmtId="204" fontId="1" fillId="0" borderId="2" xfId="0" applyNumberFormat="1" applyFont="1" applyFill="1" applyBorder="1"/>
    <x:xf numFmtId="0" fontId="4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6" fontId="1" fillId="0" borderId="2" xfId="0" applyNumberFormat="1" applyFont="1" applyFill="1" applyBorder="1"/>
    <x:xf numFmtId="0" fontId="10" fillId="0" borderId="2" xfId="0" applyNumberFormat="1" applyFont="1" applyFill="1" applyBorder="1"/>
    <x:xf numFmtId="206" fontId="10" fillId="0" borderId="2" xfId="0" applyNumberFormat="1" applyFont="1" applyFill="1" applyBorder="1"/>
    <x:xf numFmtId="202" fontId="10" fillId="0" borderId="2" xfId="0" applyNumberFormat="1" applyFont="1" applyFill="1" applyBorder="1"/>
    <x:xf numFmtId="207" fontId="1" fillId="0" borderId="2" xfId="0" applyNumberFormat="1" applyFont="1" applyFill="1" applyBorder="1"/>
    <x:xf numFmtId="208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4" fontId="8" fillId="0" borderId="2" xfId="0" applyNumberFormat="1" applyFont="1" applyFill="1" applyBorder="1" applyAlignment="1">
      <x:alignment vertical="center"/>
    </x:xf>
    <x:xf numFmtId="204" fontId="9" fillId="0" borderId="2" xfId="0" applyNumberFormat="1" applyFont="1" applyFill="1" applyBorder="1" applyAlignment="1">
      <x:alignment vertical="center"/>
    </x:xf>
    <x:xf numFmtId="202" fontId="8" fillId="0" borderId="2" xfId="0" applyNumberFormat="1" applyFont="1" applyFill="1" applyBorder="1" applyAlignment="1">
      <x:alignment vertical="center"/>
    </x:xf>
    <x:xf numFmtId="203" fontId="8" fillId="0" borderId="2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5" fontId="1" fillId="0" borderId="2" xfId="0" applyNumberFormat="1" applyFont="1" applyFill="1" applyBorder="1" applyAlignment="1">
      <x:alignment vertical="center"/>
    </x:xf>
    <x:xf numFmtId="205" fontId="8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6" fontId="1" fillId="0" borderId="2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202" fontId="10" fillId="0" borderId="2" xfId="0" applyNumberFormat="1" applyFont="1" applyFill="1" applyBorder="1" applyAlignment="1">
      <x:alignment vertical="center"/>
    </x:xf>
    <x:xf numFmtId="207" fontId="1" fillId="0" borderId="2" xfId="0" applyNumberFormat="1" applyFont="1" applyFill="1" applyBorder="1" applyAlignment="1">
      <x:alignment vertical="center"/>
    </x:xf>
    <x:xf numFmtId="208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3" fontId="9" fillId="0" borderId="2" xfId="0" applyNumberFormat="1" applyFont="1" applyFill="1" applyBorder="1" applyAlignment="1">
      <x:alignment vertical="center"/>
    </x:xf>
    <x:xf numFmtId="208" fontId="9" fillId="0" borderId="2" xfId="0" applyNumberFormat="1" applyFont="1" applyFill="1" applyBorder="1" applyAlignment="1">
      <x:alignment vertical="center"/>
    </x:xf>
    <x:xf numFmtId="202" fontId="9" fillId="0" borderId="2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203" fontId="12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ab7d297e84a39" /><Relationship Type="http://schemas.openxmlformats.org/officeDocument/2006/relationships/theme" Target="/xl/theme/theme1.xml" Id="Rc5ed68bb1ec64409" /><Relationship Type="http://schemas.openxmlformats.org/officeDocument/2006/relationships/sharedStrings" Target="/xl/sharedStrings.xml" Id="Rbdb5950d153242df" /><Relationship Type="http://schemas.openxmlformats.org/officeDocument/2006/relationships/worksheet" Target="/xl/worksheets/sheet1.xml" Id="Re8179ae7379944df" /><Relationship Type="http://schemas.openxmlformats.org/officeDocument/2006/relationships/worksheet" Target="/xl/worksheets/sheet2.xml" Id="Reba28c5863974786" /><Relationship Type="http://schemas.openxmlformats.org/officeDocument/2006/relationships/worksheet" Target="/xl/worksheets/sheet3.xml" Id="R996dd0ea09264d05" /><Relationship Type="http://schemas.openxmlformats.org/officeDocument/2006/relationships/worksheet" Target="/xl/worksheets/sheet4.xml" Id="R94dc73894e054df7" /><Relationship Type="http://schemas.openxmlformats.org/officeDocument/2006/relationships/worksheet" Target="/xl/worksheets/sheet5.xml" Id="Raf665aa483d347b2" /><Relationship Type="http://schemas.openxmlformats.org/officeDocument/2006/relationships/worksheet" Target="/xl/worksheets/sheet6.xml" Id="Rcb4b1a6d4c194eb1" /><Relationship Type="http://schemas.openxmlformats.org/officeDocument/2006/relationships/worksheet" Target="/xl/worksheets/sheet7.xml" Id="Rd1c1219c110b4a51" /><Relationship Type="http://schemas.openxmlformats.org/officeDocument/2006/relationships/worksheet" Target="/xl/worksheets/sheet8.xml" Id="R9b254696a97f4ad9" /><Relationship Type="http://schemas.openxmlformats.org/officeDocument/2006/relationships/worksheet" Target="/xl/worksheets/sheet9.xml" Id="Rf59d1c155f5a46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a0bb10cb4f477f" /><Relationship Type="http://schemas.openxmlformats.org/officeDocument/2006/relationships/chart" Target="/xl/drawings/charts/chart2.xml" Id="Rc5c563b514cd46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收入与归母净利润（十亿元）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营业收入</c:v>
          </c:tx>
          <c:cat>
            <c:strRef>
              <c:f>'Cover'!$A$19:$A$24</c:f>
              <c:strCache>
                <c:ptCount val="0"/>
              </c:strCache>
            </c:strRef>
          </c:cat>
          <c:val>
            <c:numRef>
              <c:f>'Cover'!$B$19:$B$24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归母净利润</c:v>
          </c:tx>
          <c:cat>
            <c:strRef>
              <c:f>'Cover'!$A$19:$A$24</c:f>
              <c:strCache>
                <c:ptCount val="0"/>
              </c:strCache>
            </c:strRef>
          </c:cat>
          <c:val>
            <c:numRef>
              <c:f>'Cover'!$C$19:$C$24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2027 情景价值与当前价格（元/股）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Bear</c:v>
          </c:tx>
          <c:cat>
            <c:strRef>
              <c:f>'Cover'!$A$28:$A$29</c:f>
              <c:strCache>
                <c:ptCount val="0"/>
              </c:strCache>
            </c:strRef>
          </c:cat>
          <c:val>
            <c:numRef>
              <c:f>'Cover'!$B$28:$B$29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'Cover'!$A$28:$A$29</c:f>
              <c:strCache>
                <c:ptCount val="0"/>
              </c:strCache>
            </c:strRef>
          </c:cat>
          <c:val>
            <c:numRef>
              <c:f>'Cover'!$C$28:$C$29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Bull</c:v>
          </c:tx>
          <c:cat>
            <c:strRef>
              <c:f>'Cover'!$A$28:$A$29</c:f>
              <c:strCache>
                <c:ptCount val="0"/>
              </c:strCache>
            </c:strRef>
          </c:cat>
          <c:val>
            <c:numRef>
              <c:f>'Cover'!$D$28:$D$29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a0bb10cb4f477f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563b514cd466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a29dad2a3048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>
      <x:c r="A1" s="4" t="str">
        <x:v>春秋航空财务与估值模型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6" t="str">
        <x:v>601021.SH | 资料截止 2026-09-24 | 金额主要为人民币十亿元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</x:row>
    <x:row r="5">
      <x:c r="A5" s="9" t="str">
        <x:v>当前判断：中性偏积极</x:v>
      </x:c>
      <x:c r="B5" s="9"/>
      <x:c r="C5" s="9"/>
      <x:c r="D5" s="9"/>
      <x:c r="E5" s="9"/>
      <x:c r="F5" s="9"/>
      <x:c r="G5" s="55"/>
      <x:c r="H5" s="55"/>
      <x:c r="I5" s="55"/>
      <x:c r="J5" s="55"/>
      <x:c r="K5" s="55"/>
      <x:c r="L5" s="55"/>
    </x:row>
    <x:row r="6">
      <x:c r="A6" s="9"/>
      <x:c r="B6" s="9"/>
      <x:c r="C6" s="9"/>
      <x:c r="D6" s="9"/>
      <x:c r="E6" s="9"/>
      <x:c r="F6" s="9"/>
      <x:c r="G6" s="55"/>
      <x:c r="H6" s="55"/>
      <x:c r="I6" s="55"/>
      <x:c r="J6" s="55"/>
      <x:c r="K6" s="55"/>
      <x:c r="L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</x:row>
    <x:row r="8">
      <x:c r="A8" s="15" t="str">
        <x:v>关键指标</x:v>
      </x:c>
      <x:c r="B8" s="15" t="str">
        <x:v>数值</x:v>
      </x:c>
      <x:c r="C8" s="55"/>
      <x:c r="D8" s="55"/>
      <x:c r="E8" s="55"/>
      <x:c r="F8" s="55"/>
      <x:c r="G8" s="55"/>
      <x:c r="H8" s="55"/>
      <x:c r="I8" s="55"/>
      <x:c r="J8" s="55"/>
      <x:c r="K8" s="55"/>
      <x:c r="L8" s="55"/>
    </x:row>
    <x:row r="9">
      <x:c r="A9" s="56" t="str">
        <x:v>价格（元）</x:v>
      </x:c>
      <x:c r="B9" s="57" t="n">
        <x:f>'Assumptions'!B8</x:f>
        <x:v>41.94</x:v>
      </x:c>
      <x:c r="C9" s="55"/>
      <x:c r="D9" s="55"/>
      <x:c r="E9" s="55"/>
      <x:c r="F9" s="55"/>
      <x:c r="G9" s="55"/>
      <x:c r="H9" s="55"/>
      <x:c r="I9" s="55"/>
      <x:c r="J9" s="55"/>
      <x:c r="K9" s="55"/>
      <x:c r="L9" s="55"/>
    </x:row>
    <x:row r="10">
      <x:c r="A10" s="56" t="str">
        <x:v>滚动归母 P/E</x:v>
      </x:c>
      <x:c r="B10" s="58" t="n">
        <x:f>'Valuation'!B10</x:f>
        <x:v>18.72682783212934</x:v>
      </x:c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</x:row>
    <x:row r="11">
      <x:c r="A11" s="56" t="str">
        <x:v>基准价值（元）</x:v>
      </x:c>
      <x:c r="B11" s="57" t="n">
        <x:f>'Valuation'!C26</x:f>
        <x:v>49.5913254853504</x:v>
      </x:c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</x:row>
    <x:row r="12">
      <x:c r="A12" s="56" t="str">
        <x:v>基准空间</x:v>
      </x:c>
      <x:c r="B12" s="59" t="n">
        <x:f>'Valuation'!C27</x:f>
        <x:v>0.1824350378004389</x:v>
      </x:c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</x:row>
    <x:row r="13">
      <x:c r="A13" s="56" t="str">
        <x:v>概率加权价值（元）</x:v>
      </x:c>
      <x:c r="B13" s="57" t="n">
        <x:f>'Valuation'!B31</x:f>
        <x:v>47.50454199740858</x:v>
      </x:c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</x:row>
    <x:row r="14">
      <x:c r="A14" s="56" t="str">
        <x:v>2025 股息率</x:v>
      </x:c>
      <x:c r="B14" s="59" t="n">
        <x:f>'Valuation'!B11</x:f>
        <x:v>0.022889842632331903</x:v>
      </x:c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</x:row>
    <x:row r="15">
      <x:c r="A15" s="56" t="str">
        <x:v>广义净金融负债（十亿元）</x:v>
      </x:c>
      <x:c r="B15" s="60" t="n">
        <x:f>'Balance &amp; Cash'!B19</x:f>
        <x:v>16.335091000000002</x:v>
      </x:c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</x:row>
    <x:row r="18">
      <x:c r="A18" s="55" t="str">
        <x:v>期间</x:v>
      </x:c>
      <x:c r="B18" s="55" t="str">
        <x:v>营业收入</x:v>
      </x:c>
      <x:c r="C18" s="55" t="str">
        <x:v>归母净利润</x:v>
      </x:c>
      <x:c r="D18" s="55"/>
      <x:c r="E18" s="55"/>
      <x:c r="F18" s="55"/>
      <x:c r="G18" s="55"/>
      <x:c r="H18" s="55"/>
      <x:c r="I18" s="55"/>
      <x:c r="J18" s="55"/>
      <x:c r="K18" s="55"/>
      <x:c r="L18" s="55"/>
    </x:row>
    <x:row r="19">
      <x:c r="A19" s="55" t="n">
        <x:v>2023</x:v>
      </x:c>
      <x:c r="B19" s="61" t="n">
        <x:f>'Historical'!C8</x:f>
        <x:v>17.937857</x:v>
      </x:c>
      <x:c r="C19" s="61" t="n">
        <x:f>'Historical'!C11</x:f>
        <x:v>2.257429</x:v>
      </x:c>
      <x:c r="D19" s="55"/>
      <x:c r="E19" s="55"/>
      <x:c r="F19" s="55"/>
      <x:c r="G19" s="55"/>
      <x:c r="H19" s="55"/>
      <x:c r="I19" s="55"/>
      <x:c r="J19" s="55"/>
      <x:c r="K19" s="55"/>
      <x:c r="L19" s="55"/>
    </x:row>
    <x:row r="20">
      <x:c r="A20" s="55" t="n">
        <x:v>2024</x:v>
      </x:c>
      <x:c r="B20" s="61" t="n">
        <x:f>'Historical'!D8</x:f>
        <x:v>19.999927</x:v>
      </x:c>
      <x:c r="C20" s="61" t="n">
        <x:f>'Historical'!D11</x:f>
        <x:v>2.272944</x:v>
      </x:c>
      <x:c r="D20" s="55"/>
      <x:c r="E20" s="55"/>
      <x:c r="F20" s="55"/>
      <x:c r="G20" s="55"/>
      <x:c r="H20" s="55"/>
      <x:c r="I20" s="55"/>
      <x:c r="J20" s="55"/>
      <x:c r="K20" s="55"/>
      <x:c r="L20" s="55"/>
    </x:row>
    <x:row r="21">
      <x:c r="A21" s="55" t="n">
        <x:v>2025</x:v>
      </x:c>
      <x:c r="B21" s="61" t="n">
        <x:f>'Historical'!E8</x:f>
        <x:v>21.459531</x:v>
      </x:c>
      <x:c r="C21" s="61" t="n">
        <x:f>'Historical'!E11</x:f>
        <x:v>2.317402</x:v>
      </x:c>
      <x:c r="D21" s="55"/>
      <x:c r="E21" s="55"/>
      <x:c r="F21" s="55"/>
      <x:c r="G21" s="55"/>
      <x:c r="H21" s="55"/>
      <x:c r="I21" s="55"/>
      <x:c r="J21" s="55"/>
      <x:c r="K21" s="55"/>
      <x:c r="L21" s="55"/>
    </x:row>
    <x:row r="22">
      <x:c r="A22" s="55" t="n">
        <x:v>2026</x:v>
      </x:c>
      <x:c r="B22" s="61" t="n">
        <x:f>'Forecast'!C15</x:f>
        <x:v>25.012500000000003</x:v>
      </x:c>
      <x:c r="C22" s="61" t="n">
        <x:f>'Forecast'!C23</x:f>
        <x:v>2.1409375000000015</x:v>
      </x:c>
      <x:c r="D22" s="55"/>
      <x:c r="E22" s="55"/>
      <x:c r="F22" s="55"/>
      <x:c r="G22" s="55"/>
      <x:c r="H22" s="55"/>
      <x:c r="I22" s="55"/>
      <x:c r="J22" s="55"/>
      <x:c r="K22" s="55"/>
      <x:c r="L22" s="55"/>
    </x:row>
    <x:row r="23">
      <x:c r="A23" s="55" t="n">
        <x:v>2027</x:v>
      </x:c>
      <x:c r="B23" s="61" t="n">
        <x:f>'Forecast'!D15</x:f>
        <x:v>28.000320000000006</x:v>
      </x:c>
      <x:c r="C23" s="61" t="n">
        <x:f>'Forecast'!D23</x:f>
        <x:v>2.7977400000000032</x:v>
      </x:c>
      <x:c r="D23" s="55"/>
      <x:c r="E23" s="55"/>
      <x:c r="F23" s="55"/>
      <x:c r="G23" s="55"/>
      <x:c r="H23" s="55"/>
      <x:c r="I23" s="55"/>
      <x:c r="J23" s="55"/>
      <x:c r="K23" s="55"/>
      <x:c r="L23" s="55"/>
    </x:row>
    <x:row r="24">
      <x:c r="A24" s="55" t="n">
        <x:v>2028</x:v>
      </x:c>
      <x:c r="B24" s="61" t="n">
        <x:f>'Forecast'!E15</x:f>
        <x:v>30.8013</x:v>
      </x:c>
      <x:c r="C24" s="61" t="n">
        <x:f>'Forecast'!E23</x:f>
        <x:v>3.537975000000001</x:v>
      </x:c>
      <x:c r="D24" s="55"/>
      <x:c r="E24" s="55"/>
      <x:c r="F24" s="55"/>
      <x:c r="G24" s="55"/>
      <x:c r="H24" s="55"/>
      <x:c r="I24" s="55"/>
      <x:c r="J24" s="55"/>
      <x:c r="K24" s="55"/>
      <x:c r="L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</x:row>
    <x:row r="27">
      <x:c r="A27" s="15" t="str">
        <x:v>情景</x:v>
      </x:c>
      <x:c r="B27" s="15" t="str">
        <x:v>Bear</x:v>
      </x:c>
      <x:c r="C27" s="15" t="str">
        <x:v>Base</x:v>
      </x:c>
      <x:c r="D27" s="15" t="str">
        <x:v>Bull</x:v>
      </x:c>
      <x:c r="E27" s="55"/>
      <x:c r="F27" s="55"/>
      <x:c r="G27" s="55"/>
      <x:c r="H27" s="55"/>
      <x:c r="I27" s="55"/>
      <x:c r="J27" s="55"/>
      <x:c r="K27" s="55"/>
      <x:c r="L27" s="55"/>
    </x:row>
    <x:row r="28">
      <x:c r="A28" s="56" t="str">
        <x:v>每股价值（元）</x:v>
      </x:c>
      <x:c r="B28" s="62" t="n">
        <x:f>'Valuation'!B26</x:f>
        <x:v>21.362298550879622</x:v>
      </x:c>
      <x:c r="C28" s="62" t="n">
        <x:f>'Valuation'!C26</x:f>
        <x:v>49.5913254853504</x:v>
      </x:c>
      <x:c r="D28" s="62" t="n">
        <x:f>'Valuation'!D26</x:f>
        <x:v>74.44369171372978</x:v>
      </x:c>
      <x:c r="E28" s="55"/>
      <x:c r="F28" s="55"/>
      <x:c r="G28" s="55"/>
      <x:c r="H28" s="55"/>
      <x:c r="I28" s="55"/>
      <x:c r="J28" s="55"/>
      <x:c r="K28" s="55"/>
      <x:c r="L28" s="55"/>
    </x:row>
    <x:row r="29">
      <x:c r="A29" s="56" t="str">
        <x:v>当前价格（元）</x:v>
      </x:c>
      <x:c r="B29" s="62" t="n">
        <x:f>'Assumptions'!B8</x:f>
        <x:v>41.94</x:v>
      </x:c>
      <x:c r="C29" s="62" t="n">
        <x:f>'Assumptions'!B8</x:f>
        <x:v>41.94</x:v>
      </x:c>
      <x:c r="D29" s="62" t="n">
        <x:f>'Assumptions'!B8</x:f>
        <x:v>41.94</x:v>
      </x:c>
      <x:c r="E29" s="55"/>
      <x:c r="F29" s="55"/>
      <x:c r="G29" s="55"/>
      <x:c r="H29" s="55"/>
      <x:c r="I29" s="55"/>
      <x:c r="J29" s="55"/>
      <x:c r="K29" s="55"/>
      <x:c r="L29" s="55"/>
    </x:row>
    <x:row r="30">
      <x:c r="A30" s="56" t="str">
        <x:v>相对现价</x:v>
      </x:c>
      <x:c r="B30" s="63" t="n">
        <x:f>'Valuation'!B27</x:f>
        <x:v>-0.49064619573486834</x:v>
      </x:c>
      <x:c r="C30" s="63" t="n">
        <x:f>'Valuation'!C27</x:f>
        <x:v>0.1824350378004389</x:v>
      </x:c>
      <x:c r="D30" s="63" t="n">
        <x:f>'Valuation'!D27</x:f>
        <x:v>0.775004571142818</x:v>
      </x:c>
      <x:c r="E30" s="55"/>
      <x:c r="F30" s="55"/>
      <x:c r="G30" s="55"/>
      <x:c r="H30" s="55"/>
      <x:c r="I30" s="55"/>
      <x:c r="J30" s="55"/>
      <x:c r="K30" s="55"/>
      <x:c r="L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</x:row>
    <x:row r="41">
      <x:c r="A41" s="64" t="str">
        <x:v>主要结论</x:v>
      </x:c>
      <x:c r="B41" s="64"/>
      <x:c r="C41" s="64"/>
      <x:c r="D41" s="64"/>
      <x:c r="E41" s="64"/>
      <x:c r="F41" s="64"/>
      <x:c r="G41" s="64"/>
      <x:c r="H41" s="64"/>
      <x:c r="I41" s="55"/>
      <x:c r="J41" s="55"/>
      <x:c r="K41" s="55"/>
      <x:c r="L41" s="55"/>
    </x:row>
    <x:row r="42" ht="27" customHeight="1">
      <x:c r="A42" s="29" t="str">
        <x:v>前 8 个月 ASK 增长 13.3%、RPK 增长 15.5%，累计客座率 92.99%。</x:v>
      </x:c>
      <x:c r="B42" s="29"/>
      <x:c r="C42" s="29"/>
      <x:c r="D42" s="29"/>
      <x:c r="E42" s="29"/>
      <x:c r="F42" s="29"/>
      <x:c r="G42" s="29"/>
      <x:c r="H42" s="29"/>
      <x:c r="I42" s="55"/>
      <x:c r="J42" s="55"/>
      <x:c r="K42" s="55"/>
      <x:c r="L42" s="55"/>
    </x:row>
    <x:row r="43" ht="27" customHeight="1">
      <x:c r="A43" s="29" t="str">
        <x:v>2026H1 收入增长 19.7%，归母利润下降 10.8%；单位油成本上升 33.2%。</x:v>
      </x:c>
      <x:c r="B43" s="29"/>
      <x:c r="C43" s="29"/>
      <x:c r="D43" s="29"/>
      <x:c r="E43" s="29"/>
      <x:c r="F43" s="29"/>
      <x:c r="G43" s="29"/>
      <x:c r="H43" s="29"/>
      <x:c r="I43" s="55"/>
      <x:c r="J43" s="55"/>
      <x:c r="K43" s="55"/>
      <x:c r="L43" s="55"/>
    </x:row>
    <x:row r="44" ht="27" customHeight="1">
      <x:c r="A44" s="29" t="str">
        <x:v>滚动经营现金流约 73.0 亿元，但简化自由现金流约 -7.8 亿元，扩张消耗现金。</x:v>
      </x:c>
      <x:c r="B44" s="29"/>
      <x:c r="C44" s="29"/>
      <x:c r="D44" s="29"/>
      <x:c r="E44" s="29"/>
      <x:c r="F44" s="29"/>
      <x:c r="G44" s="29"/>
      <x:c r="H44" s="29"/>
      <x:c r="I44" s="55"/>
      <x:c r="J44" s="55"/>
      <x:c r="K44" s="55"/>
      <x:c r="L44" s="55"/>
    </x:row>
    <x:row r="45" ht="27" customHeight="1">
      <x:c r="A45" s="29" t="str">
        <x:v>回购股份未注销，估值使用 9.7833 亿总股本。</x:v>
      </x:c>
      <x:c r="B45" s="29"/>
      <x:c r="C45" s="29"/>
      <x:c r="D45" s="29"/>
      <x:c r="E45" s="29"/>
      <x:c r="F45" s="29"/>
      <x:c r="G45" s="29"/>
      <x:c r="H45" s="29"/>
      <x:c r="I45" s="55"/>
      <x:c r="J45" s="55"/>
      <x:c r="K45" s="55"/>
      <x:c r="L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</x:row>
  </x:sheetData>
  <x:mergeCells>
    <x:mergeCell ref="A1:L2"/>
    <x:mergeCell ref="A3:L3"/>
    <x:mergeCell ref="A5:F6"/>
    <x:mergeCell ref="A41:H41"/>
    <x:mergeCell ref="A42:H42"/>
    <x:mergeCell ref="A43:H43"/>
    <x:mergeCell ref="A44:H44"/>
    <x:mergeCell ref="A45:H45"/>
  </x:mergeCells>
  <x:pageMargins left="0.7" right="0.7" top="0.75" bottom="0.75" header="0.3" footer="0.3"/>
  <x:drawing xmlns:r="http://schemas.openxmlformats.org/officeDocument/2006/relationships" r:id="Rffa29dad2a30488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5" hidden="0" customWidth="1"/>
    <x:col min="4" max="4" width="19" hidden="0" customWidth="1"/>
    <x:col min="5" max="5" width="19" hidden="0" customWidth="1"/>
    <x:col min="6" max="6" width="3" hidden="0" customWidth="1"/>
    <x:col min="7" max="7" width="3" hidden="0" customWidth="1"/>
  </x:cols>
  <x:sheetData>
    <x:row r="1">
      <x:c r="A1" s="4" t="str">
        <x:v>估值与预测假设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蓝色数字为可编辑研究假设；价格、股本和日期为固定输入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31" t="str">
        <x:v>市场与股本输入</x:v>
      </x:c>
      <x:c r="B5" s="31"/>
      <x:c r="C5" s="31"/>
      <x:c r="D5" s="31"/>
      <x:c r="E5" s="31"/>
      <x:c r="F5" s="31"/>
      <x:c r="G5" s="31"/>
    </x:row>
    <x:row r="6">
      <x:c r="A6" s="55"/>
      <x:c r="B6" s="55"/>
      <x:c r="C6" s="55"/>
      <x:c r="D6" s="55"/>
      <x:c r="E6" s="55"/>
      <x:c r="F6" s="55"/>
      <x:c r="G6" s="55"/>
    </x:row>
    <x:row r="7">
      <x:c r="A7" s="15" t="str">
        <x:v>输入</x:v>
      </x:c>
      <x:c r="B7" s="15" t="str">
        <x:v>数值</x:v>
      </x:c>
      <x:c r="C7" s="15" t="str">
        <x:v>日期/说明</x:v>
      </x:c>
      <x:c r="D7" s="55"/>
      <x:c r="E7" s="55"/>
      <x:c r="F7" s="55"/>
      <x:c r="G7" s="55"/>
    </x:row>
    <x:row r="8">
      <x:c r="A8" s="56" t="str">
        <x:v>股价（元）</x:v>
      </x:c>
      <x:c r="B8" s="65" t="n">
        <x:v>41.94</x:v>
      </x:c>
      <x:c r="C8" s="56" t="str">
        <x:v>2026-09-23 收盘，除息前</x:v>
      </x:c>
      <x:c r="D8" s="55"/>
      <x:c r="E8" s="55"/>
      <x:c r="F8" s="55"/>
      <x:c r="G8" s="55"/>
    </x:row>
    <x:row r="9">
      <x:c r="A9" s="56" t="str">
        <x:v>总股本（百万股）</x:v>
      </x:c>
      <x:c r="B9" s="65" t="n">
        <x:v>978.333423</x:v>
      </x:c>
      <x:c r="C9" s="56" t="str">
        <x:v>回购股份尚未注销</x:v>
      </x:c>
      <x:c r="D9" s="55"/>
      <x:c r="E9" s="55"/>
      <x:c r="F9" s="55"/>
      <x:c r="G9" s="55"/>
    </x:row>
    <x:row r="10">
      <x:c r="A10" s="56" t="str">
        <x:v>库存股（百万股）</x:v>
      </x:c>
      <x:c r="B10" s="65" t="n">
        <x:v>27.702302</x:v>
      </x:c>
      <x:c r="C10" s="56" t="str">
        <x:v>2026-07-09 回购完成后</x:v>
      </x:c>
      <x:c r="D10" s="55"/>
      <x:c r="E10" s="55"/>
      <x:c r="F10" s="55"/>
      <x:c r="G10" s="55"/>
    </x:row>
    <x:row r="11">
      <x:c r="A11" s="56" t="str">
        <x:v>经济股本（百万股）</x:v>
      </x:c>
      <x:c r="B11" s="66" t="n">
        <x:f>B9-B10</x:f>
        <x:v>950.631121</x:v>
      </x:c>
      <x:c r="C11" s="56" t="str">
        <x:v>总股本减库存股</x:v>
      </x:c>
      <x:c r="D11" s="55"/>
      <x:c r="E11" s="55"/>
      <x:c r="F11" s="55"/>
      <x:c r="G11" s="55"/>
    </x:row>
    <x:row r="12">
      <x:c r="A12" s="56" t="str">
        <x:v>2026H1 每股股息（元）</x:v>
      </x:c>
      <x:c r="B12" s="65" t="n">
        <x:v>0.33</x:v>
      </x:c>
      <x:c r="C12" s="56" t="str">
        <x:v>2026-09-24 除息</x:v>
      </x:c>
      <x:c r="D12" s="55"/>
      <x:c r="E12" s="55"/>
      <x:c r="F12" s="55"/>
      <x:c r="G12" s="55"/>
    </x:row>
    <x:row r="13">
      <x:c r="A13" s="56" t="str">
        <x:v>2025 每股股息（元）</x:v>
      </x:c>
      <x:c r="B13" s="65" t="n">
        <x:v>0.96</x:v>
      </x:c>
      <x:c r="C13" s="56" t="str">
        <x:v>含中期与年度</x:v>
      </x:c>
      <x:c r="D13" s="55"/>
      <x:c r="E13" s="55"/>
      <x:c r="F13" s="55"/>
      <x:c r="G13" s="55"/>
    </x:row>
    <x:row r="14">
      <x:c r="A14" s="56" t="str">
        <x:v>估值中 P/E 权重</x:v>
      </x:c>
      <x:c r="B14" s="67" t="n">
        <x:v>0.7</x:v>
      </x:c>
      <x:c r="C14" s="56" t="str">
        <x:v>研究假设</x:v>
      </x:c>
      <x:c r="D14" s="55"/>
      <x:c r="E14" s="55"/>
      <x:c r="F14" s="55"/>
      <x:c r="G14" s="55"/>
    </x:row>
    <x:row r="15">
      <x:c r="A15" s="56" t="str">
        <x:v>估值中 P/B 权重</x:v>
      </x:c>
      <x:c r="B15" s="67" t="n">
        <x:v>0.3</x:v>
      </x:c>
      <x:c r="C15" s="56" t="str">
        <x:v>研究假设</x:v>
      </x:c>
      <x:c r="D15" s="55"/>
      <x:c r="E15" s="55"/>
      <x:c r="F15" s="55"/>
      <x:c r="G15" s="55"/>
    </x:row>
    <x:row r="16">
      <x:c r="A16" s="55"/>
      <x:c r="B16" s="55"/>
      <x:c r="C16" s="55"/>
      <x:c r="D16" s="55"/>
      <x:c r="E16" s="55"/>
      <x:c r="F16" s="55"/>
      <x:c r="G16" s="55"/>
    </x:row>
    <x:row r="17">
      <x:c r="A17" s="55"/>
      <x:c r="B17" s="55"/>
      <x:c r="C17" s="55"/>
      <x:c r="D17" s="55"/>
      <x:c r="E17" s="55"/>
      <x:c r="F17" s="55"/>
      <x:c r="G17" s="55"/>
    </x:row>
    <x:row r="18">
      <x:c r="A18" s="31" t="str">
        <x:v>2027 情景输入</x:v>
      </x:c>
      <x:c r="B18" s="31"/>
      <x:c r="C18" s="31"/>
      <x:c r="D18" s="31"/>
      <x:c r="E18" s="31"/>
      <x:c r="F18" s="31"/>
      <x:c r="G18" s="31"/>
    </x:row>
    <x:row r="19">
      <x:c r="A19" s="55"/>
      <x:c r="B19" s="55"/>
      <x:c r="C19" s="55"/>
      <x:c r="D19" s="55"/>
      <x:c r="E19" s="55"/>
      <x:c r="F19" s="55"/>
      <x:c r="G19" s="55"/>
    </x:row>
    <x:row r="20">
      <x:c r="A20" s="15" t="str">
        <x:v>假设</x:v>
      </x:c>
      <x:c r="B20" s="15" t="str">
        <x:v>Bear</x:v>
      </x:c>
      <x:c r="C20" s="15" t="str">
        <x:v>Base</x:v>
      </x:c>
      <x:c r="D20" s="15" t="str">
        <x:v>Bull</x:v>
      </x:c>
      <x:c r="E20" s="55"/>
      <x:c r="F20" s="55"/>
      <x:c r="G20" s="55"/>
    </x:row>
    <x:row r="21">
      <x:c r="A21" s="56" t="str">
        <x:v>概率</x:v>
      </x:c>
      <x:c r="B21" s="67" t="n">
        <x:v>0.25</x:v>
      </x:c>
      <x:c r="C21" s="67" t="n">
        <x:v>0.55</x:v>
      </x:c>
      <x:c r="D21" s="67" t="n">
        <x:v>0.2</x:v>
      </x:c>
      <x:c r="E21" s="55"/>
      <x:c r="F21" s="55"/>
      <x:c r="G21" s="55"/>
    </x:row>
    <x:row r="22">
      <x:c r="A22" s="56" t="str">
        <x:v>营业收入（十亿元）</x:v>
      </x:c>
      <x:c r="B22" s="68" t="n">
        <x:v>24.5</x:v>
      </x:c>
      <x:c r="C22" s="68" t="n">
        <x:v>28</x:v>
      </x:c>
      <x:c r="D22" s="68" t="n">
        <x:v>31.5</x:v>
      </x:c>
      <x:c r="E22" s="55"/>
      <x:c r="F22" s="55"/>
      <x:c r="G22" s="55"/>
    </x:row>
    <x:row r="23">
      <x:c r="A23" s="56" t="str">
        <x:v>归母净利润（十亿元）</x:v>
      </x:c>
      <x:c r="B23" s="68" t="n">
        <x:v>1.5</x:v>
      </x:c>
      <x:c r="C23" s="68" t="n">
        <x:v>2.8</x:v>
      </x:c>
      <x:c r="D23" s="68" t="n">
        <x:v>3.5</x:v>
      </x:c>
      <x:c r="E23" s="55"/>
      <x:c r="F23" s="55"/>
      <x:c r="G23" s="55"/>
    </x:row>
    <x:row r="24">
      <x:c r="A24" s="56" t="str">
        <x:v>P/E</x:v>
      </x:c>
      <x:c r="B24" s="69" t="n">
        <x:v>13</x:v>
      </x:c>
      <x:c r="C24" s="69" t="n">
        <x:v>18</x:v>
      </x:c>
      <x:c r="D24" s="69" t="n">
        <x:v>22</x:v>
      </x:c>
      <x:c r="E24" s="55"/>
      <x:c r="F24" s="55"/>
      <x:c r="G24" s="55"/>
    </x:row>
    <x:row r="25">
      <x:c r="A25" s="56" t="str">
        <x:v>BVPS（元）</x:v>
      </x:c>
      <x:c r="B25" s="70" t="n">
        <x:v>19</x:v>
      </x:c>
      <x:c r="C25" s="70" t="n">
        <x:v>20.5</x:v>
      </x:c>
      <x:c r="D25" s="70" t="n">
        <x:v>21.5</x:v>
      </x:c>
      <x:c r="E25" s="55"/>
      <x:c r="F25" s="55"/>
      <x:c r="G25" s="55"/>
    </x:row>
    <x:row r="26">
      <x:c r="A26" s="56" t="str">
        <x:v>P/B</x:v>
      </x:c>
      <x:c r="B26" s="69" t="n">
        <x:v>1.3</x:v>
      </x:c>
      <x:c r="C26" s="69" t="n">
        <x:v>2.2</x:v>
      </x:c>
      <x:c r="D26" s="69" t="n">
        <x:v>3</x:v>
      </x:c>
      <x:c r="E26" s="55"/>
      <x:c r="F26" s="55"/>
      <x:c r="G26" s="55"/>
    </x:row>
    <x:row r="27">
      <x:c r="A27" s="55"/>
      <x:c r="B27" s="55"/>
      <x:c r="C27" s="55"/>
      <x:c r="D27" s="55"/>
      <x:c r="E27" s="55"/>
      <x:c r="F27" s="55"/>
      <x:c r="G27" s="55"/>
    </x:row>
    <x:row r="28">
      <x:c r="A28" s="55"/>
      <x:c r="B28" s="55"/>
      <x:c r="C28" s="55"/>
      <x:c r="D28" s="55"/>
      <x:c r="E28" s="55"/>
      <x:c r="F28" s="55"/>
      <x:c r="G28" s="55"/>
    </x:row>
    <x:row r="29">
      <x:c r="A29" s="31" t="str">
        <x:v>基准预测输入</x:v>
      </x:c>
      <x:c r="B29" s="31"/>
      <x:c r="C29" s="31"/>
      <x:c r="D29" s="31"/>
      <x:c r="E29" s="31"/>
      <x:c r="F29" s="31"/>
      <x:c r="G29" s="31"/>
    </x:row>
    <x:row r="30">
      <x:c r="A30" s="55"/>
      <x:c r="B30" s="55"/>
      <x:c r="C30" s="55"/>
      <x:c r="D30" s="55"/>
      <x:c r="E30" s="55"/>
      <x:c r="F30" s="55"/>
      <x:c r="G30" s="55"/>
    </x:row>
    <x:row r="31">
      <x:c r="A31" s="15" t="str">
        <x:v>输入</x:v>
      </x:c>
      <x:c r="B31" s="15" t="str">
        <x:v>2025A</x:v>
      </x:c>
      <x:c r="C31" s="15" t="str">
        <x:v>2026E</x:v>
      </x:c>
      <x:c r="D31" s="15" t="str">
        <x:v>2027E</x:v>
      </x:c>
      <x:c r="E31" s="15" t="str">
        <x:v>2028E</x:v>
      </x:c>
      <x:c r="F31" s="55"/>
      <x:c r="G31" s="55"/>
    </x:row>
    <x:row r="32">
      <x:c r="A32" s="56" t="str">
        <x:v>ASK（十亿座公里）</x:v>
      </x:c>
      <x:c r="B32" s="71" t="n">
        <x:v>61.749</x:v>
      </x:c>
      <x:c r="C32" s="68" t="n">
        <x:v>70</x:v>
      </x:c>
      <x:c r="D32" s="68" t="n">
        <x:v>76</x:v>
      </x:c>
      <x:c r="E32" s="68" t="n">
        <x:v>82</x:v>
      </x:c>
      <x:c r="F32" s="55"/>
      <x:c r="G32" s="55"/>
    </x:row>
    <x:row r="33">
      <x:c r="A33" s="56" t="str">
        <x:v>客座率</x:v>
      </x:c>
      <x:c r="B33" s="63" t="n">
        <x:v>0.9153</x:v>
      </x:c>
      <x:c r="C33" s="67" t="n">
        <x:v>0.93</x:v>
      </x:c>
      <x:c r="D33" s="67" t="n">
        <x:v>0.932</x:v>
      </x:c>
      <x:c r="E33" s="67" t="n">
        <x:v>0.935</x:v>
      </x:c>
      <x:c r="F33" s="55"/>
      <x:c r="G33" s="55"/>
    </x:row>
    <x:row r="34">
      <x:c r="A34" s="56" t="str">
        <x:v>客公里收益（元）</x:v>
      </x:c>
      <x:c r="B34" s="72" t="n">
        <x:v>0.37</x:v>
      </x:c>
      <x:c r="C34" s="73" t="n">
        <x:v>0.375</x:v>
      </x:c>
      <x:c r="D34" s="73" t="n">
        <x:v>0.385</x:v>
      </x:c>
      <x:c r="E34" s="73" t="n">
        <x:v>0.39</x:v>
      </x:c>
      <x:c r="F34" s="55"/>
      <x:c r="G34" s="55"/>
    </x:row>
    <x:row r="35">
      <x:c r="A35" s="56" t="str">
        <x:v>单位营业成本（元/ASK）</x:v>
      </x:c>
      <x:c r="B35" s="72" t="n">
        <x:v>0.3003</x:v>
      </x:c>
      <x:c r="C35" s="73" t="n">
        <x:v>0.315</x:v>
      </x:c>
      <x:c r="D35" s="73" t="n">
        <x:v>0.315</x:v>
      </x:c>
      <x:c r="E35" s="73" t="n">
        <x:v>0.312</x:v>
      </x:c>
      <x:c r="F35" s="55"/>
      <x:c r="G35" s="55"/>
    </x:row>
    <x:row r="36">
      <x:c r="A36" s="56" t="str">
        <x:v>补贴（十亿元）</x:v>
      </x:c>
      <x:c r="B36" s="74" t="n">
        <x:v>1.212082</x:v>
      </x:c>
      <x:c r="C36" s="65" t="n">
        <x:v>1.25</x:v>
      </x:c>
      <x:c r="D36" s="65" t="n">
        <x:v>1.35</x:v>
      </x:c>
      <x:c r="E36" s="65" t="n">
        <x:v>1.45</x:v>
      </x:c>
      <x:c r="F36" s="55"/>
      <x:c r="G36" s="55"/>
    </x:row>
    <x:row r="37">
      <x:c r="A37" s="55"/>
      <x:c r="B37" s="55"/>
      <x:c r="C37" s="55"/>
      <x:c r="D37" s="55"/>
      <x:c r="E37" s="55"/>
      <x:c r="F37" s="55"/>
      <x:c r="G37" s="55"/>
    </x:row>
    <x:row r="38">
      <x:c r="A38" s="55"/>
      <x:c r="B38" s="55"/>
      <x:c r="C38" s="55"/>
      <x:c r="D38" s="55"/>
      <x:c r="E38" s="55"/>
      <x:c r="F38" s="55"/>
      <x:c r="G38" s="55"/>
    </x:row>
    <x:row r="39">
      <x:c r="A39" s="75" t="str">
        <x:v>口径提示</x:v>
      </x:c>
      <x:c r="B39" s="75"/>
      <x:c r="C39" s="75"/>
      <x:c r="D39" s="75"/>
      <x:c r="E39" s="75"/>
      <x:c r="F39" s="75"/>
      <x:c r="G39" s="75"/>
    </x:row>
    <x:row r="40">
      <x:c r="A40" s="76" t="str">
        <x:v>库存股可能出售、用于员工持股或在期限届满后注销，估值不提前假设注销。</x:v>
      </x:c>
      <x:c r="B40" s="76"/>
      <x:c r="C40" s="76"/>
      <x:c r="D40" s="76"/>
      <x:c r="E40" s="76"/>
      <x:c r="F40" s="76"/>
      <x:c r="G40" s="76"/>
    </x:row>
    <x:row r="41">
      <x:c r="A41" s="76" t="str">
        <x:v>2026E—2028E 为研究假设，不是公司指引。</x:v>
      </x:c>
      <x:c r="B41" s="76"/>
      <x:c r="C41" s="76"/>
      <x:c r="D41" s="76"/>
      <x:c r="E41" s="76"/>
      <x:c r="F41" s="76"/>
      <x:c r="G41" s="76"/>
    </x:row>
    <x:row r="42">
      <x:c r="A42" s="76" t="str">
        <x:v>P/E 反映票价、油价、成本和补贴；P/B 用于约束重资产与高杠杆。</x:v>
      </x:c>
      <x:c r="B42" s="76"/>
      <x:c r="C42" s="76"/>
      <x:c r="D42" s="76"/>
      <x:c r="E42" s="76"/>
      <x:c r="F42" s="76"/>
      <x:c r="G42" s="76"/>
    </x:row>
    <x:row r="43">
      <x:c r="A43" s="76" t="str">
        <x:v>修改蓝色输入后，Forecast、Valuation 和 Checks 会自动更新。</x:v>
      </x:c>
      <x:c r="B43" s="76"/>
      <x:c r="C43" s="76"/>
      <x:c r="D43" s="76"/>
      <x:c r="E43" s="76"/>
      <x:c r="F43" s="76"/>
      <x:c r="G43" s="76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5:G5"/>
    <x:mergeCell ref="A18:G18"/>
    <x:mergeCell ref="A29:G29"/>
    <x:mergeCell ref="A39:G39"/>
    <x:mergeCell ref="A40:G40"/>
    <x:mergeCell ref="A41:G41"/>
    <x:mergeCell ref="A42:G42"/>
    <x:mergeCell ref="A43:G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" hidden="0" customWidth="1"/>
  </x:cols>
  <x:sheetData>
    <x:row r="1">
      <x:c r="A1" s="4" t="str">
        <x:v>历史财务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人民币十亿元；2026H1 为中期数据</x:v>
      </x:c>
      <x:c r="B3" s="6"/>
      <x:c r="C3" s="6"/>
      <x:c r="D3" s="6"/>
      <x:c r="E3" s="6"/>
      <x:c r="F3" s="6"/>
      <x:c r="G3" s="6"/>
      <x:c r="H3" s="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14" t="str">
        <x:v>指标</x:v>
      </x:c>
      <x:c r="B5" s="14" t="str">
        <x:v>单位</x:v>
      </x:c>
      <x:c r="C5" s="14" t="str">
        <x:v>2023</x:v>
      </x:c>
      <x:c r="D5" s="14" t="str">
        <x:v>2024</x:v>
      </x:c>
      <x:c r="E5" s="14" t="str">
        <x:v>2025</x:v>
      </x:c>
      <x:c r="F5" s="14" t="str">
        <x:v>2025H1</x:v>
      </x:c>
      <x:c r="G5" s="14" t="str">
        <x:v>2026H1</x:v>
      </x:c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55"/>
      <x:c r="B7" s="55"/>
      <x:c r="C7" s="55"/>
      <x:c r="D7" s="55"/>
      <x:c r="E7" s="55"/>
      <x:c r="F7" s="55"/>
      <x:c r="G7" s="55"/>
      <x:c r="H7" s="55"/>
    </x:row>
    <x:row r="8">
      <x:c r="A8" s="56" t="str">
        <x:v>营业收入</x:v>
      </x:c>
      <x:c r="B8" s="56" t="str">
        <x:v>十亿元</x:v>
      </x:c>
      <x:c r="C8" s="77" t="n">
        <x:v>17.937857</x:v>
      </x:c>
      <x:c r="D8" s="77" t="n">
        <x:v>19.999927</x:v>
      </x:c>
      <x:c r="E8" s="77" t="n">
        <x:v>21.459531</x:v>
      </x:c>
      <x:c r="F8" s="77" t="n">
        <x:v>10.304467</x:v>
      </x:c>
      <x:c r="G8" s="77" t="n">
        <x:v>12.336145</x:v>
      </x:c>
      <x:c r="H8" s="55"/>
    </x:row>
    <x:row r="9">
      <x:c r="A9" s="78" t="str">
        <x:v>收入增长</x:v>
      </x:c>
      <x:c r="B9" s="78" t="str">
        <x:v>%</x:v>
      </x:c>
      <x:c r="C9" s="79"/>
      <x:c r="D9" s="79" t="n">
        <x:f>D8/C8-1</x:f>
        <x:v>0.11495631836066034</x:v>
      </x:c>
      <x:c r="E9" s="79" t="n">
        <x:f>E8/D8-1</x:f>
        <x:v>0.07298046637870215</x:v>
      </x:c>
      <x:c r="F9" s="79"/>
      <x:c r="G9" s="79" t="n">
        <x:f>G8/F8-1</x:f>
        <x:v>0.1971647830013914</x:v>
      </x:c>
      <x:c r="H9" s="55"/>
    </x:row>
    <x:row r="10">
      <x:c r="A10" s="56" t="str">
        <x:v>营业成本</x:v>
      </x:c>
      <x:c r="B10" s="56" t="str">
        <x:v>十亿元</x:v>
      </x:c>
      <x:c r="C10" s="77"/>
      <x:c r="D10" s="77"/>
      <x:c r="E10" s="77" t="n">
        <x:v>18.544</x:v>
      </x:c>
      <x:c r="F10" s="77"/>
      <x:c r="G10" s="77" t="n">
        <x:v>11.053</x:v>
      </x:c>
      <x:c r="H10" s="55"/>
    </x:row>
    <x:row r="11">
      <x:c r="A11" s="56" t="str">
        <x:v>归母净利润</x:v>
      </x:c>
      <x:c r="B11" s="56" t="str">
        <x:v>十亿元</x:v>
      </x:c>
      <x:c r="C11" s="77" t="n">
        <x:v>2.257429</x:v>
      </x:c>
      <x:c r="D11" s="77" t="n">
        <x:v>2.272944</x:v>
      </x:c>
      <x:c r="E11" s="77" t="n">
        <x:v>2.317402</x:v>
      </x:c>
      <x:c r="F11" s="77" t="n">
        <x:v>1.168632</x:v>
      </x:c>
      <x:c r="G11" s="77" t="n">
        <x:v>1.042274</x:v>
      </x:c>
      <x:c r="H11" s="55"/>
    </x:row>
    <x:row r="12">
      <x:c r="A12" s="78" t="str">
        <x:v>归母净利率</x:v>
      </x:c>
      <x:c r="B12" s="78" t="str">
        <x:v>%</x:v>
      </x:c>
      <x:c r="C12" s="79" t="n">
        <x:f>C11/C8</x:f>
        <x:v>0.1258471956822936</x:v>
      </x:c>
      <x:c r="D12" s="79" t="n">
        <x:f>D11/D8</x:f>
        <x:v>0.11364761481379407</x:v>
      </x:c>
      <x:c r="E12" s="79" t="n">
        <x:f>E11/E8</x:f>
        <x:v>0.10798940573305167</x:v>
      </x:c>
      <x:c r="F12" s="79" t="n">
        <x:f>F11/F8</x:f>
        <x:v>0.11341023266899683</x:v>
      </x:c>
      <x:c r="G12" s="79" t="n">
        <x:f>G11/G8</x:f>
        <x:v>0.08448944139356337</x:v>
      </x:c>
      <x:c r="H12" s="55"/>
    </x:row>
    <x:row r="13">
      <x:c r="A13" s="56" t="str">
        <x:v>扣非归母净利润</x:v>
      </x:c>
      <x:c r="B13" s="56" t="str">
        <x:v>十亿元</x:v>
      </x:c>
      <x:c r="C13" s="77"/>
      <x:c r="D13" s="77"/>
      <x:c r="E13" s="77"/>
      <x:c r="F13" s="77" t="n">
        <x:v>1.1486</x:v>
      </x:c>
      <x:c r="G13" s="77" t="n">
        <x:v>1.026535</x:v>
      </x:c>
      <x:c r="H13" s="55"/>
    </x:row>
    <x:row r="14">
      <x:c r="A14" s="56" t="str">
        <x:v>经营现金流</x:v>
      </x:c>
      <x:c r="B14" s="56" t="str">
        <x:v>十亿元</x:v>
      </x:c>
      <x:c r="C14" s="77" t="n">
        <x:v>6.694171</x:v>
      </x:c>
      <x:c r="D14" s="77" t="n">
        <x:v>5.894967</x:v>
      </x:c>
      <x:c r="E14" s="77" t="n">
        <x:v>6.623358</x:v>
      </x:c>
      <x:c r="F14" s="77" t="n">
        <x:v>2.790133</x:v>
      </x:c>
      <x:c r="G14" s="77" t="n">
        <x:v>3.46282</x:v>
      </x:c>
      <x:c r="H14" s="55"/>
    </x:row>
    <x:row r="15">
      <x:c r="A15" s="78" t="str">
        <x:v>经营现金流/归母</x:v>
      </x:c>
      <x:c r="B15" s="78" t="str">
        <x:v>%</x:v>
      </x:c>
      <x:c r="C15" s="79" t="n">
        <x:f>C14/C11</x:f>
        <x:v>2.9653960323890582</x:v>
      </x:c>
      <x:c r="D15" s="79" t="n">
        <x:f>D14/D11</x:f>
        <x:v>2.5935381602010437</x:v>
      </x:c>
      <x:c r="E15" s="79" t="n">
        <x:f>E14/E11</x:f>
        <x:v>2.8580962646964143</x:v>
      </x:c>
      <x:c r="F15" s="79" t="n">
        <x:f>F14/F11</x:f>
        <x:v>2.3875206224029464</x:v>
      </x:c>
      <x:c r="G15" s="79" t="n">
        <x:f>G14/G11</x:f>
        <x:v>3.322370125322132</x:v>
      </x:c>
      <x:c r="H15" s="55"/>
    </x:row>
    <x:row r="16">
      <x:c r="A16" s="56" t="str">
        <x:v>购建长期资产现金支出</x:v>
      </x:c>
      <x:c r="B16" s="56" t="str">
        <x:v>十亿元</x:v>
      </x:c>
      <x:c r="C16" s="77" t="n">
        <x:v>3.20525</x:v>
      </x:c>
      <x:c r="D16" s="77" t="n">
        <x:v>7.213703</x:v>
      </x:c>
      <x:c r="E16" s="77" t="n">
        <x:v>6.331744</x:v>
      </x:c>
      <x:c r="F16" s="77" t="n">
        <x:v>2.740082</x:v>
      </x:c>
      <x:c r="G16" s="77" t="n">
        <x:v>4.484194</x:v>
      </x:c>
      <x:c r="H16" s="55"/>
    </x:row>
    <x:row r="17">
      <x:c r="A17" s="56" t="str">
        <x:v>简化自由现金流</x:v>
      </x:c>
      <x:c r="B17" s="56" t="str">
        <x:v>十亿元</x:v>
      </x:c>
      <x:c r="C17" s="77" t="n">
        <x:f>C14-C16</x:f>
        <x:v>3.488921</x:v>
      </x:c>
      <x:c r="D17" s="77" t="n">
        <x:f>D14-D16</x:f>
        <x:v>-1.3187359999999995</x:v>
      </x:c>
      <x:c r="E17" s="77" t="n">
        <x:f>E14-E16</x:f>
        <x:v>0.29161400000000004</x:v>
      </x:c>
      <x:c r="F17" s="77" t="n">
        <x:f>F14-F16</x:f>
        <x:v>0.050050999999999846</x:v>
      </x:c>
      <x:c r="G17" s="77" t="n">
        <x:f>G14-G16</x:f>
        <x:v>-1.0213739999999998</x:v>
      </x:c>
      <x:c r="H17" s="55"/>
    </x:row>
    <x:row r="18">
      <x:c r="A18" s="56" t="str">
        <x:v>航油成本</x:v>
      </x:c>
      <x:c r="B18" s="56" t="str">
        <x:v>十亿元</x:v>
      </x:c>
      <x:c r="C18" s="77"/>
      <x:c r="D18" s="77" t="n">
        <x:v>6.144245</x:v>
      </x:c>
      <x:c r="E18" s="77" t="n">
        <x:v>6.228637</x:v>
      </x:c>
      <x:c r="F18" s="77" t="n">
        <x:v>2.979052</x:v>
      </x:c>
      <x:c r="G18" s="77" t="n">
        <x:v>4.577359</x:v>
      </x:c>
      <x:c r="H18" s="55"/>
    </x:row>
    <x:row r="19">
      <x:c r="A19" s="56" t="str">
        <x:v>航线及财政补助</x:v>
      </x:c>
      <x:c r="B19" s="56" t="str">
        <x:v>十亿元</x:v>
      </x:c>
      <x:c r="C19" s="77"/>
      <x:c r="D19" s="77" t="n">
        <x:v>1.051168</x:v>
      </x:c>
      <x:c r="E19" s="77" t="n">
        <x:v>1.212082</x:v>
      </x:c>
      <x:c r="F19" s="77" t="n">
        <x:v>0.651443</x:v>
      </x:c>
      <x:c r="G19" s="77" t="n">
        <x:v>0.669279</x:v>
      </x:c>
      <x:c r="H19" s="55"/>
    </x:row>
    <x:row r="20">
      <x:c r="A20" s="56" t="str">
        <x:v>总资产</x:v>
      </x:c>
      <x:c r="B20" s="56" t="str">
        <x:v>十亿元</x:v>
      </x:c>
      <x:c r="C20" s="77"/>
      <x:c r="D20" s="77"/>
      <x:c r="E20" s="77"/>
      <x:c r="F20" s="77"/>
      <x:c r="G20" s="77" t="n">
        <x:v>51.569611</x:v>
      </x:c>
      <x:c r="H20" s="55"/>
    </x:row>
    <x:row r="21">
      <x:c r="A21" s="56" t="str">
        <x:v>归母权益</x:v>
      </x:c>
      <x:c r="B21" s="56" t="str">
        <x:v>十亿元</x:v>
      </x:c>
      <x:c r="C21" s="77"/>
      <x:c r="D21" s="77"/>
      <x:c r="E21" s="77"/>
      <x:c r="F21" s="77"/>
      <x:c r="G21" s="77" t="n">
        <x:v>17.695053</x:v>
      </x:c>
      <x:c r="H21" s="55"/>
    </x:row>
    <x:row r="22">
      <x:c r="A22" s="78" t="str">
        <x:v>资产负债率</x:v>
      </x:c>
      <x:c r="B22" s="78" t="str">
        <x:v>%</x:v>
      </x:c>
      <x:c r="C22" s="79"/>
      <x:c r="D22" s="79"/>
      <x:c r="E22" s="79"/>
      <x:c r="F22" s="79"/>
      <x:c r="G22" s="79" t="n">
        <x:f>1-G21/G20</x:f>
        <x:v>0.6568705356338639</x:v>
      </x:c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31" t="str">
        <x:v>滚动十二个月</x:v>
      </x:c>
      <x:c r="B25" s="31"/>
      <x:c r="C25" s="31"/>
      <x:c r="D25" s="31"/>
      <x:c r="E25" s="31"/>
      <x:c r="F25" s="31"/>
      <x:c r="G25" s="31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15" t="str">
        <x:v>指标</x:v>
      </x:c>
      <x:c r="B27" s="15" t="str">
        <x:v>公式</x:v>
      </x:c>
      <x:c r="C27" s="15" t="str">
        <x:v>结果</x:v>
      </x:c>
      <x:c r="D27" s="55"/>
      <x:c r="E27" s="55"/>
      <x:c r="F27" s="55"/>
      <x:c r="G27" s="55"/>
      <x:c r="H27" s="55"/>
    </x:row>
    <x:row r="28">
      <x:c r="A28" s="56" t="str">
        <x:v>滚动营业收入</x:v>
      </x:c>
      <x:c r="B28" s="56" t="str">
        <x:v>2025-2025H1+2026H1</x:v>
      </x:c>
      <x:c r="C28" s="85" t="n">
        <x:f>E8-F8+G8</x:f>
        <x:v>23.491208999999998</x:v>
      </x:c>
      <x:c r="D28" s="55"/>
      <x:c r="E28" s="55"/>
      <x:c r="F28" s="55"/>
      <x:c r="G28" s="55"/>
      <x:c r="H28" s="55"/>
    </x:row>
    <x:row r="29">
      <x:c r="A29" s="56" t="str">
        <x:v>滚动归母净利润</x:v>
      </x:c>
      <x:c r="B29" s="56" t="str">
        <x:v>2025-2025H1+2026H1</x:v>
      </x:c>
      <x:c r="C29" s="85" t="n">
        <x:f>E11-F11+G11</x:f>
        <x:v>2.1910439999999998</x:v>
      </x:c>
      <x:c r="D29" s="55"/>
      <x:c r="E29" s="55"/>
      <x:c r="F29" s="55"/>
      <x:c r="G29" s="55"/>
      <x:c r="H29" s="55"/>
    </x:row>
    <x:row r="30">
      <x:c r="A30" s="56" t="str">
        <x:v>滚动经营现金流</x:v>
      </x:c>
      <x:c r="B30" s="56" t="str">
        <x:v>2025-2025H1+2026H1</x:v>
      </x:c>
      <x:c r="C30" s="85" t="n">
        <x:f>E14-F14+G14</x:f>
        <x:v>7.2960449999999994</x:v>
      </x:c>
      <x:c r="D30" s="55"/>
      <x:c r="E30" s="55"/>
      <x:c r="F30" s="55"/>
      <x:c r="G30" s="55"/>
      <x:c r="H30" s="55"/>
    </x:row>
    <x:row r="31">
      <x:c r="A31" s="56" t="str">
        <x:v>滚动简化自由现金流</x:v>
      </x:c>
      <x:c r="B31" s="56" t="str">
        <x:v>2025-2025H1+2026H1</x:v>
      </x:c>
      <x:c r="C31" s="85" t="n">
        <x:f>E17-F17+G17</x:f>
        <x:v>-0.7798109999999996</x:v>
      </x:c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75" t="str">
        <x:v>解释</x:v>
      </x:c>
      <x:c r="B34" s="75"/>
      <x:c r="C34" s="75"/>
      <x:c r="D34" s="75"/>
      <x:c r="E34" s="75"/>
      <x:c r="F34" s="75"/>
      <x:c r="G34" s="75"/>
      <x:c r="H34" s="55"/>
    </x:row>
    <x:row r="35">
      <x:c r="A35" s="76" t="str">
        <x:v>2026H1 收入增长，但航油成本增速显著高于收入。</x:v>
      </x:c>
      <x:c r="B35" s="76"/>
      <x:c r="C35" s="76"/>
      <x:c r="D35" s="76"/>
      <x:c r="E35" s="76"/>
      <x:c r="F35" s="76"/>
      <x:c r="G35" s="76"/>
      <x:c r="H35" s="55"/>
    </x:row>
    <x:row r="36">
      <x:c r="A36" s="76" t="str">
        <x:v>简化自由现金流仅扣除购建长期资产现金支出，未扣除股息、回购与并购。</x:v>
      </x:c>
      <x:c r="B36" s="76"/>
      <x:c r="C36" s="76"/>
      <x:c r="D36" s="76"/>
      <x:c r="E36" s="76"/>
      <x:c r="F36" s="76"/>
      <x:c r="G36" s="76"/>
      <x:c r="H36" s="55"/>
    </x:row>
    <x:row r="37">
      <x:c r="A37" s="76" t="str">
        <x:v>滚动数据用于当前估值校准，不代表完整 2026 年预测。</x:v>
      </x:c>
      <x:c r="B37" s="76"/>
      <x:c r="C37" s="76"/>
      <x:c r="D37" s="76"/>
      <x:c r="E37" s="76"/>
      <x:c r="F37" s="76"/>
      <x:c r="G37" s="76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</x:sheetData>
  <x:mergeCells>
    <x:mergeCell ref="A1:H2"/>
    <x:mergeCell ref="A3:H3"/>
    <x:mergeCell ref="A25:G25"/>
    <x:mergeCell ref="A34:G34"/>
    <x:mergeCell ref="A35:G35"/>
    <x:mergeCell ref="A36:G36"/>
    <x:mergeCell ref="A37:G3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24" hidden="0" customWidth="1"/>
    <x:col min="7" max="7" width="3" hidden="0" customWidth="1"/>
    <x:col min="8" max="8" width="3" hidden="0" customWidth="1"/>
  </x:cols>
  <x:sheetData>
    <x:row r="1">
      <x:c r="A1" s="4" t="str">
        <x:v>运营指标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客运单位经济与最新 2026 年 8 月数据</x:v>
      </x:c>
      <x:c r="B3" s="6"/>
      <x:c r="C3" s="6"/>
      <x:c r="D3" s="6"/>
      <x:c r="E3" s="6"/>
      <x:c r="F3" s="6"/>
      <x:c r="G3" s="6"/>
      <x:c r="H3" s="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31" t="str">
        <x:v>年度与半年度指标</x:v>
      </x:c>
      <x:c r="B5" s="31"/>
      <x:c r="C5" s="31"/>
      <x:c r="D5" s="31"/>
      <x:c r="E5" s="31"/>
      <x:c r="F5" s="31"/>
      <x:c r="G5" s="31"/>
      <x:c r="H5" s="31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15" t="str">
        <x:v>指标</x:v>
      </x:c>
      <x:c r="B7" s="15" t="str">
        <x:v>单位</x:v>
      </x:c>
      <x:c r="C7" s="15" t="str">
        <x:v>2025A</x:v>
      </x:c>
      <x:c r="D7" s="15" t="str">
        <x:v>2026H1</x:v>
      </x:c>
      <x:c r="E7" s="15" t="str">
        <x:v>同比/说明</x:v>
      </x:c>
      <x:c r="F7" s="55"/>
      <x:c r="G7" s="55"/>
      <x:c r="H7" s="55"/>
    </x:row>
    <x:row r="8">
      <x:c r="A8" s="56" t="str">
        <x:v>ASK</x:v>
      </x:c>
      <x:c r="B8" s="56" t="str">
        <x:v>十亿座公里</x:v>
      </x:c>
      <x:c r="C8" s="74" t="n">
        <x:v>61.749</x:v>
      </x:c>
      <x:c r="D8" s="74" t="n">
        <x:v>33.810927</x:v>
      </x:c>
      <x:c r="E8" s="63" t="n">
        <x:v>0.1536</x:v>
      </x:c>
      <x:c r="F8" s="55"/>
      <x:c r="G8" s="55"/>
      <x:c r="H8" s="55"/>
    </x:row>
    <x:row r="9">
      <x:c r="A9" s="56" t="str">
        <x:v>RPK</x:v>
      </x:c>
      <x:c r="B9" s="56" t="str">
        <x:v>十亿客公里</x:v>
      </x:c>
      <x:c r="C9" s="74" t="n">
        <x:v>56.5191</x:v>
      </x:c>
      <x:c r="D9" s="74" t="n">
        <x:v>31.306748</x:v>
      </x:c>
      <x:c r="E9" s="63" t="n">
        <x:v>0.1801</x:v>
      </x:c>
      <x:c r="F9" s="55"/>
      <x:c r="G9" s="55"/>
      <x:c r="H9" s="55"/>
    </x:row>
    <x:row r="10">
      <x:c r="A10" s="56" t="str">
        <x:v>旅客人数</x:v>
      </x:c>
      <x:c r="B10" s="56" t="str">
        <x:v>百万人次</x:v>
      </x:c>
      <x:c r="C10" s="74" t="n">
        <x:v>32.335</x:v>
      </x:c>
      <x:c r="D10" s="74" t="n">
        <x:v>17.3731</x:v>
      </x:c>
      <x:c r="E10" s="63" t="n">
        <x:v>0.1415</x:v>
      </x:c>
      <x:c r="F10" s="55"/>
      <x:c r="G10" s="55"/>
      <x:c r="H10" s="55"/>
    </x:row>
    <x:row r="11">
      <x:c r="A11" s="56" t="str">
        <x:v>客座率</x:v>
      </x:c>
      <x:c r="B11" s="56" t="str">
        <x:v>%</x:v>
      </x:c>
      <x:c r="C11" s="63" t="n">
        <x:v>0.9153</x:v>
      </x:c>
      <x:c r="D11" s="63" t="n">
        <x:v>0.9259</x:v>
      </x:c>
      <x:c r="E11" s="63" t="n">
        <x:v>0.0208</x:v>
      </x:c>
      <x:c r="F11" s="55"/>
      <x:c r="G11" s="55"/>
      <x:c r="H11" s="55"/>
    </x:row>
    <x:row r="12">
      <x:c r="A12" s="56" t="str">
        <x:v>客公里收益</x:v>
      </x:c>
      <x:c r="B12" s="56" t="str">
        <x:v>元/RPK</x:v>
      </x:c>
      <x:c r="C12" s="74" t="n">
        <x:v>0.37</x:v>
      </x:c>
      <x:c r="D12" s="74" t="n">
        <x:v>0.385</x:v>
      </x:c>
      <x:c r="E12" s="63" t="n">
        <x:v>0.0234</x:v>
      </x:c>
      <x:c r="F12" s="55"/>
      <x:c r="G12" s="55"/>
      <x:c r="H12" s="55"/>
    </x:row>
    <x:row r="13">
      <x:c r="A13" s="56" t="str">
        <x:v>单位营业成本</x:v>
      </x:c>
      <x:c r="B13" s="56" t="str">
        <x:v>元/ASK</x:v>
      </x:c>
      <x:c r="C13" s="74" t="n">
        <x:v>0.3</x:v>
      </x:c>
      <x:c r="D13" s="74" t="n">
        <x:v>0.327</x:v>
      </x:c>
      <x:c r="E13" s="63" t="n">
        <x:v>0.08</x:v>
      </x:c>
      <x:c r="F13" s="55"/>
      <x:c r="G13" s="55"/>
      <x:c r="H13" s="55"/>
    </x:row>
    <x:row r="14">
      <x:c r="A14" s="56" t="str">
        <x:v>单位非油成本</x:v>
      </x:c>
      <x:c r="B14" s="56" t="str">
        <x:v>元/ASK</x:v>
      </x:c>
      <x:c r="C14" s="74" t="n">
        <x:v>0.199</x:v>
      </x:c>
      <x:c r="D14" s="74" t="n">
        <x:v>0.192</x:v>
      </x:c>
      <x:c r="E14" s="63" t="n">
        <x:v>-0.048</x:v>
      </x:c>
      <x:c r="F14" s="55"/>
      <x:c r="G14" s="55"/>
      <x:c r="H14" s="55"/>
    </x:row>
    <x:row r="15">
      <x:c r="A15" s="56" t="str">
        <x:v>飞机日利用率</x:v>
      </x:c>
      <x:c r="B15" s="56" t="str">
        <x:v>小时</x:v>
      </x:c>
      <x:c r="C15" s="74"/>
      <x:c r="D15" s="74" t="n">
        <x:v>10.73</x:v>
      </x:c>
      <x:c r="E15" s="63" t="n">
        <x:v>0.102</x:v>
      </x:c>
      <x:c r="F15" s="55"/>
      <x:c r="G15" s="55"/>
      <x:c r="H15" s="55"/>
    </x:row>
    <x:row r="16">
      <x:c r="A16" s="56" t="str">
        <x:v>机队规模</x:v>
      </x:c>
      <x:c r="B16" s="56" t="str">
        <x:v>架</x:v>
      </x:c>
      <x:c r="C16" s="74"/>
      <x:c r="D16" s="74" t="n">
        <x:v>138</x:v>
      </x:c>
      <x:c r="E16" s="56" t="str">
        <x:v>2026-06-30</x:v>
      </x:c>
      <x:c r="F16" s="55"/>
      <x:c r="G16" s="55"/>
      <x:c r="H16" s="55"/>
    </x:row>
    <x:row r="17">
      <x:c r="A17" s="56" t="str">
        <x:v>直销占比</x:v>
      </x:c>
      <x:c r="B17" s="56" t="str">
        <x:v>%</x:v>
      </x:c>
      <x:c r="C17" s="63"/>
      <x:c r="D17" s="63" t="n">
        <x:v>0.996</x:v>
      </x:c>
      <x:c r="E17" s="56" t="str">
        <x:v>除包机外</x:v>
      </x:c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31" t="str">
        <x:v>2026 年 8 月及前 8 个月</x:v>
      </x:c>
      <x:c r="B20" s="31"/>
      <x:c r="C20" s="31"/>
      <x:c r="D20" s="31"/>
      <x:c r="E20" s="31"/>
      <x:c r="F20" s="31"/>
      <x:c r="G20" s="31"/>
      <x:c r="H20" s="31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15" t="str">
        <x:v>指标</x:v>
      </x:c>
      <x:c r="B22" s="15" t="str">
        <x:v>8 月</x:v>
      </x:c>
      <x:c r="C22" s="15" t="str">
        <x:v>同比</x:v>
      </x:c>
      <x:c r="D22" s="15" t="str">
        <x:v>前 8 个月</x:v>
      </x:c>
      <x:c r="E22" s="15" t="str">
        <x:v>同比</x:v>
      </x:c>
      <x:c r="F22" s="15" t="str">
        <x:v>说明</x:v>
      </x:c>
      <x:c r="G22" s="55"/>
      <x:c r="H22" s="55"/>
    </x:row>
    <x:row r="23">
      <x:c r="A23" s="56" t="str">
        <x:v>ASK（十亿座公里）</x:v>
      </x:c>
      <x:c r="B23" s="74" t="n">
        <x:v>6.379</x:v>
      </x:c>
      <x:c r="C23" s="63" t="n">
        <x:v>0.0819</x:v>
      </x:c>
      <x:c r="D23" s="74" t="n">
        <x:v>46.48</x:v>
      </x:c>
      <x:c r="E23" s="63" t="n">
        <x:v>0.1329</x:v>
      </x:c>
      <x:c r="F23" s="56" t="str">
        <x:v>总量</x:v>
      </x:c>
      <x:c r="G23" s="55"/>
      <x:c r="H23" s="55"/>
    </x:row>
    <x:row r="24">
      <x:c r="A24" s="56" t="str">
        <x:v>RPK（十亿客公里）</x:v>
      </x:c>
      <x:c r="B24" s="74" t="n">
        <x:v>6.047</x:v>
      </x:c>
      <x:c r="C24" s="63" t="n">
        <x:v>0.0926</x:v>
      </x:c>
      <x:c r="D24" s="74" t="n">
        <x:v>43.222</x:v>
      </x:c>
      <x:c r="E24" s="63" t="n">
        <x:v>0.1553</x:v>
      </x:c>
      <x:c r="F24" s="56" t="str">
        <x:v>总量</x:v>
      </x:c>
      <x:c r="G24" s="55"/>
      <x:c r="H24" s="55"/>
    </x:row>
    <x:row r="25">
      <x:c r="A25" s="56" t="str">
        <x:v>客座率</x:v>
      </x:c>
      <x:c r="B25" s="63" t="n">
        <x:v>0.9479</x:v>
      </x:c>
      <x:c r="C25" s="63" t="n">
        <x:v>0.0092</x:v>
      </x:c>
      <x:c r="D25" s="63" t="n">
        <x:v>0.9299</x:v>
      </x:c>
      <x:c r="E25" s="63" t="n">
        <x:v>0.018</x:v>
      </x:c>
      <x:c r="F25" s="56" t="str">
        <x:v>同比为百分点</x:v>
      </x:c>
      <x:c r="G25" s="55"/>
      <x:c r="H25" s="55"/>
    </x:row>
    <x:row r="26">
      <x:c r="A26" s="56" t="str">
        <x:v>旅客人数（百万人次）</x:v>
      </x:c>
      <x:c r="B26" s="74"/>
      <x:c r="C26" s="63"/>
      <x:c r="D26" s="74" t="n">
        <x:v>23.963</x:v>
      </x:c>
      <x:c r="E26" s="63" t="n">
        <x:v>0.1153</x:v>
      </x:c>
      <x:c r="F26" s="56" t="str">
        <x:v>总量</x:v>
      </x:c>
      <x:c r="G26" s="55"/>
      <x:c r="H26" s="55"/>
    </x:row>
    <x:row r="27">
      <x:c r="A27" s="56" t="str">
        <x:v>国内 ASK 同比</x:v>
      </x:c>
      <x:c r="B27" s="74"/>
      <x:c r="C27" s="63"/>
      <x:c r="D27" s="74"/>
      <x:c r="E27" s="63" t="n">
        <x:v>0.1636</x:v>
      </x:c>
      <x:c r="F27" s="56" t="str"/>
      <x:c r="G27" s="55"/>
      <x:c r="H27" s="55"/>
    </x:row>
    <x:row r="28">
      <x:c r="A28" s="56" t="str">
        <x:v>国际 ASK 同比</x:v>
      </x:c>
      <x:c r="B28" s="63" t="n">
        <x:v>-0.0384</x:v>
      </x:c>
      <x:c r="C28" s="63"/>
      <x:c r="D28" s="74"/>
      <x:c r="E28" s="63" t="n">
        <x:v>0.0159</x:v>
      </x:c>
      <x:c r="F28" s="56" t="str">
        <x:v>8 月/前 8 个月</x:v>
      </x:c>
      <x:c r="G28" s="55"/>
      <x:c r="H28" s="55"/>
    </x:row>
    <x:row r="29">
      <x:c r="A29" s="56" t="str">
        <x:v>机队规模（架）</x:v>
      </x:c>
      <x:c r="B29" s="74" t="n">
        <x:v>140</x:v>
      </x:c>
      <x:c r="C29" s="63"/>
      <x:c r="D29" s="74" t="n">
        <x:v>140</x:v>
      </x:c>
      <x:c r="E29" s="63"/>
      <x:c r="F29" s="56" t="str">
        <x:v>2026-08-31</x:v>
      </x:c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31" t="str">
        <x:v>机队结构</x:v>
      </x:c>
      <x:c r="B32" s="31"/>
      <x:c r="C32" s="31"/>
      <x:c r="D32" s="31"/>
      <x:c r="E32" s="31"/>
      <x:c r="F32" s="31"/>
      <x:c r="G32" s="31"/>
      <x:c r="H32" s="31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15" t="str">
        <x:v>项目</x:v>
      </x:c>
      <x:c r="B34" s="15" t="str">
        <x:v>2026-06-30</x:v>
      </x:c>
      <x:c r="C34" s="15" t="str">
        <x:v>2026-08-31</x:v>
      </x:c>
      <x:c r="D34" s="15" t="str">
        <x:v>说明</x:v>
      </x:c>
      <x:c r="E34" s="55"/>
      <x:c r="F34" s="55"/>
      <x:c r="G34" s="55"/>
      <x:c r="H34" s="55"/>
    </x:row>
    <x:row r="35">
      <x:c r="A35" s="56" t="str">
        <x:v>自购</x:v>
      </x:c>
      <x:c r="B35" s="80" t="n">
        <x:v>100</x:v>
      </x:c>
      <x:c r="C35" s="80" t="n">
        <x:v>101</x:v>
      </x:c>
      <x:c r="D35" s="56" t="str">
        <x:v>架</x:v>
      </x:c>
      <x:c r="E35" s="55"/>
      <x:c r="F35" s="55"/>
      <x:c r="G35" s="55"/>
      <x:c r="H35" s="55"/>
    </x:row>
    <x:row r="36">
      <x:c r="A36" s="56" t="str">
        <x:v>经营租赁</x:v>
      </x:c>
      <x:c r="B36" s="80" t="n">
        <x:v>34</x:v>
      </x:c>
      <x:c r="C36" s="80" t="n">
        <x:v>35</x:v>
      </x:c>
      <x:c r="D36" s="56" t="str">
        <x:v>架</x:v>
      </x:c>
      <x:c r="E36" s="55"/>
      <x:c r="F36" s="55"/>
      <x:c r="G36" s="55"/>
      <x:c r="H36" s="55"/>
    </x:row>
    <x:row r="37">
      <x:c r="A37" s="56" t="str">
        <x:v>融资租赁</x:v>
      </x:c>
      <x:c r="B37" s="80" t="n">
        <x:v>4</x:v>
      </x:c>
      <x:c r="C37" s="80" t="n">
        <x:v>4</x:v>
      </x:c>
      <x:c r="D37" s="56" t="str">
        <x:v>架</x:v>
      </x:c>
      <x:c r="E37" s="55"/>
      <x:c r="F37" s="55"/>
      <x:c r="G37" s="55"/>
      <x:c r="H37" s="55"/>
    </x:row>
    <x:row r="38">
      <x:c r="A38" s="56" t="str">
        <x:v>A320ceo</x:v>
      </x:c>
      <x:c r="B38" s="80" t="n">
        <x:v>74</x:v>
      </x:c>
      <x:c r="C38" s="80" t="n">
        <x:v>74</x:v>
      </x:c>
      <x:c r="D38" s="56" t="str">
        <x:v>架</x:v>
      </x:c>
      <x:c r="E38" s="55"/>
      <x:c r="F38" s="55"/>
      <x:c r="G38" s="55"/>
      <x:c r="H38" s="55"/>
    </x:row>
    <x:row r="39">
      <x:c r="A39" s="56" t="str">
        <x:v>A320neo / A321neo</x:v>
      </x:c>
      <x:c r="B39" s="80" t="n">
        <x:v>64</x:v>
      </x:c>
      <x:c r="C39" s="80" t="n">
        <x:v>66</x:v>
      </x:c>
      <x:c r="D39" s="56" t="str">
        <x:v>合计</x:v>
      </x:c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75" t="str">
        <x:v>观察</x:v>
      </x:c>
      <x:c r="B42" s="75"/>
      <x:c r="C42" s="75"/>
      <x:c r="D42" s="75"/>
      <x:c r="E42" s="75"/>
      <x:c r="F42" s="75"/>
      <x:c r="G42" s="75"/>
      <x:c r="H42" s="75"/>
    </x:row>
    <x:row r="43">
      <x:c r="A43" s="76" t="str">
        <x:v>高客座率显示需求与收益管理能力，但已接近可提升上限。</x:v>
      </x:c>
      <x:c r="B43" s="76"/>
      <x:c r="C43" s="76"/>
      <x:c r="D43" s="76"/>
      <x:c r="E43" s="76"/>
      <x:c r="F43" s="76"/>
      <x:c r="G43" s="76"/>
      <x:c r="H43" s="76"/>
    </x:row>
    <x:row r="44">
      <x:c r="A44" s="76" t="str">
        <x:v>国际运力恢复慢于国内，国际收益改善能否转成规模利润仍需跟踪。</x:v>
      </x:c>
      <x:c r="B44" s="76"/>
      <x:c r="C44" s="76"/>
      <x:c r="D44" s="76"/>
      <x:c r="E44" s="76"/>
      <x:c r="F44" s="76"/>
      <x:c r="G44" s="76"/>
      <x:c r="H44" s="76"/>
    </x:row>
    <x:row r="45">
      <x:c r="A45" s="76" t="str">
        <x:v>单位非油成本下降证明低成本体系有效，航油仍是利润波动的首要外部变量。</x:v>
      </x:c>
      <x:c r="B45" s="76"/>
      <x:c r="C45" s="76"/>
      <x:c r="D45" s="76"/>
      <x:c r="E45" s="76"/>
      <x:c r="F45" s="76"/>
      <x:c r="G45" s="76"/>
      <x:c r="H45" s="76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</x:sheetData>
  <x:mergeCells>
    <x:mergeCell ref="A1:H2"/>
    <x:mergeCell ref="A3:H3"/>
    <x:mergeCell ref="A5:H5"/>
    <x:mergeCell ref="A20:H20"/>
    <x:mergeCell ref="A32:H32"/>
    <x:mergeCell ref="A42:H42"/>
    <x:mergeCell ref="A43:H43"/>
    <x:mergeCell ref="A44:H44"/>
    <x:mergeCell ref="A45:H4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7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</x:cols>
  <x:sheetData>
    <x:row r="1">
      <x:c r="A1" s="4" t="str">
        <x:v>资产负债表与现金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人民币十亿元；融资负债为研究汇总口径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31" t="str">
        <x:v>2026-06-30 主要项目</x:v>
      </x:c>
      <x:c r="B5" s="31"/>
      <x:c r="C5" s="31"/>
      <x:c r="D5" s="31"/>
      <x:c r="E5" s="31"/>
      <x:c r="F5" s="31"/>
      <x:c r="G5" s="31"/>
    </x:row>
    <x:row r="6">
      <x:c r="A6" s="55"/>
      <x:c r="B6" s="55"/>
      <x:c r="C6" s="55"/>
      <x:c r="D6" s="55"/>
      <x:c r="E6" s="55"/>
      <x:c r="F6" s="55"/>
      <x:c r="G6" s="55"/>
    </x:row>
    <x:row r="7">
      <x:c r="A7" s="15" t="str">
        <x:v>项目</x:v>
      </x:c>
      <x:c r="B7" s="15" t="str">
        <x:v>金额</x:v>
      </x:c>
      <x:c r="C7" s="15" t="str">
        <x:v>说明</x:v>
      </x:c>
      <x:c r="D7" s="55"/>
      <x:c r="E7" s="55"/>
      <x:c r="F7" s="55"/>
      <x:c r="G7" s="55"/>
    </x:row>
    <x:row r="8">
      <x:c r="A8" s="56" t="str">
        <x:v>货币资金</x:v>
      </x:c>
      <x:c r="B8" s="71" t="n">
        <x:v>9.355089</x:v>
      </x:c>
      <x:c r="C8" s="56" t="str">
        <x:v>含定期存款和受限现金</x:v>
      </x:c>
      <x:c r="D8" s="55"/>
      <x:c r="E8" s="55"/>
      <x:c r="F8" s="55"/>
      <x:c r="G8" s="55"/>
    </x:row>
    <x:row r="9">
      <x:c r="A9" s="56" t="str">
        <x:v>现金及现金等价物</x:v>
      </x:c>
      <x:c r="B9" s="71" t="n">
        <x:v>8.079363</x:v>
      </x:c>
      <x:c r="C9" s="56" t="str">
        <x:v>现金流量表口径</x:v>
      </x:c>
      <x:c r="D9" s="55"/>
      <x:c r="E9" s="55"/>
      <x:c r="F9" s="55"/>
      <x:c r="G9" s="55"/>
    </x:row>
    <x:row r="10">
      <x:c r="A10" s="56" t="str">
        <x:v>非现金等价物资金</x:v>
      </x:c>
      <x:c r="B10" s="71" t="n">
        <x:v>1.275725</x:v>
      </x:c>
      <x:c r="C10" s="56" t="str">
        <x:v>定期存款与受限资金</x:v>
      </x:c>
      <x:c r="D10" s="55"/>
      <x:c r="E10" s="55"/>
      <x:c r="F10" s="55"/>
      <x:c r="G10" s="55"/>
    </x:row>
    <x:row r="11">
      <x:c r="A11" s="56" t="str">
        <x:v>短期借款</x:v>
      </x:c>
      <x:c r="B11" s="71" t="n">
        <x:v>2.319836</x:v>
      </x:c>
      <x:c r="C11" s="56" t="str"/>
      <x:c r="D11" s="55"/>
      <x:c r="E11" s="55"/>
      <x:c r="F11" s="55"/>
      <x:c r="G11" s="55"/>
    </x:row>
    <x:row r="12">
      <x:c r="A12" s="56" t="str">
        <x:v>一年内到期长期借款</x:v>
      </x:c>
      <x:c r="B12" s="71" t="n">
        <x:v>5.227006</x:v>
      </x:c>
      <x:c r="C12" s="56" t="str"/>
      <x:c r="D12" s="55"/>
      <x:c r="E12" s="55"/>
      <x:c r="F12" s="55"/>
      <x:c r="G12" s="55"/>
    </x:row>
    <x:row r="13">
      <x:c r="A13" s="56" t="str">
        <x:v>一年内到期租赁负债</x:v>
      </x:c>
      <x:c r="B13" s="71" t="n">
        <x:v>0.583095</x:v>
      </x:c>
      <x:c r="C13" s="56" t="str"/>
      <x:c r="D13" s="55"/>
      <x:c r="E13" s="55"/>
      <x:c r="F13" s="55"/>
      <x:c r="G13" s="55"/>
    </x:row>
    <x:row r="14">
      <x:c r="A14" s="56" t="str">
        <x:v>长期借款</x:v>
      </x:c>
      <x:c r="B14" s="71" t="n">
        <x:v>10.410355</x:v>
      </x:c>
      <x:c r="C14" s="56" t="str"/>
      <x:c r="D14" s="55"/>
      <x:c r="E14" s="55"/>
      <x:c r="F14" s="55"/>
      <x:c r="G14" s="55"/>
    </x:row>
    <x:row r="15">
      <x:c r="A15" s="56" t="str">
        <x:v>应付债券</x:v>
      </x:c>
      <x:c r="B15" s="71" t="n">
        <x:v>1.747908</x:v>
      </x:c>
      <x:c r="C15" s="56" t="str">
        <x:v>长期部分</x:v>
      </x:c>
      <x:c r="D15" s="55"/>
      <x:c r="E15" s="55"/>
      <x:c r="F15" s="55"/>
      <x:c r="G15" s="55"/>
    </x:row>
    <x:row r="16">
      <x:c r="A16" s="56" t="str">
        <x:v>租赁负债</x:v>
      </x:c>
      <x:c r="B16" s="71" t="n">
        <x:v>3.341422</x:v>
      </x:c>
      <x:c r="C16" s="56" t="str">
        <x:v>长期部分</x:v>
      </x:c>
      <x:c r="D16" s="55"/>
      <x:c r="E16" s="55"/>
      <x:c r="F16" s="55"/>
      <x:c r="G16" s="55"/>
    </x:row>
    <x:row r="17">
      <x:c r="A17" s="56" t="str">
        <x:v>长期应付款及其他融资</x:v>
      </x:c>
      <x:c r="B17" s="71" t="n">
        <x:v>2.060558</x:v>
      </x:c>
      <x:c r="C17" s="56" t="str">
        <x:v>含流动与非流动部分</x:v>
      </x:c>
      <x:c r="D17" s="55"/>
      <x:c r="E17" s="55"/>
      <x:c r="F17" s="55"/>
      <x:c r="G17" s="55"/>
    </x:row>
    <x:row r="18">
      <x:c r="A18" s="56" t="str">
        <x:v>融资负债合计</x:v>
      </x:c>
      <x:c r="B18" s="71" t="n">
        <x:f>SUM(B11:B17)</x:f>
        <x:v>25.69018</x:v>
      </x:c>
      <x:c r="C18" s="56" t="str">
        <x:v>研究口径</x:v>
      </x:c>
      <x:c r="D18" s="55"/>
      <x:c r="E18" s="55"/>
      <x:c r="F18" s="55"/>
      <x:c r="G18" s="55"/>
    </x:row>
    <x:row r="19">
      <x:c r="A19" s="56" t="str">
        <x:v>广义净金融负债</x:v>
      </x:c>
      <x:c r="B19" s="71" t="n">
        <x:f>B18-B8</x:f>
        <x:v>16.335091000000002</x:v>
      </x:c>
      <x:c r="C19" s="56" t="str">
        <x:v>融资负债减货币资金</x:v>
      </x:c>
      <x:c r="D19" s="55"/>
      <x:c r="E19" s="55"/>
      <x:c r="F19" s="55"/>
      <x:c r="G19" s="55"/>
    </x:row>
    <x:row r="20">
      <x:c r="A20" s="56" t="str">
        <x:v>归母权益</x:v>
      </x:c>
      <x:c r="B20" s="71" t="n">
        <x:v>17.695053</x:v>
      </x:c>
      <x:c r="C20" s="56" t="str"/>
      <x:c r="D20" s="55"/>
      <x:c r="E20" s="55"/>
      <x:c r="F20" s="55"/>
      <x:c r="G20" s="55"/>
    </x:row>
    <x:row r="21">
      <x:c r="A21" s="55"/>
      <x:c r="B21" s="55"/>
      <x:c r="C21" s="55"/>
      <x:c r="D21" s="55"/>
      <x:c r="E21" s="55"/>
      <x:c r="F21" s="55"/>
      <x:c r="G21" s="55"/>
    </x:row>
    <x:row r="22">
      <x:c r="A22" s="55"/>
      <x:c r="B22" s="55"/>
      <x:c r="C22" s="55"/>
      <x:c r="D22" s="55"/>
      <x:c r="E22" s="55"/>
      <x:c r="F22" s="55"/>
      <x:c r="G22" s="55"/>
    </x:row>
    <x:row r="23">
      <x:c r="A23" s="31" t="str">
        <x:v>杠杆、限制与承诺</x:v>
      </x:c>
      <x:c r="B23" s="31"/>
      <x:c r="C23" s="31"/>
      <x:c r="D23" s="31"/>
      <x:c r="E23" s="31"/>
      <x:c r="F23" s="31"/>
      <x:c r="G23" s="31"/>
    </x:row>
    <x:row r="24">
      <x:c r="A24" s="55"/>
      <x:c r="B24" s="55"/>
      <x:c r="C24" s="55"/>
      <x:c r="D24" s="55"/>
      <x:c r="E24" s="55"/>
      <x:c r="F24" s="55"/>
      <x:c r="G24" s="55"/>
    </x:row>
    <x:row r="25">
      <x:c r="A25" s="15" t="str">
        <x:v>指标</x:v>
      </x:c>
      <x:c r="B25" s="15" t="str">
        <x:v>结果</x:v>
      </x:c>
      <x:c r="C25" s="15" t="str">
        <x:v>说明</x:v>
      </x:c>
      <x:c r="D25" s="55"/>
      <x:c r="E25" s="55"/>
      <x:c r="F25" s="55"/>
      <x:c r="G25" s="55"/>
    </x:row>
    <x:row r="26">
      <x:c r="A26" s="56" t="str">
        <x:v>广义净金融负债/权益</x:v>
      </x:c>
      <x:c r="B26" s="63" t="n">
        <x:f>B19/B20</x:f>
        <x:v>0.9231445082419364</x:v>
      </x:c>
      <x:c r="C26" s="56" t="str"/>
      <x:c r="D26" s="55"/>
      <x:c r="E26" s="55"/>
      <x:c r="F26" s="55"/>
      <x:c r="G26" s="55"/>
    </x:row>
    <x:row r="27">
      <x:c r="A27" s="56" t="str">
        <x:v>资产负债率</x:v>
      </x:c>
      <x:c r="B27" s="63" t="n">
        <x:f>'Historical'!G22</x:f>
        <x:v>0.6568705356338639</x:v>
      </x:c>
      <x:c r="C27" s="56" t="str"/>
      <x:c r="D27" s="55"/>
      <x:c r="E27" s="55"/>
      <x:c r="F27" s="55"/>
      <x:c r="G27" s="55"/>
    </x:row>
    <x:row r="28">
      <x:c r="A28" s="56" t="str">
        <x:v>受限资产</x:v>
      </x:c>
      <x:c r="B28" s="71" t="n">
        <x:v>17.132</x:v>
      </x:c>
      <x:c r="C28" s="56" t="str">
        <x:v>其中抵押固定资产约 16.976</x:v>
      </x:c>
      <x:c r="D28" s="55"/>
      <x:c r="E28" s="55"/>
      <x:c r="F28" s="55"/>
      <x:c r="G28" s="55"/>
    </x:row>
    <x:row r="29">
      <x:c r="A29" s="56" t="str">
        <x:v>飞机与发动机资本承诺</x:v>
      </x:c>
      <x:c r="B29" s="71" t="n">
        <x:v>19.664</x:v>
      </x:c>
      <x:c r="C29" s="56" t="str">
        <x:v>未来付款承诺</x:v>
      </x:c>
      <x:c r="D29" s="55"/>
      <x:c r="E29" s="55"/>
      <x:c r="F29" s="55"/>
      <x:c r="G29" s="55"/>
    </x:row>
    <x:row r="30">
      <x:c r="A30" s="56" t="str">
        <x:v>已签未起租租赁付款</x:v>
      </x:c>
      <x:c r="B30" s="71" t="n">
        <x:v>1.019</x:v>
      </x:c>
      <x:c r="C30" s="56" t="str">
        <x:v>未来付款</x:v>
      </x:c>
      <x:c r="D30" s="55"/>
      <x:c r="E30" s="55"/>
      <x:c r="F30" s="55"/>
      <x:c r="G30" s="55"/>
    </x:row>
    <x:row r="31">
      <x:c r="A31" s="56" t="str">
        <x:v>滚动简化自由现金流</x:v>
      </x:c>
      <x:c r="B31" s="71" t="n">
        <x:f>'Historical'!C31</x:f>
        <x:v>-0.7798109999999996</x:v>
      </x:c>
      <x:c r="C31" s="56" t="str">
        <x:v>历史口径</x:v>
      </x:c>
      <x:c r="D31" s="55"/>
      <x:c r="E31" s="55"/>
      <x:c r="F31" s="55"/>
      <x:c r="G31" s="55"/>
    </x:row>
    <x:row r="32">
      <x:c r="A32" s="55"/>
      <x:c r="B32" s="55"/>
      <x:c r="C32" s="55"/>
      <x:c r="D32" s="55"/>
      <x:c r="E32" s="55"/>
      <x:c r="F32" s="55"/>
      <x:c r="G32" s="55"/>
    </x:row>
    <x:row r="33">
      <x:c r="A33" s="55"/>
      <x:c r="B33" s="55"/>
      <x:c r="C33" s="55"/>
      <x:c r="D33" s="55"/>
      <x:c r="E33" s="55"/>
      <x:c r="F33" s="55"/>
      <x:c r="G33" s="55"/>
    </x:row>
    <x:row r="34">
      <x:c r="A34" s="75" t="str">
        <x:v>解释</x:v>
      </x:c>
      <x:c r="B34" s="75"/>
      <x:c r="C34" s="75"/>
      <x:c r="D34" s="75"/>
      <x:c r="E34" s="75"/>
      <x:c r="F34" s="75"/>
      <x:c r="G34" s="75"/>
    </x:row>
    <x:row r="35">
      <x:c r="A35" s="76" t="str">
        <x:v>融资负债含借款、债券、融资租赁、租赁负债和长期应付款，不等同公司净借款口径。</x:v>
      </x:c>
      <x:c r="B35" s="76"/>
      <x:c r="C35" s="76"/>
      <x:c r="D35" s="76"/>
      <x:c r="E35" s="76"/>
      <x:c r="F35" s="76"/>
      <x:c r="G35" s="76"/>
    </x:row>
    <x:row r="36">
      <x:c r="A36" s="76" t="str">
        <x:v>飞机是经营资产，债务和租赁与机队扩张相匹配；风险在于票价和现金流能否覆盖融资。</x:v>
      </x:c>
      <x:c r="B36" s="76"/>
      <x:c r="C36" s="76"/>
      <x:c r="D36" s="76"/>
      <x:c r="E36" s="76"/>
      <x:c r="F36" s="76"/>
      <x:c r="G36" s="76"/>
    </x:row>
    <x:row r="37">
      <x:c r="A37" s="76" t="str">
        <x:v>资本承诺并非同一期间到期，但显示后续投入约束。</x:v>
      </x:c>
      <x:c r="B37" s="76"/>
      <x:c r="C37" s="76"/>
      <x:c r="D37" s="76"/>
      <x:c r="E37" s="76"/>
      <x:c r="F37" s="76"/>
      <x:c r="G37" s="76"/>
    </x:row>
    <x:row r="38">
      <x:c r="A38" s="76" t="str">
        <x:v>2026H1 购建长期资产现金支出高于经营现金流，扩张阶段自由现金流偏弱。</x:v>
      </x:c>
      <x:c r="B38" s="76"/>
      <x:c r="C38" s="76"/>
      <x:c r="D38" s="76"/>
      <x:c r="E38" s="76"/>
      <x:c r="F38" s="76"/>
      <x:c r="G38" s="76"/>
    </x:row>
    <x:row r="39">
      <x:c r="A39" s="55"/>
      <x:c r="B39" s="55"/>
      <x:c r="C39" s="55"/>
      <x:c r="D39" s="55"/>
      <x:c r="E39" s="55"/>
      <x:c r="F39" s="55"/>
      <x:c r="G39" s="55"/>
    </x:row>
    <x:row r="40">
      <x:c r="A40" s="55"/>
      <x:c r="B40" s="55"/>
      <x:c r="C40" s="55"/>
      <x:c r="D40" s="55"/>
      <x:c r="E40" s="55"/>
      <x:c r="F40" s="55"/>
      <x:c r="G40" s="55"/>
    </x:row>
    <x:row r="41">
      <x:c r="A41" s="55"/>
      <x:c r="B41" s="55"/>
      <x:c r="C41" s="55"/>
      <x:c r="D41" s="55"/>
      <x:c r="E41" s="55"/>
      <x:c r="F41" s="55"/>
      <x:c r="G41" s="55"/>
    </x:row>
    <x:row r="42">
      <x:c r="A42" s="55"/>
      <x:c r="B42" s="55"/>
      <x:c r="C42" s="55"/>
      <x:c r="D42" s="55"/>
      <x:c r="E42" s="55"/>
      <x:c r="F42" s="55"/>
      <x:c r="G42" s="55"/>
    </x:row>
    <x:row r="43">
      <x:c r="A43" s="55"/>
      <x:c r="B43" s="55"/>
      <x:c r="C43" s="55"/>
      <x:c r="D43" s="55"/>
      <x:c r="E43" s="55"/>
      <x:c r="F43" s="55"/>
      <x:c r="G43" s="55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5:G5"/>
    <x:mergeCell ref="A23:G23"/>
    <x:mergeCell ref="A34:G34"/>
    <x:mergeCell ref="A35:G35"/>
    <x:mergeCell ref="A36:G36"/>
    <x:mergeCell ref="A37:G37"/>
    <x:mergeCell ref="A38:G3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  <x:col min="7" max="7" width="3" hidden="0" customWidth="1"/>
  </x:cols>
  <x:sheetData>
    <x:row r="1">
      <x:c r="A1" s="4" t="str">
        <x:v>基准预测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人民币十亿元；2026E—2028E 为研究假设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14" t="str">
        <x:v>指标</x:v>
      </x:c>
      <x:c r="B5" s="14" t="str">
        <x:v>2025A</x:v>
      </x:c>
      <x:c r="C5" s="14" t="str">
        <x:v>2026E</x:v>
      </x:c>
      <x:c r="D5" s="14" t="str">
        <x:v>2027E</x:v>
      </x:c>
      <x:c r="E5" s="14" t="str">
        <x:v>2028E</x:v>
      </x:c>
      <x:c r="F5" s="14" t="str">
        <x:v>说明</x:v>
      </x:c>
      <x:c r="G5" s="55"/>
    </x:row>
    <x:row r="6">
      <x:c r="A6" s="55"/>
      <x:c r="B6" s="55"/>
      <x:c r="C6" s="55"/>
      <x:c r="D6" s="55"/>
      <x:c r="E6" s="55"/>
      <x:c r="F6" s="55"/>
      <x:c r="G6" s="55"/>
    </x:row>
    <x:row r="7">
      <x:c r="A7" s="55"/>
      <x:c r="B7" s="55"/>
      <x:c r="C7" s="55"/>
      <x:c r="D7" s="55"/>
      <x:c r="E7" s="55"/>
      <x:c r="F7" s="55"/>
      <x:c r="G7" s="55"/>
    </x:row>
    <x:row r="8">
      <x:c r="A8" s="56" t="str">
        <x:v>ASK（十亿座公里）</x:v>
      </x:c>
      <x:c r="B8" s="86" t="n">
        <x:f>'Assumptions'!B32</x:f>
        <x:v>61.749</x:v>
      </x:c>
      <x:c r="C8" s="86" t="n">
        <x:f>'Assumptions'!C32</x:f>
        <x:v>70</x:v>
      </x:c>
      <x:c r="D8" s="86" t="n">
        <x:f>'Assumptions'!D32</x:f>
        <x:v>76</x:v>
      </x:c>
      <x:c r="E8" s="86" t="n">
        <x:f>'Assumptions'!E32</x:f>
        <x:v>82</x:v>
      </x:c>
      <x:c r="F8" s="56" t="str">
        <x:v>运力</x:v>
      </x:c>
      <x:c r="G8" s="55"/>
    </x:row>
    <x:row r="9">
      <x:c r="A9" s="56" t="str">
        <x:v>ASK 增长</x:v>
      </x:c>
      <x:c r="B9" s="87"/>
      <x:c r="C9" s="87" t="n">
        <x:f>C8/B8-1</x:f>
        <x:v>0.13362159711088428</x:v>
      </x:c>
      <x:c r="D9" s="87" t="n">
        <x:f>D8/C8-1</x:f>
        <x:v>0.08571428571428563</x:v>
      </x:c>
      <x:c r="E9" s="87" t="n">
        <x:f>E8/D8-1</x:f>
        <x:v>0.07894736842105265</x:v>
      </x:c>
      <x:c r="F9" s="56" t="str"/>
      <x:c r="G9" s="55"/>
    </x:row>
    <x:row r="10">
      <x:c r="A10" s="56" t="str">
        <x:v>客座率</x:v>
      </x:c>
      <x:c r="B10" s="87" t="n">
        <x:f>'Assumptions'!B33</x:f>
        <x:v>0.9153</x:v>
      </x:c>
      <x:c r="C10" s="87" t="n">
        <x:f>'Assumptions'!C33</x:f>
        <x:v>0.93</x:v>
      </x:c>
      <x:c r="D10" s="87" t="n">
        <x:f>'Assumptions'!D33</x:f>
        <x:v>0.932</x:v>
      </x:c>
      <x:c r="E10" s="87" t="n">
        <x:f>'Assumptions'!E33</x:f>
        <x:v>0.935</x:v>
      </x:c>
      <x:c r="F10" s="56" t="str"/>
      <x:c r="G10" s="55"/>
    </x:row>
    <x:row r="11">
      <x:c r="A11" s="56" t="str">
        <x:v>RPK（十亿客公里）</x:v>
      </x:c>
      <x:c r="B11" s="86" t="n">
        <x:f>B8*B10</x:f>
        <x:v>56.5188597</x:v>
      </x:c>
      <x:c r="C11" s="86" t="n">
        <x:f>C8*C10</x:f>
        <x:v>65.10000000000001</x:v>
      </x:c>
      <x:c r="D11" s="86" t="n">
        <x:f>D8*D10</x:f>
        <x:v>70.83200000000001</x:v>
      </x:c>
      <x:c r="E11" s="86" t="n">
        <x:f>E8*E10</x:f>
        <x:v>76.67</x:v>
      </x:c>
      <x:c r="F11" s="56" t="str">
        <x:v>ASK×客座率</x:v>
      </x:c>
      <x:c r="G11" s="55"/>
    </x:row>
    <x:row r="12">
      <x:c r="A12" s="56" t="str">
        <x:v>客公里收益（元）</x:v>
      </x:c>
      <x:c r="B12" s="86" t="n">
        <x:f>'Assumptions'!B34</x:f>
        <x:v>0.37</x:v>
      </x:c>
      <x:c r="C12" s="86" t="n">
        <x:f>'Assumptions'!C34</x:f>
        <x:v>0.375</x:v>
      </x:c>
      <x:c r="D12" s="86" t="n">
        <x:f>'Assumptions'!D34</x:f>
        <x:v>0.385</x:v>
      </x:c>
      <x:c r="E12" s="86" t="n">
        <x:f>'Assumptions'!E34</x:f>
        <x:v>0.39</x:v>
      </x:c>
      <x:c r="F12" s="56" t="str"/>
      <x:c r="G12" s="55"/>
    </x:row>
    <x:row r="13">
      <x:c r="A13" s="56" t="str">
        <x:v>旅客运输收入</x:v>
      </x:c>
      <x:c r="B13" s="86" t="n">
        <x:f>B11*B12</x:f>
        <x:v>20.911978089</x:v>
      </x:c>
      <x:c r="C13" s="86" t="n">
        <x:f>C11*C12</x:f>
        <x:v>24.4125</x:v>
      </x:c>
      <x:c r="D13" s="86" t="n">
        <x:f>D11*D12</x:f>
        <x:v>27.270320000000005</x:v>
      </x:c>
      <x:c r="E13" s="86" t="n">
        <x:f>E11*E12</x:f>
        <x:v>29.901300000000003</x:v>
      </x:c>
      <x:c r="F13" s="56" t="str">
        <x:v>RPK×收益</x:v>
      </x:c>
      <x:c r="G13" s="55"/>
    </x:row>
    <x:row r="14">
      <x:c r="A14" s="56" t="str">
        <x:v>其他收入</x:v>
      </x:c>
      <x:c r="B14" s="86" t="n">
        <x:v>0.55</x:v>
      </x:c>
      <x:c r="C14" s="86" t="n">
        <x:v>0.6</x:v>
      </x:c>
      <x:c r="D14" s="86" t="n">
        <x:v>0.73</x:v>
      </x:c>
      <x:c r="E14" s="86" t="n">
        <x:v>0.9</x:v>
      </x:c>
      <x:c r="F14" s="56" t="str">
        <x:v>货运及其他</x:v>
      </x:c>
      <x:c r="G14" s="55"/>
    </x:row>
    <x:row r="15">
      <x:c r="A15" s="56" t="str">
        <x:v>营业收入</x:v>
      </x:c>
      <x:c r="B15" s="86" t="n">
        <x:f>B13+B14</x:f>
        <x:v>21.461978089000002</x:v>
      </x:c>
      <x:c r="C15" s="86" t="n">
        <x:f>C13+C14</x:f>
        <x:v>25.012500000000003</x:v>
      </x:c>
      <x:c r="D15" s="86" t="n">
        <x:f>D13+D14</x:f>
        <x:v>28.000320000000006</x:v>
      </x:c>
      <x:c r="E15" s="86" t="n">
        <x:f>E13+E14</x:f>
        <x:v>30.8013</x:v>
      </x:c>
      <x:c r="F15" s="56" t="str">
        <x:v>合计</x:v>
      </x:c>
      <x:c r="G15" s="55"/>
    </x:row>
    <x:row r="16">
      <x:c r="A16" s="56" t="str">
        <x:v>收入增长</x:v>
      </x:c>
      <x:c r="B16" s="87"/>
      <x:c r="C16" s="87" t="n">
        <x:f>C15/B15-1</x:f>
        <x:v>0.16543311600992472</x:v>
      </x:c>
      <x:c r="D16" s="87" t="n">
        <x:f>D15/C15-1</x:f>
        <x:v>0.11945307346326839</x:v>
      </x:c>
      <x:c r="E16" s="87" t="n">
        <x:f>E15/D15-1</x:f>
        <x:v>0.10003385675592269</x:v>
      </x:c>
      <x:c r="F16" s="56" t="str"/>
      <x:c r="G16" s="55"/>
    </x:row>
    <x:row r="17">
      <x:c r="A17" s="56" t="str">
        <x:v>单位营业成本（元/ASK）</x:v>
      </x:c>
      <x:c r="B17" s="86" t="n">
        <x:f>'Assumptions'!B35</x:f>
        <x:v>0.3003</x:v>
      </x:c>
      <x:c r="C17" s="86" t="n">
        <x:f>'Assumptions'!C35</x:f>
        <x:v>0.315</x:v>
      </x:c>
      <x:c r="D17" s="86" t="n">
        <x:f>'Assumptions'!D35</x:f>
        <x:v>0.315</x:v>
      </x:c>
      <x:c r="E17" s="86" t="n">
        <x:f>'Assumptions'!E35</x:f>
        <x:v>0.312</x:v>
      </x:c>
      <x:c r="F17" s="56" t="str"/>
      <x:c r="G17" s="55"/>
    </x:row>
    <x:row r="18">
      <x:c r="A18" s="56" t="str">
        <x:v>营业成本</x:v>
      </x:c>
      <x:c r="B18" s="86" t="n">
        <x:f>B8*B17</x:f>
        <x:v>18.5432247</x:v>
      </x:c>
      <x:c r="C18" s="86" t="n">
        <x:f>C8*C17</x:f>
        <x:v>22.05</x:v>
      </x:c>
      <x:c r="D18" s="86" t="n">
        <x:f>D8*D17</x:f>
        <x:v>23.94</x:v>
      </x:c>
      <x:c r="E18" s="86" t="n">
        <x:f>E8*E17</x:f>
        <x:v>25.584</x:v>
      </x:c>
      <x:c r="F18" s="56" t="str">
        <x:v>ASK×单位成本</x:v>
      </x:c>
      <x:c r="G18" s="55"/>
    </x:row>
    <x:row r="19">
      <x:c r="A19" s="56" t="str">
        <x:v>航线及财政补助</x:v>
      </x:c>
      <x:c r="B19" s="86" t="n">
        <x:f>'Assumptions'!B36</x:f>
        <x:v>1.212082</x:v>
      </x:c>
      <x:c r="C19" s="86" t="n">
        <x:f>'Assumptions'!C36</x:f>
        <x:v>1.25</x:v>
      </x:c>
      <x:c r="D19" s="86" t="n">
        <x:f>'Assumptions'!D36</x:f>
        <x:v>1.35</x:v>
      </x:c>
      <x:c r="E19" s="86" t="n">
        <x:f>'Assumptions'!E36</x:f>
        <x:v>1.45</x:v>
      </x:c>
      <x:c r="F19" s="56" t="str">
        <x:v>其他收益</x:v>
      </x:c>
      <x:c r="G19" s="55"/>
    </x:row>
    <x:row r="20">
      <x:c r="A20" s="56" t="str">
        <x:v>其他费用净额</x:v>
      </x:c>
      <x:c r="B20" s="86" t="n">
        <x:v>1.097</x:v>
      </x:c>
      <x:c r="C20" s="86" t="n">
        <x:v>1.45</x:v>
      </x:c>
      <x:c r="D20" s="86" t="n">
        <x:v>1.68</x:v>
      </x:c>
      <x:c r="E20" s="86" t="n">
        <x:v>1.95</x:v>
      </x:c>
      <x:c r="F20" s="56" t="str">
        <x:v>销售、管理、财务等净额</x:v>
      </x:c>
      <x:c r="G20" s="55"/>
    </x:row>
    <x:row r="21">
      <x:c r="A21" s="56" t="str">
        <x:v>税前利润</x:v>
      </x:c>
      <x:c r="B21" s="86" t="n">
        <x:f>B15-B18+B19-B20</x:f>
        <x:v>3.033835389000003</x:v>
      </x:c>
      <x:c r="C21" s="86" t="n">
        <x:f>C15-C18+C19-C20</x:f>
        <x:v>2.762500000000002</x:v>
      </x:c>
      <x:c r="D21" s="86" t="n">
        <x:f>D15-D18+D19-D20</x:f>
        <x:v>3.7303200000000043</x:v>
      </x:c>
      <x:c r="E21" s="86" t="n">
        <x:f>E15-E18+E19-E20</x:f>
        <x:v>4.717300000000002</x:v>
      </x:c>
      <x:c r="F21" s="56" t="str">
        <x:v>收入-成本+补助-其他费用</x:v>
      </x:c>
      <x:c r="G21" s="55"/>
    </x:row>
    <x:row r="22">
      <x:c r="A22" s="56" t="str">
        <x:v>所得税率</x:v>
      </x:c>
      <x:c r="B22" s="87" t="n">
        <x:v>0.235</x:v>
      </x:c>
      <x:c r="C22" s="87" t="n">
        <x:v>0.225</x:v>
      </x:c>
      <x:c r="D22" s="87" t="n">
        <x:v>0.25</x:v>
      </x:c>
      <x:c r="E22" s="87" t="n">
        <x:v>0.25</x:v>
      </x:c>
      <x:c r="F22" s="56" t="str"/>
      <x:c r="G22" s="55"/>
    </x:row>
    <x:row r="23">
      <x:c r="A23" s="56" t="str">
        <x:v>归母净利润</x:v>
      </x:c>
      <x:c r="B23" s="86" t="n">
        <x:f>B21*(1-B22)</x:f>
        <x:v>2.3208840725850024</x:v>
      </x:c>
      <x:c r="C23" s="86" t="n">
        <x:f>C21*(1-C22)</x:f>
        <x:v>2.1409375000000015</x:v>
      </x:c>
      <x:c r="D23" s="86" t="n">
        <x:f>D21*(1-D22)</x:f>
        <x:v>2.7977400000000032</x:v>
      </x:c>
      <x:c r="E23" s="86" t="n">
        <x:f>E21*(1-E22)</x:f>
        <x:v>3.537975000000001</x:v>
      </x:c>
      <x:c r="F23" s="56" t="str">
        <x:v>简化口径</x:v>
      </x:c>
      <x:c r="G23" s="55"/>
    </x:row>
    <x:row r="24">
      <x:c r="A24" s="56" t="str">
        <x:v>归母净利率</x:v>
      </x:c>
      <x:c r="B24" s="87" t="n">
        <x:f>B23/B15</x:f>
        <x:v>0.10813933659612368</x:v>
      </x:c>
      <x:c r="C24" s="87" t="n">
        <x:f>C23/C15</x:f>
        <x:v>0.08559470264867572</x:v>
      </x:c>
      <x:c r="D24" s="87" t="n">
        <x:f>D23/D15</x:f>
        <x:v>0.09991814379264247</x:v>
      </x:c>
      <x:c r="E24" s="87" t="n">
        <x:f>E23/E15</x:f>
        <x:v>0.11486447000613614</x:v>
      </x:c>
      <x:c r="F24" s="56" t="str"/>
      <x:c r="G24" s="55"/>
    </x:row>
    <x:row r="25">
      <x:c r="A25" s="56" t="str">
        <x:v>摊薄股本（十亿股）</x:v>
      </x:c>
      <x:c r="B25" s="86" t="n">
        <x:v>0.978333423</x:v>
      </x:c>
      <x:c r="C25" s="86" t="n">
        <x:v>0.978333423</x:v>
      </x:c>
      <x:c r="D25" s="86" t="n">
        <x:v>0.978333423</x:v>
      </x:c>
      <x:c r="E25" s="86" t="n">
        <x:v>0.978333423</x:v>
      </x:c>
      <x:c r="F25" s="56" t="str">
        <x:v>总股本</x:v>
      </x:c>
      <x:c r="G25" s="55"/>
    </x:row>
    <x:row r="26">
      <x:c r="A26" s="56" t="str">
        <x:v>摊薄 EPS（元）</x:v>
      </x:c>
      <x:c r="B26" s="86" t="n">
        <x:f>B23/B25</x:f>
        <x:v>2.372283332065005</x:v>
      </x:c>
      <x:c r="C26" s="86" t="n">
        <x:f>C23/C25</x:f>
        <x:v>2.1883515881885613</x:v>
      </x:c>
      <x:c r="D26" s="86" t="n">
        <x:f>D23/D25</x:f>
        <x:v>2.859699908259194</x:v>
      </x:c>
      <x:c r="E26" s="86" t="n">
        <x:f>E23/E25</x:f>
        <x:v>3.6163284590145306</x:v>
      </x:c>
      <x:c r="F26" s="56" t="str"/>
      <x:c r="G26" s="55"/>
    </x:row>
    <x:row r="27">
      <x:c r="A27" s="55"/>
      <x:c r="B27" s="55"/>
      <x:c r="C27" s="55"/>
      <x:c r="D27" s="55"/>
      <x:c r="E27" s="55"/>
      <x:c r="F27" s="55"/>
      <x:c r="G27" s="55"/>
    </x:row>
    <x:row r="28">
      <x:c r="A28" s="55"/>
      <x:c r="B28" s="55"/>
      <x:c r="C28" s="55"/>
      <x:c r="D28" s="55"/>
      <x:c r="E28" s="55"/>
      <x:c r="F28" s="55"/>
      <x:c r="G28" s="55"/>
    </x:row>
    <x:row r="29">
      <x:c r="A29" s="75" t="str">
        <x:v>基准约束</x:v>
      </x:c>
      <x:c r="B29" s="75"/>
      <x:c r="C29" s="75"/>
      <x:c r="D29" s="75"/>
      <x:c r="E29" s="75"/>
      <x:c r="F29" s="75"/>
      <x:c r="G29" s="75"/>
    </x:row>
    <x:row r="30">
      <x:c r="A30" s="76" t="str">
        <x:v>2026E 仍反映航油成本偏高，归母利润低于 2025 年。</x:v>
      </x:c>
      <x:c r="B30" s="76"/>
      <x:c r="C30" s="76"/>
      <x:c r="D30" s="76"/>
      <x:c r="E30" s="76"/>
      <x:c r="F30" s="76"/>
      <x:c r="G30" s="76"/>
    </x:row>
    <x:row r="31">
      <x:c r="A31" s="76" t="str">
        <x:v>2027E 依靠运力增长、收益改善和单位非油成本控制，使归母利润回到约 28 亿元。</x:v>
      </x:c>
      <x:c r="B31" s="76"/>
      <x:c r="C31" s="76"/>
      <x:c r="D31" s="76"/>
      <x:c r="E31" s="76"/>
      <x:c r="F31" s="76"/>
      <x:c r="G31" s="76"/>
    </x:row>
    <x:row r="32">
      <x:c r="A32" s="76" t="str">
        <x:v>客座率已处高位，增长更依赖客公里收益和国际航线结构，而不是继续提高装载率。</x:v>
      </x:c>
      <x:c r="B32" s="76"/>
      <x:c r="C32" s="76"/>
      <x:c r="D32" s="76"/>
      <x:c r="E32" s="76"/>
      <x:c r="F32" s="76"/>
      <x:c r="G32" s="76"/>
    </x:row>
    <x:row r="33">
      <x:c r="A33" s="76" t="str">
        <x:v>其他费用净额为简化预测项，不代表会计科目的逐项预测。</x:v>
      </x:c>
      <x:c r="B33" s="76"/>
      <x:c r="C33" s="76"/>
      <x:c r="D33" s="76"/>
      <x:c r="E33" s="76"/>
      <x:c r="F33" s="76"/>
      <x:c r="G33" s="76"/>
    </x:row>
    <x:row r="34">
      <x:c r="A34" s="55"/>
      <x:c r="B34" s="55"/>
      <x:c r="C34" s="55"/>
      <x:c r="D34" s="55"/>
      <x:c r="E34" s="55"/>
      <x:c r="F34" s="55"/>
      <x:c r="G34" s="55"/>
    </x:row>
    <x:row r="35">
      <x:c r="A35" s="55"/>
      <x:c r="B35" s="55"/>
      <x:c r="C35" s="55"/>
      <x:c r="D35" s="55"/>
      <x:c r="E35" s="55"/>
      <x:c r="F35" s="55"/>
      <x:c r="G35" s="55"/>
    </x:row>
    <x:row r="36">
      <x:c r="A36" s="55"/>
      <x:c r="B36" s="55"/>
      <x:c r="C36" s="55"/>
      <x:c r="D36" s="55"/>
      <x:c r="E36" s="55"/>
      <x:c r="F36" s="55"/>
      <x:c r="G36" s="55"/>
    </x:row>
    <x:row r="37">
      <x:c r="A37" s="55"/>
      <x:c r="B37" s="55"/>
      <x:c r="C37" s="55"/>
      <x:c r="D37" s="55"/>
      <x:c r="E37" s="55"/>
      <x:c r="F37" s="55"/>
      <x:c r="G37" s="55"/>
    </x:row>
    <x:row r="38">
      <x:c r="A38" s="55"/>
      <x:c r="B38" s="55"/>
      <x:c r="C38" s="55"/>
      <x:c r="D38" s="55"/>
      <x:c r="E38" s="55"/>
      <x:c r="F38" s="55"/>
      <x:c r="G38" s="55"/>
    </x:row>
    <x:row r="39">
      <x:c r="A39" s="55"/>
      <x:c r="B39" s="55"/>
      <x:c r="C39" s="55"/>
      <x:c r="D39" s="55"/>
      <x:c r="E39" s="55"/>
      <x:c r="F39" s="55"/>
      <x:c r="G39" s="55"/>
    </x:row>
    <x:row r="40">
      <x:c r="A40" s="55"/>
      <x:c r="B40" s="55"/>
      <x:c r="C40" s="55"/>
      <x:c r="D40" s="55"/>
      <x:c r="E40" s="55"/>
      <x:c r="F40" s="55"/>
      <x:c r="G40" s="55"/>
    </x:row>
    <x:row r="41">
      <x:c r="A41" s="55"/>
      <x:c r="B41" s="55"/>
      <x:c r="C41" s="55"/>
      <x:c r="D41" s="55"/>
      <x:c r="E41" s="55"/>
      <x:c r="F41" s="55"/>
      <x:c r="G41" s="55"/>
    </x:row>
    <x:row r="42">
      <x:c r="A42" s="55"/>
      <x:c r="B42" s="55"/>
      <x:c r="C42" s="55"/>
      <x:c r="D42" s="55"/>
      <x:c r="E42" s="55"/>
      <x:c r="F42" s="55"/>
      <x:c r="G42" s="55"/>
    </x:row>
    <x:row r="43">
      <x:c r="A43" s="55"/>
      <x:c r="B43" s="55"/>
      <x:c r="C43" s="55"/>
      <x:c r="D43" s="55"/>
      <x:c r="E43" s="55"/>
      <x:c r="F43" s="55"/>
      <x:c r="G43" s="55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29:G29"/>
    <x:mergeCell ref="A30:G30"/>
    <x:mergeCell ref="A31:G31"/>
    <x:mergeCell ref="A32:G32"/>
    <x:mergeCell ref="A33:G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23" hidden="0" customWidth="1"/>
    <x:col min="4" max="4" width="20" hidden="0" customWidth="1"/>
    <x:col min="5" max="5" width="3" hidden="0" customWidth="1"/>
    <x:col min="6" max="6" width="3" hidden="0" customWidth="1"/>
    <x:col min="7" max="7" width="3" hidden="0" customWidth="1"/>
  </x:cols>
  <x:sheetData>
    <x:row r="1">
      <x:c r="A1" s="4" t="str">
        <x:v>情景估值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70% 2027E 归母 P/E + 30% 2027E P/B；使用总股本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31" t="str">
        <x:v>当前估值</x:v>
      </x:c>
      <x:c r="B5" s="31"/>
      <x:c r="C5" s="31"/>
      <x:c r="D5" s="31"/>
      <x:c r="E5" s="31"/>
      <x:c r="F5" s="31"/>
      <x:c r="G5" s="31"/>
    </x:row>
    <x:row r="6">
      <x:c r="A6" s="55"/>
      <x:c r="B6" s="55"/>
      <x:c r="C6" s="55"/>
      <x:c r="D6" s="55"/>
      <x:c r="E6" s="55"/>
      <x:c r="F6" s="55"/>
      <x:c r="G6" s="55"/>
    </x:row>
    <x:row r="7">
      <x:c r="A7" s="15" t="str">
        <x:v>指标</x:v>
      </x:c>
      <x:c r="B7" s="15" t="str">
        <x:v>结果</x:v>
      </x:c>
      <x:c r="C7" s="15" t="str">
        <x:v>说明</x:v>
      </x:c>
      <x:c r="D7" s="55"/>
      <x:c r="E7" s="55"/>
      <x:c r="F7" s="55"/>
      <x:c r="G7" s="55"/>
    </x:row>
    <x:row r="8">
      <x:c r="A8" s="56" t="str">
        <x:v>总股本市值（十亿元）</x:v>
      </x:c>
      <x:c r="B8" s="85" t="n">
        <x:f>'Assumptions'!B8*'Assumptions'!B9/1000</x:f>
        <x:v>41.03130376062</x:v>
      </x:c>
      <x:c r="C8" s="56" t="str">
        <x:v>股价×总股本</x:v>
      </x:c>
      <x:c r="D8" s="55"/>
      <x:c r="E8" s="55"/>
      <x:c r="F8" s="55"/>
      <x:c r="G8" s="55"/>
    </x:row>
    <x:row r="9">
      <x:c r="A9" s="56" t="str">
        <x:v>经济股本市值（十亿元）</x:v>
      </x:c>
      <x:c r="B9" s="85" t="n">
        <x:f>'Assumptions'!B8*'Assumptions'!B11/1000</x:f>
        <x:v>39.86946921474</x:v>
      </x:c>
      <x:c r="C9" s="56" t="str">
        <x:v>股价×扣库存股股本</x:v>
      </x:c>
      <x:c r="D9" s="55"/>
      <x:c r="E9" s="55"/>
      <x:c r="F9" s="55"/>
      <x:c r="G9" s="55"/>
    </x:row>
    <x:row r="10">
      <x:c r="A10" s="56" t="str">
        <x:v>滚动归母 P/E</x:v>
      </x:c>
      <x:c r="B10" s="88" t="n">
        <x:f>B8/'Historical'!C29</x:f>
        <x:v>18.72682783212934</x:v>
      </x:c>
      <x:c r="C10" s="56" t="str">
        <x:v>总股本市值÷滚动利润</x:v>
      </x:c>
      <x:c r="D10" s="55"/>
      <x:c r="E10" s="55"/>
      <x:c r="F10" s="55"/>
      <x:c r="G10" s="55"/>
    </x:row>
    <x:row r="11">
      <x:c r="A11" s="56" t="str">
        <x:v>2025 股息率</x:v>
      </x:c>
      <x:c r="B11" s="87" t="n">
        <x:f>'Assumptions'!B13/'Assumptions'!B8</x:f>
        <x:v>0.022889842632331903</x:v>
      </x:c>
      <x:c r="C11" s="56" t="str">
        <x:v>每股股息÷股价</x:v>
      </x:c>
      <x:c r="D11" s="55"/>
      <x:c r="E11" s="55"/>
      <x:c r="F11" s="55"/>
      <x:c r="G11" s="55"/>
    </x:row>
    <x:row r="12">
      <x:c r="A12" s="56" t="str">
        <x:v>2026H1 股息调整（元/总股）</x:v>
      </x:c>
      <x:c r="B12" s="89" t="n">
        <x:f>'Assumptions'!B12*'Assumptions'!B11/'Assumptions'!B9</x:f>
        <x:v>0.32065578314602877</x:v>
      </x:c>
      <x:c r="C12" s="56" t="str">
        <x:v>实际派息÷总股本</x:v>
      </x:c>
      <x:c r="D12" s="55"/>
      <x:c r="E12" s="55"/>
      <x:c r="F12" s="55"/>
      <x:c r="G12" s="55"/>
    </x:row>
    <x:row r="13">
      <x:c r="A13" s="55"/>
      <x:c r="B13" s="55"/>
      <x:c r="C13" s="55"/>
      <x:c r="D13" s="55"/>
      <x:c r="E13" s="55"/>
      <x:c r="F13" s="55"/>
      <x:c r="G13" s="55"/>
    </x:row>
    <x:row r="14">
      <x:c r="A14" s="55"/>
      <x:c r="B14" s="55"/>
      <x:c r="C14" s="55"/>
      <x:c r="D14" s="55"/>
      <x:c r="E14" s="55"/>
      <x:c r="F14" s="55"/>
      <x:c r="G14" s="55"/>
    </x:row>
    <x:row r="15">
      <x:c r="A15" s="31" t="str">
        <x:v>Bear / Base / Bull</x:v>
      </x:c>
      <x:c r="B15" s="31"/>
      <x:c r="C15" s="31"/>
      <x:c r="D15" s="31"/>
      <x:c r="E15" s="31"/>
      <x:c r="F15" s="31"/>
      <x:c r="G15" s="31"/>
    </x:row>
    <x:row r="16">
      <x:c r="A16" s="55"/>
      <x:c r="B16" s="55"/>
      <x:c r="C16" s="55"/>
      <x:c r="D16" s="55"/>
      <x:c r="E16" s="55"/>
      <x:c r="F16" s="55"/>
      <x:c r="G16" s="55"/>
    </x:row>
    <x:row r="17">
      <x:c r="A17" s="15" t="str">
        <x:v>指标</x:v>
      </x:c>
      <x:c r="B17" s="15" t="str">
        <x:v>Bear</x:v>
      </x:c>
      <x:c r="C17" s="15" t="str">
        <x:v>Base</x:v>
      </x:c>
      <x:c r="D17" s="15" t="str">
        <x:v>Bull</x:v>
      </x:c>
      <x:c r="E17" s="55"/>
      <x:c r="F17" s="55"/>
      <x:c r="G17" s="55"/>
    </x:row>
    <x:row r="18">
      <x:c r="A18" s="56" t="str">
        <x:v>2027 营业收入（十亿元）</x:v>
      </x:c>
      <x:c r="B18" s="85" t="n">
        <x:f>'Assumptions'!B22</x:f>
        <x:v>24.5</x:v>
      </x:c>
      <x:c r="C18" s="85" t="n">
        <x:f>'Assumptions'!C22</x:f>
        <x:v>28</x:v>
      </x:c>
      <x:c r="D18" s="85" t="n">
        <x:f>'Assumptions'!D22</x:f>
        <x:v>31.5</x:v>
      </x:c>
      <x:c r="E18" s="55"/>
      <x:c r="F18" s="55"/>
      <x:c r="G18" s="55"/>
    </x:row>
    <x:row r="19">
      <x:c r="A19" s="56" t="str">
        <x:v>2027 归母净利润（十亿元）</x:v>
      </x:c>
      <x:c r="B19" s="85" t="n">
        <x:f>'Assumptions'!B23</x:f>
        <x:v>1.5</x:v>
      </x:c>
      <x:c r="C19" s="85" t="n">
        <x:f>'Assumptions'!C23</x:f>
        <x:v>2.8</x:v>
      </x:c>
      <x:c r="D19" s="85" t="n">
        <x:f>'Assumptions'!D23</x:f>
        <x:v>3.5</x:v>
      </x:c>
      <x:c r="E19" s="55"/>
      <x:c r="F19" s="55"/>
      <x:c r="G19" s="55"/>
    </x:row>
    <x:row r="20">
      <x:c r="A20" s="56" t="str">
        <x:v>P/E</x:v>
      </x:c>
      <x:c r="B20" s="88" t="n">
        <x:f>'Assumptions'!B24</x:f>
        <x:v>13</x:v>
      </x:c>
      <x:c r="C20" s="88" t="n">
        <x:f>'Assumptions'!C24</x:f>
        <x:v>18</x:v>
      </x:c>
      <x:c r="D20" s="88" t="n">
        <x:f>'Assumptions'!D24</x:f>
        <x:v>22</x:v>
      </x:c>
      <x:c r="E20" s="55"/>
      <x:c r="F20" s="55"/>
      <x:c r="G20" s="55"/>
    </x:row>
    <x:row r="21">
      <x:c r="A21" s="56" t="str">
        <x:v>P/E 每股价值</x:v>
      </x:c>
      <x:c r="B21" s="89" t="n">
        <x:f>B19*B20*1000/'Assumptions'!$B$9</x:f>
        <x:v>19.931855072685174</x:v>
      </x:c>
      <x:c r="C21" s="89" t="n">
        <x:f>C19*C20*1000/'Assumptions'!$B$9</x:f>
        <x:v>51.516179264786295</x:v>
      </x:c>
      <x:c r="D21" s="89" t="n">
        <x:f>D19*D20*1000/'Assumptions'!$B$9</x:f>
        <x:v>78.70527387675683</x:v>
      </x:c>
      <x:c r="E21" s="55"/>
      <x:c r="F21" s="55"/>
      <x:c r="G21" s="55"/>
    </x:row>
    <x:row r="22">
      <x:c r="A22" s="56" t="str">
        <x:v>2027 BVPS（元）</x:v>
      </x:c>
      <x:c r="B22" s="89" t="n">
        <x:f>'Assumptions'!B25</x:f>
        <x:v>19</x:v>
      </x:c>
      <x:c r="C22" s="89" t="n">
        <x:f>'Assumptions'!C25</x:f>
        <x:v>20.5</x:v>
      </x:c>
      <x:c r="D22" s="89" t="n">
        <x:f>'Assumptions'!D25</x:f>
        <x:v>21.5</x:v>
      </x:c>
      <x:c r="E22" s="55"/>
      <x:c r="F22" s="55"/>
      <x:c r="G22" s="55"/>
    </x:row>
    <x:row r="23">
      <x:c r="A23" s="56" t="str">
        <x:v>P/B</x:v>
      </x:c>
      <x:c r="B23" s="88" t="n">
        <x:f>'Assumptions'!B26</x:f>
        <x:v>1.3</x:v>
      </x:c>
      <x:c r="C23" s="88" t="n">
        <x:f>'Assumptions'!C26</x:f>
        <x:v>2.2</x:v>
      </x:c>
      <x:c r="D23" s="88" t="n">
        <x:f>'Assumptions'!D26</x:f>
        <x:v>3</x:v>
      </x:c>
      <x:c r="E23" s="55"/>
      <x:c r="F23" s="55"/>
      <x:c r="G23" s="55"/>
    </x:row>
    <x:row r="24">
      <x:c r="A24" s="56" t="str">
        <x:v>P/B 每股价值</x:v>
      </x:c>
      <x:c r="B24" s="89" t="n">
        <x:f>B22*B23</x:f>
        <x:v>24.7</x:v>
      </x:c>
      <x:c r="C24" s="89" t="n">
        <x:f>C22*C23</x:f>
        <x:v>45.1</x:v>
      </x:c>
      <x:c r="D24" s="89" t="n">
        <x:f>D22*D23</x:f>
        <x:v>64.5</x:v>
      </x:c>
      <x:c r="E24" s="55"/>
      <x:c r="F24" s="55"/>
      <x:c r="G24" s="55"/>
    </x:row>
    <x:row r="25">
      <x:c r="A25" s="56" t="str">
        <x:v>P/E 权重</x:v>
      </x:c>
      <x:c r="B25" s="87" t="n">
        <x:f>'Assumptions'!$B$14</x:f>
        <x:v>0.7</x:v>
      </x:c>
      <x:c r="C25" s="87" t="n">
        <x:f>'Assumptions'!$B$14</x:f>
        <x:v>0.7</x:v>
      </x:c>
      <x:c r="D25" s="87" t="n">
        <x:f>'Assumptions'!$B$14</x:f>
        <x:v>0.7</x:v>
      </x:c>
      <x:c r="E25" s="55"/>
      <x:c r="F25" s="55"/>
      <x:c r="G25" s="55"/>
    </x:row>
    <x:row r="26">
      <x:c r="A26" s="56" t="str">
        <x:v>加权每股价值</x:v>
      </x:c>
      <x:c r="B26" s="89" t="n">
        <x:f>B21*B25+B24*(1-B25)</x:f>
        <x:v>21.362298550879622</x:v>
      </x:c>
      <x:c r="C26" s="89" t="n">
        <x:f>C21*C25+C24*(1-C25)</x:f>
        <x:v>49.5913254853504</x:v>
      </x:c>
      <x:c r="D26" s="89" t="n">
        <x:f>D21*D25+D24*(1-D25)</x:f>
        <x:v>74.44369171372978</x:v>
      </x:c>
      <x:c r="E26" s="55"/>
      <x:c r="F26" s="55"/>
      <x:c r="G26" s="55"/>
    </x:row>
    <x:row r="27">
      <x:c r="A27" s="56" t="str">
        <x:v>相对现价</x:v>
      </x:c>
      <x:c r="B27" s="87" t="n">
        <x:f>B26/'Assumptions'!$B$8-1</x:f>
        <x:v>-0.49064619573486834</x:v>
      </x:c>
      <x:c r="C27" s="87" t="n">
        <x:f>C26/'Assumptions'!$B$8-1</x:f>
        <x:v>0.1824350378004389</x:v>
      </x:c>
      <x:c r="D27" s="87" t="n">
        <x:f>D26/'Assumptions'!$B$8-1</x:f>
        <x:v>0.775004571142818</x:v>
      </x:c>
      <x:c r="E27" s="55"/>
      <x:c r="F27" s="55"/>
      <x:c r="G27" s="55"/>
    </x:row>
    <x:row r="28">
      <x:c r="A28" s="56" t="str">
        <x:v>概率</x:v>
      </x:c>
      <x:c r="B28" s="87" t="n">
        <x:f>'Assumptions'!B21</x:f>
        <x:v>0.25</x:v>
      </x:c>
      <x:c r="C28" s="87" t="n">
        <x:f>'Assumptions'!C21</x:f>
        <x:v>0.55</x:v>
      </x:c>
      <x:c r="D28" s="87" t="n">
        <x:f>'Assumptions'!D21</x:f>
        <x:v>0.2</x:v>
      </x:c>
      <x:c r="E28" s="55"/>
      <x:c r="F28" s="55"/>
      <x:c r="G28" s="55"/>
    </x:row>
    <x:row r="29">
      <x:c r="A29" s="55"/>
      <x:c r="B29" s="55"/>
      <x:c r="C29" s="55"/>
      <x:c r="D29" s="55"/>
      <x:c r="E29" s="55"/>
      <x:c r="F29" s="55"/>
      <x:c r="G29" s="55"/>
    </x:row>
    <x:row r="30">
      <x:c r="A30" s="15" t="str">
        <x:v>汇总</x:v>
      </x:c>
      <x:c r="B30" s="15" t="str">
        <x:v>结果</x:v>
      </x:c>
      <x:c r="C30" s="15" t="str">
        <x:v>说明</x:v>
      </x:c>
      <x:c r="D30" s="55"/>
      <x:c r="E30" s="55"/>
      <x:c r="F30" s="55"/>
      <x:c r="G30" s="55"/>
    </x:row>
    <x:row r="31">
      <x:c r="A31" s="56" t="str">
        <x:v>概率加权价值（元）</x:v>
      </x:c>
      <x:c r="B31" s="62" t="n">
        <x:f>SUMPRODUCT(B26:D26,B28:D28)</x:f>
        <x:v>47.50454199740858</x:v>
      </x:c>
      <x:c r="C31" s="56" t="str">
        <x:v>情景价值×概率</x:v>
      </x:c>
      <x:c r="D31" s="55"/>
      <x:c r="E31" s="55"/>
      <x:c r="F31" s="55"/>
      <x:c r="G31" s="55"/>
    </x:row>
    <x:row r="32">
      <x:c r="A32" s="56" t="str">
        <x:v>Base 对总股本市值（十亿元）</x:v>
      </x:c>
      <x:c r="B32" s="71" t="n">
        <x:f>C26*'Assumptions'!B9/1000</x:f>
        <x:v>48.51685121319</x:v>
      </x:c>
      <x:c r="C32" s="56" t="str">
        <x:v>Base 价值×总股本</x:v>
      </x:c>
      <x:c r="D32" s="55"/>
      <x:c r="E32" s="55"/>
      <x:c r="F32" s="55"/>
      <x:c r="G32" s="55"/>
    </x:row>
    <x:row r="33">
      <x:c r="A33" s="56" t="str">
        <x:v>Base 对经济股本提升</x:v>
      </x:c>
      <x:c r="B33" s="63" t="n">
        <x:f>'Assumptions'!B9/'Assumptions'!B11-1</x:f>
        <x:v>0.029140958451748356</x:v>
      </x:c>
      <x:c r="C33" s="56" t="str">
        <x:v>仅作库存股口径比较</x:v>
      </x:c>
      <x:c r="D33" s="55"/>
      <x:c r="E33" s="55"/>
      <x:c r="F33" s="55"/>
      <x:c r="G33" s="55"/>
    </x:row>
    <x:row r="34">
      <x:c r="A34" s="55"/>
      <x:c r="B34" s="55"/>
      <x:c r="C34" s="55"/>
      <x:c r="D34" s="55"/>
      <x:c r="E34" s="55"/>
      <x:c r="F34" s="55"/>
      <x:c r="G34" s="55"/>
    </x:row>
    <x:row r="35">
      <x:c r="A35" s="55"/>
      <x:c r="B35" s="55"/>
      <x:c r="C35" s="55"/>
      <x:c r="D35" s="55"/>
      <x:c r="E35" s="55"/>
      <x:c r="F35" s="55"/>
      <x:c r="G35" s="55"/>
    </x:row>
    <x:row r="36">
      <x:c r="A36" s="75" t="str">
        <x:v>关键解释</x:v>
      </x:c>
      <x:c r="B36" s="75"/>
      <x:c r="C36" s="75"/>
      <x:c r="D36" s="75"/>
      <x:c r="E36" s="75"/>
      <x:c r="F36" s="75"/>
      <x:c r="G36" s="75"/>
    </x:row>
    <x:row r="37">
      <x:c r="A37" s="76" t="str">
        <x:v>P/E 每股价值由 2027 归母利润、倍数和总股本直接计算。</x:v>
      </x:c>
      <x:c r="B37" s="76"/>
      <x:c r="C37" s="76"/>
      <x:c r="D37" s="76"/>
      <x:c r="E37" s="76"/>
      <x:c r="F37" s="76"/>
      <x:c r="G37" s="76"/>
    </x:row>
    <x:row r="38">
      <x:c r="A38" s="76" t="str">
        <x:v>P/B 提供重资产与高杠杆约束，不能替代对现金流和飞机价值的审阅。</x:v>
      </x:c>
      <x:c r="B38" s="76"/>
      <x:c r="C38" s="76"/>
      <x:c r="D38" s="76"/>
      <x:c r="E38" s="76"/>
      <x:c r="F38" s="76"/>
      <x:c r="G38" s="76"/>
    </x:row>
    <x:row r="39">
      <x:c r="A39" s="76" t="str">
        <x:v>库存股尚未注销，故主估值使用总股本；经济股本只用于市值比较。</x:v>
      </x:c>
      <x:c r="B39" s="76"/>
      <x:c r="C39" s="76"/>
      <x:c r="D39" s="76"/>
      <x:c r="E39" s="76"/>
      <x:c r="F39" s="76"/>
      <x:c r="G39" s="76"/>
    </x:row>
    <x:row r="40">
      <x:c r="A40" s="76" t="str">
        <x:v>情景价值对油价、票价、补贴和倍数都敏感，不是短期价格承诺。</x:v>
      </x:c>
      <x:c r="B40" s="76"/>
      <x:c r="C40" s="76"/>
      <x:c r="D40" s="76"/>
      <x:c r="E40" s="76"/>
      <x:c r="F40" s="76"/>
      <x:c r="G40" s="76"/>
    </x:row>
    <x:row r="41">
      <x:c r="A41" s="55"/>
      <x:c r="B41" s="55"/>
      <x:c r="C41" s="55"/>
      <x:c r="D41" s="55"/>
      <x:c r="E41" s="55"/>
      <x:c r="F41" s="55"/>
      <x:c r="G41" s="55"/>
    </x:row>
    <x:row r="42">
      <x:c r="A42" s="55"/>
      <x:c r="B42" s="55"/>
      <x:c r="C42" s="55"/>
      <x:c r="D42" s="55"/>
      <x:c r="E42" s="55"/>
      <x:c r="F42" s="55"/>
      <x:c r="G42" s="55"/>
    </x:row>
    <x:row r="43">
      <x:c r="A43" s="55"/>
      <x:c r="B43" s="55"/>
      <x:c r="C43" s="55"/>
      <x:c r="D43" s="55"/>
      <x:c r="E43" s="55"/>
      <x:c r="F43" s="55"/>
      <x:c r="G43" s="55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5:G5"/>
    <x:mergeCell ref="A15:G15"/>
    <x:mergeCell ref="A36:G36"/>
    <x:mergeCell ref="A37:G37"/>
    <x:mergeCell ref="A38:G38"/>
    <x:mergeCell ref="A39:G39"/>
    <x:mergeCell ref="A40:G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5" hidden="0" customWidth="1"/>
    <x:col min="4" max="4" width="15" hidden="0" customWidth="1"/>
    <x:col min="5" max="5" width="3" hidden="0" customWidth="1"/>
    <x:col min="6" max="6" width="3" hidden="0" customWidth="1"/>
  </x:cols>
  <x:sheetData>
    <x:row r="1">
      <x:c r="A1" s="4" t="str">
        <x:v>模型检查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差异显示为 0.00；检查结果不回写估值</x:v>
      </x:c>
      <x:c r="B3" s="6"/>
      <x:c r="C3" s="6"/>
      <x:c r="D3" s="6"/>
      <x:c r="E3" s="6"/>
      <x:c r="F3" s="6"/>
    </x:row>
    <x:row r="4">
      <x:c r="A4" s="55"/>
      <x:c r="B4" s="55"/>
      <x:c r="C4" s="55"/>
      <x:c r="D4" s="55"/>
      <x:c r="E4" s="55"/>
      <x:c r="F4" s="55"/>
    </x:row>
    <x:row r="5">
      <x:c r="A5" s="14" t="str">
        <x:v>检查</x:v>
      </x:c>
      <x:c r="B5" s="14" t="str">
        <x:v>结果/差异</x:v>
      </x:c>
      <x:c r="C5" s="14" t="str">
        <x:v>容差</x:v>
      </x:c>
      <x:c r="D5" s="14" t="str">
        <x:v>状态</x:v>
      </x:c>
      <x:c r="E5" s="55"/>
      <x:c r="F5" s="55"/>
    </x:row>
    <x:row r="6">
      <x:c r="A6" s="55"/>
      <x:c r="B6" s="55"/>
      <x:c r="C6" s="55"/>
      <x:c r="D6" s="55"/>
      <x:c r="E6" s="55"/>
      <x:c r="F6" s="55"/>
    </x:row>
    <x:row r="7">
      <x:c r="A7" s="56" t="str">
        <x:v>预测收入合计 2027</x:v>
      </x:c>
      <x:c r="B7" s="72" t="n">
        <x:f>'Forecast'!D15-('Forecast'!D13+'Forecast'!D14)</x:f>
        <x:v>0</x:v>
      </x:c>
      <x:c r="C7" s="72" t="n">
        <x:v>0.001</x:v>
      </x:c>
      <x:c r="D7" s="83" t="str">
        <x:f>IF(ABS(B7)&lt;=C7,"OK","CHECK")</x:f>
        <x:v>OK</x:v>
      </x:c>
      <x:c r="E7" s="55"/>
      <x:c r="F7" s="55"/>
    </x:row>
    <x:row r="8">
      <x:c r="A8" s="56" t="str">
        <x:v>预测利润计算 2027</x:v>
      </x:c>
      <x:c r="B8" s="72" t="n">
        <x:f>'Forecast'!D23-'Forecast'!D21*(1-'Forecast'!D22)</x:f>
        <x:v>0</x:v>
      </x:c>
      <x:c r="C8" s="72" t="n">
        <x:v>0.001</x:v>
      </x:c>
      <x:c r="D8" s="83" t="str">
        <x:f>IF(ABS(B8)&lt;=C8,"OK","CHECK")</x:f>
        <x:v>OK</x:v>
      </x:c>
      <x:c r="E8" s="55"/>
      <x:c r="F8" s="55"/>
    </x:row>
    <x:row r="9">
      <x:c r="A9" s="56" t="str">
        <x:v>总股本与经济股本桥</x:v>
      </x:c>
      <x:c r="B9" s="72" t="n">
        <x:f>'Assumptions'!B11-('Assumptions'!B9-'Assumptions'!B10)</x:f>
        <x:v>0</x:v>
      </x:c>
      <x:c r="C9" s="72" t="n">
        <x:v>0.001</x:v>
      </x:c>
      <x:c r="D9" s="83" t="str">
        <x:f>IF(ABS(B9)&lt;=C9,"OK","CHECK")</x:f>
        <x:v>OK</x:v>
      </x:c>
      <x:c r="E9" s="55"/>
      <x:c r="F9" s="55"/>
    </x:row>
    <x:row r="10">
      <x:c r="A10" s="56" t="str">
        <x:v>概率合计</x:v>
      </x:c>
      <x:c r="B10" s="72" t="n">
        <x:f>SUM('Assumptions'!B21:D21)-1</x:f>
        <x:v>0</x:v>
      </x:c>
      <x:c r="C10" s="72" t="n">
        <x:v>0.0001</x:v>
      </x:c>
      <x:c r="D10" s="83" t="str">
        <x:f>IF(ABS(B10)&lt;=C10,"OK","CHECK")</x:f>
        <x:v>OK</x:v>
      </x:c>
      <x:c r="E10" s="55"/>
      <x:c r="F10" s="55"/>
    </x:row>
    <x:row r="11">
      <x:c r="A11" s="56" t="str">
        <x:v>估值权重合计</x:v>
      </x:c>
      <x:c r="B11" s="72" t="n">
        <x:f>'Assumptions'!B14+'Assumptions'!B15-1</x:f>
        <x:v>0</x:v>
      </x:c>
      <x:c r="C11" s="72" t="n">
        <x:v>0.0001</x:v>
      </x:c>
      <x:c r="D11" s="83" t="str">
        <x:f>IF(ABS(B11)&lt;=C11,"OK","CHECK")</x:f>
        <x:v>OK</x:v>
      </x:c>
      <x:c r="E11" s="55"/>
      <x:c r="F11" s="55"/>
    </x:row>
    <x:row r="12">
      <x:c r="A12" s="56" t="str">
        <x:v>Base P/E 价值重算</x:v>
      </x:c>
      <x:c r="B12" s="72" t="n">
        <x:f>'Valuation'!C21-('Valuation'!C19*'Valuation'!C20*1000/'Assumptions'!B9)</x:f>
        <x:v>0</x:v>
      </x:c>
      <x:c r="C12" s="72" t="n">
        <x:v>0.001</x:v>
      </x:c>
      <x:c r="D12" s="83" t="str">
        <x:f>IF(ABS(B12)&lt;=C12,"OK","CHECK")</x:f>
        <x:v>OK</x:v>
      </x:c>
      <x:c r="E12" s="55"/>
      <x:c r="F12" s="55"/>
    </x:row>
    <x:row r="13">
      <x:c r="A13" s="56" t="str">
        <x:v>Base P/B 价值重算</x:v>
      </x:c>
      <x:c r="B13" s="72" t="n">
        <x:f>'Valuation'!C24-'Valuation'!C22*'Valuation'!C23</x:f>
        <x:v>0</x:v>
      </x:c>
      <x:c r="C13" s="72" t="n">
        <x:v>0.001</x:v>
      </x:c>
      <x:c r="D13" s="83" t="str">
        <x:f>IF(ABS(B13)&lt;=C13,"OK","CHECK")</x:f>
        <x:v>OK</x:v>
      </x:c>
      <x:c r="E13" s="55"/>
      <x:c r="F13" s="55"/>
    </x:row>
    <x:row r="14">
      <x:c r="A14" s="56" t="str">
        <x:v>Base 加权价值重算</x:v>
      </x:c>
      <x:c r="B14" s="72" t="n">
        <x:f>'Valuation'!C26-('Valuation'!C21*'Valuation'!C25+'Valuation'!C24*(1-'Valuation'!C25))</x:f>
        <x:v>0</x:v>
      </x:c>
      <x:c r="C14" s="72" t="n">
        <x:v>0.001</x:v>
      </x:c>
      <x:c r="D14" s="83" t="str">
        <x:f>IF(ABS(B14)&lt;=C14,"OK","CHECK")</x:f>
        <x:v>OK</x:v>
      </x:c>
      <x:c r="E14" s="55"/>
      <x:c r="F14" s="55"/>
    </x:row>
    <x:row r="15">
      <x:c r="A15" s="56" t="str">
        <x:v>滚动归母利润重算</x:v>
      </x:c>
      <x:c r="B15" s="72" t="n">
        <x:f>'Historical'!C29-('Historical'!E11-'Historical'!F11+'Historical'!G11)</x:f>
        <x:v>0</x:v>
      </x:c>
      <x:c r="C15" s="72" t="n">
        <x:v>0.001</x:v>
      </x:c>
      <x:c r="D15" s="83" t="str">
        <x:f>IF(ABS(B15)&lt;=C15,"OK","CHECK")</x:f>
        <x:v>OK</x:v>
      </x:c>
      <x:c r="E15" s="55"/>
      <x:c r="F15" s="55"/>
    </x:row>
    <x:row r="16">
      <x:c r="A16" s="56" t="str">
        <x:v>融资负债合计重算</x:v>
      </x:c>
      <x:c r="B16" s="72" t="n">
        <x:f>'Balance &amp; Cash'!B18-SUM('Balance &amp; Cash'!B11:B17)</x:f>
        <x:v>0</x:v>
      </x:c>
      <x:c r="C16" s="72" t="n">
        <x:v>0.001</x:v>
      </x:c>
      <x:c r="D16" s="83" t="str">
        <x:f>IF(ABS(B16)&lt;=C16,"OK","CHECK")</x:f>
        <x:v>OK</x:v>
      </x:c>
      <x:c r="E16" s="55"/>
      <x:c r="F16" s="55"/>
    </x:row>
    <x:row r="17">
      <x:c r="A17" s="55"/>
      <x:c r="B17" s="55"/>
      <x:c r="C17" s="55"/>
      <x:c r="D17" s="55"/>
      <x:c r="E17" s="55"/>
      <x:c r="F17" s="55"/>
    </x:row>
    <x:row r="18">
      <x:c r="A18" s="55"/>
      <x:c r="B18" s="55"/>
      <x:c r="C18" s="55"/>
      <x:c r="D18" s="55"/>
      <x:c r="E18" s="55"/>
      <x:c r="F18" s="55"/>
    </x:row>
    <x:row r="19">
      <x:c r="A19" s="75" t="str">
        <x:v>检查说明</x:v>
      </x:c>
      <x:c r="B19" s="75"/>
      <x:c r="C19" s="75"/>
      <x:c r="D19" s="75"/>
      <x:c r="E19" s="75"/>
      <x:c r="F19" s="75"/>
    </x:row>
    <x:row r="20">
      <x:c r="A20" s="76" t="str">
        <x:v>所有检查为终端读数，不影响历史、预测和估值。</x:v>
      </x:c>
      <x:c r="B20" s="76"/>
      <x:c r="C20" s="76"/>
      <x:c r="D20" s="76"/>
      <x:c r="E20" s="76"/>
      <x:c r="F20" s="76"/>
    </x:row>
    <x:row r="21">
      <x:c r="A21" s="76" t="str">
        <x:v>修改蓝色假设后应重新计算并确认状态仍为 OK。</x:v>
      </x:c>
      <x:c r="B21" s="76"/>
      <x:c r="C21" s="76"/>
      <x:c r="D21" s="76"/>
      <x:c r="E21" s="76"/>
      <x:c r="F21" s="76"/>
    </x:row>
    <x:row r="22">
      <x:c r="A22" s="76" t="str">
        <x:v>现金流、补贴和单位经济仍需结合正式披露人工复核。</x:v>
      </x:c>
      <x:c r="B22" s="76"/>
      <x:c r="C22" s="76"/>
      <x:c r="D22" s="76"/>
      <x:c r="E22" s="76"/>
      <x:c r="F22" s="76"/>
    </x:row>
    <x:row r="23">
      <x:c r="A23" s="55"/>
      <x:c r="B23" s="55"/>
      <x:c r="C23" s="55"/>
      <x:c r="D23" s="55"/>
      <x:c r="E23" s="55"/>
      <x:c r="F23" s="55"/>
    </x:row>
    <x:row r="24">
      <x:c r="A24" s="55"/>
      <x:c r="B24" s="55"/>
      <x:c r="C24" s="55"/>
      <x:c r="D24" s="55"/>
      <x:c r="E24" s="55"/>
      <x:c r="F24" s="55"/>
    </x:row>
    <x:row r="25">
      <x:c r="A25" s="55"/>
      <x:c r="B25" s="55"/>
      <x:c r="C25" s="55"/>
      <x:c r="D25" s="55"/>
      <x:c r="E25" s="55"/>
      <x:c r="F25" s="55"/>
    </x:row>
    <x:row r="26">
      <x:c r="A26" s="55"/>
      <x:c r="B26" s="55"/>
      <x:c r="C26" s="55"/>
      <x:c r="D26" s="55"/>
      <x:c r="E26" s="55"/>
      <x:c r="F26" s="55"/>
    </x:row>
    <x:row r="27">
      <x:c r="A27" s="55"/>
      <x:c r="B27" s="55"/>
      <x:c r="C27" s="55"/>
      <x:c r="D27" s="55"/>
      <x:c r="E27" s="55"/>
      <x:c r="F27" s="55"/>
    </x:row>
    <x:row r="28">
      <x:c r="A28" s="55"/>
      <x:c r="B28" s="55"/>
      <x:c r="C28" s="55"/>
      <x:c r="D28" s="55"/>
      <x:c r="E28" s="55"/>
      <x:c r="F28" s="55"/>
    </x:row>
    <x:row r="29">
      <x:c r="A29" s="55"/>
      <x:c r="B29" s="55"/>
      <x:c r="C29" s="55"/>
      <x:c r="D29" s="55"/>
      <x:c r="E29" s="55"/>
      <x:c r="F29" s="55"/>
    </x:row>
    <x:row r="30">
      <x:c r="A30" s="55"/>
      <x:c r="B30" s="55"/>
      <x:c r="C30" s="55"/>
      <x:c r="D30" s="55"/>
      <x:c r="E30" s="55"/>
      <x:c r="F30" s="55"/>
    </x:row>
    <x:row r="31">
      <x:c r="A31" s="55"/>
      <x:c r="B31" s="55"/>
      <x:c r="C31" s="55"/>
      <x:c r="D31" s="55"/>
      <x:c r="E31" s="55"/>
      <x:c r="F31" s="55"/>
    </x:row>
    <x:row r="32">
      <x:c r="A32" s="55"/>
      <x:c r="B32" s="55"/>
      <x:c r="C32" s="55"/>
      <x:c r="D32" s="55"/>
      <x:c r="E32" s="55"/>
      <x:c r="F32" s="55"/>
    </x:row>
    <x:row r="33">
      <x:c r="A33" s="55"/>
      <x:c r="B33" s="55"/>
      <x:c r="C33" s="55"/>
      <x:c r="D33" s="55"/>
      <x:c r="E33" s="55"/>
      <x:c r="F33" s="55"/>
    </x:row>
    <x:row r="34">
      <x:c r="A34" s="55"/>
      <x:c r="B34" s="55"/>
      <x:c r="C34" s="55"/>
      <x:c r="D34" s="55"/>
      <x:c r="E34" s="55"/>
      <x:c r="F34" s="55"/>
    </x:row>
    <x:row r="35">
      <x:c r="A35" s="55"/>
      <x:c r="B35" s="55"/>
      <x:c r="C35" s="55"/>
      <x:c r="D35" s="55"/>
      <x:c r="E35" s="55"/>
      <x:c r="F35" s="55"/>
    </x:row>
    <x:row r="36">
      <x:c r="A36" s="55"/>
      <x:c r="B36" s="55"/>
      <x:c r="C36" s="55"/>
      <x:c r="D36" s="55"/>
      <x:c r="E36" s="55"/>
      <x:c r="F36" s="55"/>
    </x:row>
    <x:row r="37">
      <x:c r="A37" s="55"/>
      <x:c r="B37" s="55"/>
      <x:c r="C37" s="55"/>
      <x:c r="D37" s="55"/>
      <x:c r="E37" s="55"/>
      <x:c r="F37" s="55"/>
    </x:row>
    <x:row r="38">
      <x:c r="A38" s="55"/>
      <x:c r="B38" s="55"/>
      <x:c r="C38" s="55"/>
      <x:c r="D38" s="55"/>
      <x:c r="E38" s="55"/>
      <x:c r="F38" s="55"/>
    </x:row>
    <x:row r="39">
      <x:c r="A39" s="55"/>
      <x:c r="B39" s="55"/>
      <x:c r="C39" s="55"/>
      <x:c r="D39" s="55"/>
      <x:c r="E39" s="55"/>
      <x:c r="F39" s="55"/>
    </x:row>
    <x:row r="40">
      <x:c r="A40" s="55"/>
      <x:c r="B40" s="55"/>
      <x:c r="C40" s="55"/>
      <x:c r="D40" s="55"/>
      <x:c r="E40" s="55"/>
      <x:c r="F40" s="55"/>
    </x:row>
    <x:row r="41">
      <x:c r="A41" s="55"/>
      <x:c r="B41" s="55"/>
      <x:c r="C41" s="55"/>
      <x:c r="D41" s="55"/>
      <x:c r="E41" s="55"/>
      <x:c r="F41" s="55"/>
    </x:row>
    <x:row r="42">
      <x:c r="A42" s="55"/>
      <x:c r="B42" s="55"/>
      <x:c r="C42" s="55"/>
      <x:c r="D42" s="55"/>
      <x:c r="E42" s="55"/>
      <x:c r="F42" s="55"/>
    </x:row>
    <x:row r="43">
      <x:c r="A43" s="55"/>
      <x:c r="B43" s="55"/>
      <x:c r="C43" s="55"/>
      <x:c r="D43" s="55"/>
      <x:c r="E43" s="55"/>
      <x:c r="F43" s="55"/>
    </x:row>
    <x:row r="44">
      <x:c r="A44" s="55"/>
      <x:c r="B44" s="55"/>
      <x:c r="C44" s="55"/>
      <x:c r="D44" s="55"/>
      <x:c r="E44" s="55"/>
      <x:c r="F44" s="55"/>
    </x:row>
    <x:row r="45">
      <x:c r="A45" s="55"/>
      <x:c r="B45" s="55"/>
      <x:c r="C45" s="55"/>
      <x:c r="D45" s="55"/>
      <x:c r="E45" s="55"/>
      <x:c r="F45" s="55"/>
    </x:row>
    <x:row r="46">
      <x:c r="A46" s="55"/>
      <x:c r="B46" s="55"/>
      <x:c r="C46" s="55"/>
      <x:c r="D46" s="55"/>
      <x:c r="E46" s="55"/>
      <x:c r="F46" s="55"/>
    </x:row>
    <x:row r="47">
      <x:c r="A47" s="55"/>
      <x:c r="B47" s="55"/>
      <x:c r="C47" s="55"/>
      <x:c r="D47" s="55"/>
      <x:c r="E47" s="55"/>
      <x:c r="F47" s="55"/>
    </x:row>
    <x:row r="48">
      <x:c r="A48" s="55"/>
      <x:c r="B48" s="55"/>
      <x:c r="C48" s="55"/>
      <x:c r="D48" s="55"/>
      <x:c r="E48" s="55"/>
      <x:c r="F48" s="55"/>
    </x:row>
    <x:row r="49">
      <x:c r="A49" s="55"/>
      <x:c r="B49" s="55"/>
      <x:c r="C49" s="55"/>
      <x:c r="D49" s="55"/>
      <x:c r="E49" s="55"/>
      <x:c r="F49" s="55"/>
    </x:row>
    <x:row r="50">
      <x:c r="A50" s="55"/>
      <x:c r="B50" s="55"/>
      <x:c r="C50" s="55"/>
      <x:c r="D50" s="55"/>
      <x:c r="E50" s="55"/>
      <x:c r="F50" s="55"/>
    </x:row>
    <x:row r="51">
      <x:c r="A51" s="55"/>
      <x:c r="B51" s="55"/>
      <x:c r="C51" s="55"/>
      <x:c r="D51" s="55"/>
      <x:c r="E51" s="55"/>
      <x:c r="F51" s="55"/>
    </x:row>
    <x:row r="52">
      <x:c r="A52" s="55"/>
      <x:c r="B52" s="55"/>
      <x:c r="C52" s="55"/>
      <x:c r="D52" s="55"/>
      <x:c r="E52" s="55"/>
      <x:c r="F52" s="55"/>
    </x:row>
    <x:row r="53">
      <x:c r="A53" s="55"/>
      <x:c r="B53" s="55"/>
      <x:c r="C53" s="55"/>
      <x:c r="D53" s="55"/>
      <x:c r="E53" s="55"/>
      <x:c r="F53" s="55"/>
    </x:row>
    <x:row r="54">
      <x:c r="A54" s="55"/>
      <x:c r="B54" s="55"/>
      <x:c r="C54" s="55"/>
      <x:c r="D54" s="55"/>
      <x:c r="E54" s="55"/>
      <x:c r="F54" s="55"/>
    </x:row>
    <x:row r="55">
      <x:c r="A55" s="55"/>
      <x:c r="B55" s="55"/>
      <x:c r="C55" s="55"/>
      <x:c r="D55" s="55"/>
      <x:c r="E55" s="55"/>
      <x:c r="F55" s="55"/>
    </x:row>
    <x:row r="56">
      <x:c r="A56" s="55"/>
      <x:c r="B56" s="55"/>
      <x:c r="C56" s="55"/>
      <x:c r="D56" s="55"/>
      <x:c r="E56" s="55"/>
      <x:c r="F56" s="55"/>
    </x:row>
    <x:row r="57">
      <x:c r="A57" s="55"/>
      <x:c r="B57" s="55"/>
      <x:c r="C57" s="55"/>
      <x:c r="D57" s="55"/>
      <x:c r="E57" s="55"/>
      <x:c r="F57" s="55"/>
    </x:row>
    <x:row r="58">
      <x:c r="A58" s="55"/>
      <x:c r="B58" s="55"/>
      <x:c r="C58" s="55"/>
      <x:c r="D58" s="55"/>
      <x:c r="E58" s="55"/>
      <x:c r="F58" s="55"/>
    </x:row>
    <x:row r="59">
      <x:c r="A59" s="55"/>
      <x:c r="B59" s="55"/>
      <x:c r="C59" s="55"/>
      <x:c r="D59" s="55"/>
      <x:c r="E59" s="55"/>
      <x:c r="F59" s="55"/>
    </x:row>
    <x:row r="60">
      <x:c r="A60" s="55"/>
      <x:c r="B60" s="55"/>
      <x:c r="C60" s="55"/>
      <x:c r="D60" s="55"/>
      <x:c r="E60" s="55"/>
      <x:c r="F60" s="55"/>
    </x:row>
    <x:row r="61">
      <x:c r="A61" s="55"/>
      <x:c r="B61" s="55"/>
      <x:c r="C61" s="55"/>
      <x:c r="D61" s="55"/>
      <x:c r="E61" s="55"/>
      <x:c r="F61" s="55"/>
    </x:row>
    <x:row r="62">
      <x:c r="A62" s="55"/>
      <x:c r="B62" s="55"/>
      <x:c r="C62" s="55"/>
      <x:c r="D62" s="55"/>
      <x:c r="E62" s="55"/>
      <x:c r="F62" s="55"/>
    </x:row>
    <x:row r="63">
      <x:c r="A63" s="55"/>
      <x:c r="B63" s="55"/>
      <x:c r="C63" s="55"/>
      <x:c r="D63" s="55"/>
      <x:c r="E63" s="55"/>
      <x:c r="F63" s="55"/>
    </x:row>
    <x:row r="64">
      <x:c r="A64" s="55"/>
      <x:c r="B64" s="55"/>
      <x:c r="C64" s="55"/>
      <x:c r="D64" s="55"/>
      <x:c r="E64" s="55"/>
      <x:c r="F64" s="55"/>
    </x:row>
    <x:row r="65">
      <x:c r="A65" s="55"/>
      <x:c r="B65" s="55"/>
      <x:c r="C65" s="55"/>
      <x:c r="D65" s="55"/>
      <x:c r="E65" s="55"/>
      <x:c r="F65" s="55"/>
    </x:row>
    <x:row r="66">
      <x:c r="A66" s="55"/>
      <x:c r="B66" s="55"/>
      <x:c r="C66" s="55"/>
      <x:c r="D66" s="55"/>
      <x:c r="E66" s="55"/>
      <x:c r="F66" s="55"/>
    </x:row>
    <x:row r="67">
      <x:c r="A67" s="55"/>
      <x:c r="B67" s="55"/>
      <x:c r="C67" s="55"/>
      <x:c r="D67" s="55"/>
      <x:c r="E67" s="55"/>
      <x:c r="F67" s="55"/>
    </x:row>
    <x:row r="68">
      <x:c r="A68" s="55"/>
      <x:c r="B68" s="55"/>
      <x:c r="C68" s="55"/>
      <x:c r="D68" s="55"/>
      <x:c r="E68" s="55"/>
      <x:c r="F68" s="55"/>
    </x:row>
    <x:row r="69">
      <x:c r="A69" s="55"/>
      <x:c r="B69" s="55"/>
      <x:c r="C69" s="55"/>
      <x:c r="D69" s="55"/>
      <x:c r="E69" s="55"/>
      <x:c r="F69" s="55"/>
    </x:row>
    <x:row r="70">
      <x:c r="A70" s="55"/>
      <x:c r="B70" s="55"/>
      <x:c r="C70" s="55"/>
      <x:c r="D70" s="55"/>
      <x:c r="E70" s="55"/>
      <x:c r="F70" s="55"/>
    </x:row>
    <x:row r="71">
      <x:c r="A71" s="55"/>
      <x:c r="B71" s="55"/>
      <x:c r="C71" s="55"/>
      <x:c r="D71" s="55"/>
      <x:c r="E71" s="55"/>
      <x:c r="F71" s="55"/>
    </x:row>
    <x:row r="72">
      <x:c r="A72" s="55"/>
      <x:c r="B72" s="55"/>
      <x:c r="C72" s="55"/>
      <x:c r="D72" s="55"/>
      <x:c r="E72" s="55"/>
      <x:c r="F72" s="55"/>
    </x:row>
    <x:row r="73">
      <x:c r="A73" s="55"/>
      <x:c r="B73" s="55"/>
      <x:c r="C73" s="55"/>
      <x:c r="D73" s="55"/>
      <x:c r="E73" s="55"/>
      <x:c r="F73" s="55"/>
    </x:row>
    <x:row r="74">
      <x:c r="A74" s="55"/>
      <x:c r="B74" s="55"/>
      <x:c r="C74" s="55"/>
      <x:c r="D74" s="55"/>
      <x:c r="E74" s="55"/>
      <x:c r="F74" s="55"/>
    </x:row>
    <x:row r="75">
      <x:c r="A75" s="55"/>
      <x:c r="B75" s="55"/>
      <x:c r="C75" s="55"/>
      <x:c r="D75" s="55"/>
      <x:c r="E75" s="55"/>
      <x:c r="F75" s="55"/>
    </x:row>
    <x:row r="76">
      <x:c r="A76" s="55"/>
      <x:c r="B76" s="55"/>
      <x:c r="C76" s="55"/>
      <x:c r="D76" s="55"/>
      <x:c r="E76" s="55"/>
      <x:c r="F76" s="55"/>
    </x:row>
    <x:row r="77">
      <x:c r="A77" s="55"/>
      <x:c r="B77" s="55"/>
      <x:c r="C77" s="55"/>
      <x:c r="D77" s="55"/>
      <x:c r="E77" s="55"/>
      <x:c r="F77" s="55"/>
    </x:row>
    <x:row r="78">
      <x:c r="A78" s="55"/>
      <x:c r="B78" s="55"/>
      <x:c r="C78" s="55"/>
      <x:c r="D78" s="55"/>
      <x:c r="E78" s="55"/>
      <x:c r="F78" s="55"/>
    </x:row>
    <x:row r="79">
      <x:c r="A79" s="55"/>
      <x:c r="B79" s="55"/>
      <x:c r="C79" s="55"/>
      <x:c r="D79" s="55"/>
      <x:c r="E79" s="55"/>
      <x:c r="F79" s="55"/>
    </x:row>
    <x:row r="80">
      <x:c r="A80" s="55"/>
      <x:c r="B80" s="55"/>
      <x:c r="C80" s="55"/>
      <x:c r="D80" s="55"/>
      <x:c r="E80" s="55"/>
      <x:c r="F80" s="55"/>
    </x:row>
    <x:row r="81">
      <x:c r="A81" s="55"/>
      <x:c r="B81" s="55"/>
      <x:c r="C81" s="55"/>
      <x:c r="D81" s="55"/>
      <x:c r="E81" s="55"/>
      <x:c r="F81" s="55"/>
    </x:row>
    <x:row r="82">
      <x:c r="A82" s="55"/>
      <x:c r="B82" s="55"/>
      <x:c r="C82" s="55"/>
      <x:c r="D82" s="55"/>
      <x:c r="E82" s="55"/>
      <x:c r="F82" s="55"/>
    </x:row>
    <x:row r="83">
      <x:c r="A83" s="55"/>
      <x:c r="B83" s="55"/>
      <x:c r="C83" s="55"/>
      <x:c r="D83" s="55"/>
      <x:c r="E83" s="55"/>
      <x:c r="F83" s="55"/>
    </x:row>
    <x:row r="84">
      <x:c r="A84" s="55"/>
      <x:c r="B84" s="55"/>
      <x:c r="C84" s="55"/>
      <x:c r="D84" s="55"/>
      <x:c r="E84" s="55"/>
      <x:c r="F84" s="55"/>
    </x:row>
    <x:row r="85">
      <x:c r="A85" s="55"/>
      <x:c r="B85" s="55"/>
      <x:c r="C85" s="55"/>
      <x:c r="D85" s="55"/>
      <x:c r="E85" s="55"/>
      <x:c r="F85" s="55"/>
    </x:row>
    <x:row r="86">
      <x:c r="A86" s="55"/>
      <x:c r="B86" s="55"/>
      <x:c r="C86" s="55"/>
      <x:c r="D86" s="55"/>
      <x:c r="E86" s="55"/>
      <x:c r="F86" s="55"/>
    </x:row>
    <x:row r="87">
      <x:c r="A87" s="55"/>
      <x:c r="B87" s="55"/>
      <x:c r="C87" s="55"/>
      <x:c r="D87" s="55"/>
      <x:c r="E87" s="55"/>
      <x:c r="F87" s="55"/>
    </x:row>
    <x:row r="88">
      <x:c r="A88" s="55"/>
      <x:c r="B88" s="55"/>
      <x:c r="C88" s="55"/>
      <x:c r="D88" s="55"/>
      <x:c r="E88" s="55"/>
      <x:c r="F88" s="55"/>
    </x:row>
    <x:row r="89">
      <x:c r="A89" s="55"/>
      <x:c r="B89" s="55"/>
      <x:c r="C89" s="55"/>
      <x:c r="D89" s="55"/>
      <x:c r="E89" s="55"/>
      <x:c r="F89" s="55"/>
    </x:row>
    <x:row r="90">
      <x:c r="A90" s="55"/>
      <x:c r="B90" s="55"/>
      <x:c r="C90" s="55"/>
      <x:c r="D90" s="55"/>
      <x:c r="E90" s="55"/>
      <x:c r="F90" s="55"/>
    </x:row>
  </x:sheetData>
  <x:mergeCells>
    <x:mergeCell ref="A1:F2"/>
    <x:mergeCell ref="A3:F3"/>
    <x:mergeCell ref="A19:F19"/>
    <x:mergeCell ref="A20:F20"/>
    <x:mergeCell ref="A21:F21"/>
    <x:mergeCell ref="A22:F22"/>
  </x:mergeCells>
  <x:conditionalFormatting sqref="D7:D16">
    <x:cfRule type="containsText" dxfId="0" priority="1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8" hidden="0" customWidth="1"/>
    <x:col min="4" max="4" width="46" hidden="0" customWidth="1"/>
    <x:col min="5" max="5" width="62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4" t="str">
        <x:v>来源与口径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正式披露优先；价格为固定日期公开行情</x:v>
      </x:c>
      <x:c r="B3" s="6"/>
      <x:c r="C3" s="6"/>
      <x:c r="D3" s="6"/>
      <x:c r="E3" s="6"/>
      <x:c r="F3" s="6"/>
      <x:c r="G3" s="6"/>
      <x:c r="H3" s="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14" t="str">
        <x:v>来源</x:v>
      </x:c>
      <x:c r="B5" s="14" t="str">
        <x:v>日期</x:v>
      </x:c>
      <x:c r="C5" s="14" t="str">
        <x:v>用于</x:v>
      </x:c>
      <x:c r="D5" s="14" t="str">
        <x:v>本地文件</x:v>
      </x:c>
      <x:c r="E5" s="14" t="str">
        <x:v>链接</x:v>
      </x:c>
      <x:c r="F5" s="55"/>
      <x:c r="G5" s="55"/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 ht="44" customHeight="1">
      <x:c r="A7" s="84" t="str">
        <x:v>2025 年年度报告</x:v>
      </x:c>
      <x:c r="B7" s="84" t="str">
        <x:v>2026-04-11</x:v>
      </x:c>
      <x:c r="C7" s="84" t="str">
        <x:v>历史财务、运营、补贴、治理、分红</x:v>
      </x:c>
      <x:c r="D7" s="84" t="str">
        <x:v>source-documents/2025-annual-report.pdf</x:v>
      </x:c>
      <x:c r="E7" s="84" t="str">
        <x:v>https://static.cninfo.com.cn/finalpage/2026-04-11/1225093115.PDF</x:v>
      </x:c>
      <x:c r="F7" s="55"/>
      <x:c r="G7" s="55"/>
      <x:c r="H7" s="55"/>
    </x:row>
    <x:row r="8" ht="44" customHeight="1">
      <x:c r="A8" s="84" t="str">
        <x:v>2026 年半年度报告</x:v>
      </x:c>
      <x:c r="B8" s="84" t="str">
        <x:v>2026-08-29</x:v>
      </x:c>
      <x:c r="C8" s="84" t="str">
        <x:v>中期财务、单位成本、负债、资本承诺</x:v>
      </x:c>
      <x:c r="D8" s="84" t="str">
        <x:v>source-documents/2026-H1-report.pdf</x:v>
      </x:c>
      <x:c r="E8" s="84" t="str">
        <x:v>https://static.sse.com.cn/disclosure/listedinfo/announcement/c/new/2026-08-29/601021_20260829_ZXGY.pdf</x:v>
      </x:c>
      <x:c r="F8" s="55"/>
      <x:c r="G8" s="55"/>
      <x:c r="H8" s="55"/>
    </x:row>
    <x:row r="9" ht="44" customHeight="1">
      <x:c r="A9" s="84" t="str">
        <x:v>2026 年 8 月运营数据</x:v>
      </x:c>
      <x:c r="B9" s="84" t="str">
        <x:v>2026-09-16</x:v>
      </x:c>
      <x:c r="C9" s="84" t="str">
        <x:v>最新 ASK、RPK、客座率、机队</x:v>
      </x:c>
      <x:c r="D9" s="84" t="str">
        <x:v>source-documents/2026-08-operating-data.pdf</x:v>
      </x:c>
      <x:c r="E9" s="84" t="str">
        <x:v>https://static.sse.com.cn/disclosure/listedinfo/announcement/c/new/2026-09-16/601021_20260916_F40V.pdf</x:v>
      </x:c>
      <x:c r="F9" s="55"/>
      <x:c r="G9" s="55"/>
      <x:c r="H9" s="55"/>
    </x:row>
    <x:row r="10" ht="44" customHeight="1">
      <x:c r="A10" s="84" t="str">
        <x:v>2026H1 权益分派</x:v>
      </x:c>
      <x:c r="B10" s="84" t="str">
        <x:v>2026-09-18</x:v>
      </x:c>
      <x:c r="C10" s="84" t="str">
        <x:v>股本、股息、除息日</x:v>
      </x:c>
      <x:c r="D10" s="84" t="str">
        <x:v>source-documents/2026-H1-dividend-implementation.pdf</x:v>
      </x:c>
      <x:c r="E10" s="84" t="str">
        <x:v>https://static.sse.com.cn/disclosure/listedinfo/announcement/c/new/2026-09-18/601021_20260918_TDB6.pdf</x:v>
      </x:c>
      <x:c r="F10" s="55"/>
      <x:c r="G10" s="55"/>
      <x:c r="H10" s="55"/>
    </x:row>
    <x:row r="11" ht="44" customHeight="1">
      <x:c r="A11" s="84" t="str">
        <x:v>2026 年回购结果</x:v>
      </x:c>
      <x:c r="B11" s="84" t="str">
        <x:v>2026-07-09</x:v>
      </x:c>
      <x:c r="C11" s="84" t="str">
        <x:v>库存股、回购数量、金额、均价</x:v>
      </x:c>
      <x:c r="D11" s="84" t="str">
        <x:v>source-documents/2026-buyback-result.pdf</x:v>
      </x:c>
      <x:c r="E11" s="84" t="str">
        <x:v>https://static.sse.com.cn/disclosure/listedinfo/announcement/c/new/2026-07-09/601021_20260709_0S5L.pdf</x:v>
      </x:c>
      <x:c r="F11" s="55"/>
      <x:c r="G11" s="55"/>
      <x:c r="H11" s="55"/>
    </x:row>
    <x:row r="12" ht="44" customHeight="1">
      <x:c r="A12" s="84" t="str">
        <x:v>Investing.com 历史行情</x:v>
      </x:c>
      <x:c r="B12" s="84" t="str">
        <x:v>2026-09-23</x:v>
      </x:c>
      <x:c r="C12" s="84" t="str">
        <x:v>41.94 元收盘价</x:v>
      </x:c>
      <x:c r="D12" s="84" t="str">
        <x:v>—</x:v>
      </x:c>
      <x:c r="E12" s="84" t="str">
        <x:v>https://ca.investing.com/equities/spring-airlines-co-ltd-historical-data</x:v>
      </x:c>
      <x:c r="F12" s="55"/>
      <x:c r="G12" s="55"/>
      <x:c r="H12" s="55"/>
    </x:row>
    <x:row r="13" ht="44" customHeight="1">
      <x:c r="A13" s="84" t="str">
        <x:v>Twelve Data 历史行情</x:v>
      </x:c>
      <x:c r="B13" s="84" t="str">
        <x:v>2026-09-23</x:v>
      </x:c>
      <x:c r="C13" s="84" t="str">
        <x:v>价格交叉核对</x:v>
      </x:c>
      <x:c r="D13" s="84" t="str">
        <x:v>—</x:v>
      </x:c>
      <x:c r="E13" s="84" t="str">
        <x:v>https://twelvedata.com/markets/639086/stock/sse/601021/historical-data</x:v>
      </x:c>
      <x:c r="F13" s="55"/>
      <x:c r="G13" s="55"/>
      <x:c r="H13" s="55"/>
    </x:row>
    <x:row r="14" ht="44" customHeight="1">
      <x:c r="A14" s="84" t="str">
        <x:v>上交所公告检索</x:v>
      </x:c>
      <x:c r="B14" s="84" t="str">
        <x:v>2026-09-24</x:v>
      </x:c>
      <x:c r="C14" s="84" t="str">
        <x:v>披露完整性核对</x:v>
      </x:c>
      <x:c r="D14" s="84" t="str">
        <x:v>—</x:v>
      </x:c>
      <x:c r="E14" s="84" t="str">
        <x:v>https://www.sse.com.cn/assortment/stock/list/info/announcement/index.shtml?productId=601021</x:v>
      </x:c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31" t="str">
        <x:v>关键口径</x:v>
      </x:c>
      <x:c r="B17" s="31"/>
      <x:c r="C17" s="31"/>
      <x:c r="D17" s="31"/>
      <x:c r="E17" s="31"/>
      <x:c r="F17" s="31"/>
      <x:c r="G17" s="31"/>
      <x:c r="H17" s="31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29" t="str">
        <x:v>滚动数据等于 2025 全年减 2025H1 加 2026H1。</x:v>
      </x:c>
      <x:c r="B19" s="29"/>
      <x:c r="C19" s="29"/>
      <x:c r="D19" s="29"/>
      <x:c r="E19" s="29"/>
      <x:c r="F19" s="29"/>
      <x:c r="G19" s="29"/>
      <x:c r="H19" s="29"/>
    </x:row>
    <x:row r="20">
      <x:c r="A20" s="29" t="str">
        <x:v>简化自由现金流等于经营现金流减购建长期资产现金支出。</x:v>
      </x:c>
      <x:c r="B20" s="29"/>
      <x:c r="C20" s="29"/>
      <x:c r="D20" s="29"/>
      <x:c r="E20" s="29"/>
      <x:c r="F20" s="29"/>
      <x:c r="G20" s="29"/>
      <x:c r="H20" s="29"/>
    </x:row>
    <x:row r="21">
      <x:c r="A21" s="29" t="str">
        <x:v>融资负债为研究汇总口径，含借款、债券、长期应付款和租赁负债。</x:v>
      </x:c>
      <x:c r="B21" s="29"/>
      <x:c r="C21" s="29"/>
      <x:c r="D21" s="29"/>
      <x:c r="E21" s="29"/>
      <x:c r="F21" s="29"/>
      <x:c r="G21" s="29"/>
      <x:c r="H21" s="29"/>
    </x:row>
    <x:row r="22">
      <x:c r="A22" s="29" t="str">
        <x:v>估值使用 978,333,423 股总股本；库存股未注销，不能永久排除。</x:v>
      </x:c>
      <x:c r="B22" s="29"/>
      <x:c r="C22" s="29"/>
      <x:c r="D22" s="29"/>
      <x:c r="E22" s="29"/>
      <x:c r="F22" s="29"/>
      <x:c r="G22" s="29"/>
      <x:c r="H22" s="29"/>
    </x:row>
    <x:row r="23">
      <x:c r="A23" s="29" t="str">
        <x:v>价格为 2026-09-23 除息前收盘价；2026H1 每股 0.33 元于 9 月 24 日除息。</x:v>
      </x:c>
      <x:c r="B23" s="29"/>
      <x:c r="C23" s="29"/>
      <x:c r="D23" s="29"/>
      <x:c r="E23" s="29"/>
      <x:c r="F23" s="29"/>
      <x:c r="G23" s="29"/>
      <x:c r="H23" s="29"/>
    </x:row>
    <x:row r="24">
      <x:c r="A24" s="29" t="str">
        <x:v>2026E—2028E、情景概率与倍数均为研究假设，不是公司指引。</x:v>
      </x:c>
      <x:c r="B24" s="29"/>
      <x:c r="C24" s="29"/>
      <x:c r="D24" s="29"/>
      <x:c r="E24" s="29"/>
      <x:c r="F24" s="29"/>
      <x:c r="G24" s="29"/>
      <x:c r="H24" s="29"/>
    </x:row>
    <x:row r="25">
      <x:c r="A25" s="29" t="str">
        <x:v>金额由原始人民币元折算，显示值可能存在四舍五入差异。</x:v>
      </x:c>
      <x:c r="B25" s="29"/>
      <x:c r="C25" s="29"/>
      <x:c r="D25" s="29"/>
      <x:c r="E25" s="29"/>
      <x:c r="F25" s="29"/>
      <x:c r="G25" s="29"/>
      <x:c r="H25" s="29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</x:sheetData>
  <x:mergeCells>
    <x:mergeCell ref="A1:H2"/>
    <x:mergeCell ref="A3:H3"/>
    <x:mergeCell ref="A17:H17"/>
    <x:mergeCell ref="A19:H19"/>
    <x:mergeCell ref="A20:H2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
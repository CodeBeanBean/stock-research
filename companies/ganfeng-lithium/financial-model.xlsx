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1.xml" ContentType="application/vnd.openxmlformats-officedocument.spreadsheetml.comments+xml"/>
  <Override PartName="/xl/threadedcomments/threadedcomment.xml" ContentType="application/vnd.ms-excel.threaded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045cf7ee7b1434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over" sheetId="1" r:id="R034fc98e100a4fce"/>
    <x:sheet xmlns:r="http://schemas.openxmlformats.org/officeDocument/2006/relationships" name="Historical" sheetId="2" r:id="R07b1d57567f54e85"/>
    <x:sheet xmlns:r="http://schemas.openxmlformats.org/officeDocument/2006/relationships" name="Operations" sheetId="3" r:id="R1ade5c6915274d61"/>
    <x:sheet xmlns:r="http://schemas.openxmlformats.org/officeDocument/2006/relationships" name="Balance &amp; Cash" sheetId="4" r:id="R46b8d1b35f1f4c58"/>
    <x:sheet xmlns:r="http://schemas.openxmlformats.org/officeDocument/2006/relationships" name="Assumptions" sheetId="5" r:id="R5f92a4d3ffe640d5"/>
    <x:sheet xmlns:r="http://schemas.openxmlformats.org/officeDocument/2006/relationships" name="Valuation" sheetId="6" r:id="R0ba93ea4df27431f"/>
    <x:sheet xmlns:r="http://schemas.openxmlformats.org/officeDocument/2006/relationships" name="Checks" sheetId="7" r:id="R46bb2a2c53474f00"/>
    <x:sheet xmlns:r="http://schemas.openxmlformats.org/officeDocument/2006/relationships" name="Sources Audit" sheetId="8" r:id="R9ad99c695aba422f"/>
  </x:sheets>
</x:workbook>
</file>

<file path=xl/comments1.xml><?xml version="1.0" encoding="utf-8"?>
<x:comments xmlns:x="http://schemas.openxmlformats.org/spreadsheetml/2006/main">
  <x:authors>
    <x:author>tc={35D259F8-A9F6-45C3-84B3-3CB0C8DC3C01}</x:author>
    <x:author>tc={84AB3908-EE1D-4D33-B601-55ED9B615373}</x:author>
    <x:author>tc={8E295E01-A6AE-430E-BA33-C7FFC3DD1511}</x:author>
    <x:author>tc={D39D4331-4017-47F6-8B47-E33C6233FC19}</x:author>
  </x:authors>
  <x:commentList>
    <x:comment ref="B4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 M1: 赣锋锂业 A-share close RMB50.52 on 2026-09-04.</x:t>
        </x:r>
      </x:text>
    </x:comment>
    <x:comment ref="C18" authorId="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Analyst assumption: Base normalized EPS; not company guidance or market consensus.</x:t>
        </x:r>
      </x:text>
    </x:comment>
    <x:comment ref="C19" authorId="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Analyst assumption: Base normalized P/E multiple reflects cyclicality and business quality.</x:t>
        </x:r>
      </x:text>
    </x:comment>
    <x:comment ref="C20" authorId="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Analyst assumption: Base P/B cross-check; book value is not liquidation value.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0">
    <x:numFmt numFmtId="200" formatCode="yyyy-mm-dd"/>
    <x:numFmt numFmtId="201" formatCode="&quot;RMB &quot;0.00"/>
    <x:numFmt numFmtId="202" formatCode="0.000&quot; bn shares&quot;"/>
    <x:numFmt numFmtId="203" formatCode="0.00&quot; bn&quot;"/>
    <x:numFmt numFmtId="204" formatCode="0.00x"/>
    <x:numFmt numFmtId="205" formatCode="0.0%;[Red](0.0%);-"/>
    <x:numFmt numFmtId="206" formatCode="0.00"/>
    <x:numFmt numFmtId="207" formatCode="0.000"/>
    <x:numFmt numFmtId="208" formatCode="0.0%"/>
    <x:numFmt numFmtId="209" formatCode="0.0x"/>
  </x:numFmts>
  <x:fonts count="7">
    <x:font>
      <x:sz val="11"/>
      <x:name val="Carlito"/>
    </x:font>
    <x:font>
      <x:b/>
      <x:sz val="16"/>
      <x:color rgb="FFFFFFFF"/>
      <x:name val="Carlito"/>
    </x:font>
    <x:font>
      <x:b/>
      <x:sz val="11"/>
      <x:color rgb="FF008000"/>
      <x:name val="Carlito"/>
    </x:font>
    <x:font>
      <x:b/>
      <x:sz val="11"/>
      <x:name val="Carlito"/>
    </x:font>
    <x:font>
      <x:b/>
      <x:sz val="11"/>
      <x:color rgb="FFFFFFFF"/>
      <x:name val="Carlito"/>
    </x:font>
    <x:font>
      <x:sz val="11"/>
      <x:color rgb="FF0000FF"/>
      <x:name val="Carlito"/>
    </x:font>
    <x:font>
      <x:sz val="11"/>
      <x:color rgb="FF0563C1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1F4E78"/>
      </x:patternFill>
    </x:fill>
    <x:fill>
      <x:patternFill patternType="solid">
        <x:fgColor rgb="FFEEF5FB"/>
      </x:patternFill>
    </x:fill>
    <x:fill>
      <x:patternFill patternType="solid">
        <x:fgColor rgb="FFD9EAF7"/>
      </x:patternFill>
    </x:fill>
    <x:fill>
      <x:patternFill patternType="solid">
        <x:fgColor rgb="FFFCE4D6"/>
      </x:patternFill>
    </x:fill>
    <x:fill>
      <x:patternFill patternType="solid">
        <x:fgColor rgb="FFE2F0D9"/>
      </x:patternFill>
    </x:fill>
  </x:fills>
  <x:borders count="10">
    <x:border/>
    <x:border>
      <x:bottom style="thin">
        <x:color rgb="FFD9E2F3"/>
      </x:bottom>
    </x:border>
    <x:border>
      <x:top style="thin">
        <x:color rgb="FFD9E2F3"/>
      </x:top>
      <x:bottom style="thin">
        <x:color rgb="FFD9E2F3"/>
      </x:bottom>
    </x:border>
    <x:border>
      <x:top style="thin">
        <x:color rgb="FFD9E2F3"/>
      </x:top>
    </x:border>
    <x:border>
      <x:left style="thin">
        <x:color rgb="FF17365D"/>
      </x:left>
      <x:top style="thin">
        <x:color rgb="FF17365D"/>
      </x:top>
      <x:bottom style="thin">
        <x:color rgb="FF17365D"/>
      </x:bottom>
    </x:border>
    <x:border>
      <x:top style="thin">
        <x:color rgb="FF17365D"/>
      </x:top>
      <x:bottom style="thin">
        <x:color rgb="FF17365D"/>
      </x:bottom>
    </x:border>
    <x:border>
      <x:right style="thin">
        <x:color rgb="FF17365D"/>
      </x:right>
      <x:top style="thin">
        <x:color rgb="FF17365D"/>
      </x:top>
      <x:bottom style="thin">
        <x:color rgb="FF17365D"/>
      </x:bottom>
    </x:border>
    <x:border>
      <x:right style="thin">
        <x:color rgb="FFB4C7E7"/>
      </x:right>
    </x:border>
    <x:border>
      <x:left style="thin">
        <x:color rgb="FFB4C7E7"/>
      </x:left>
      <x:right style="thin">
        <x:color rgb="FFB4C7E7"/>
      </x:right>
    </x:border>
    <x:border>
      <x:left style="thin">
        <x:color rgb="FFB4C7E7"/>
      </x:left>
    </x:border>
  </x:borders>
  <x:cellStyleXfs count="1">
    <x:xf numFmtId="0" fontId="0" fillId="0" borderId="0"/>
  </x:cellStyleXfs>
  <x:cellXfs count="16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3" fillId="0" borderId="1" xfId="0" applyNumberFormat="1" applyFont="1" applyFill="1" applyBorder="1"/>
    <x:xf numFmtId="0" fontId="0" fillId="0" borderId="1" xfId="0" applyNumberFormat="1" applyFont="1" applyFill="1" applyBorder="1"/>
    <x:xf numFmtId="0" fontId="3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/>
    <x:xf numFmtId="0" fontId="2" fillId="0" borderId="2" xfId="0" applyNumberFormat="1" applyFont="1" applyFill="1" applyBorder="1"/>
    <x:xf numFmtId="0" fontId="3" fillId="0" borderId="3" xfId="0" applyNumberFormat="1" applyFont="1" applyFill="1" applyBorder="1"/>
    <x:xf numFmtId="0" fontId="0" fillId="0" borderId="3" xfId="0" applyNumberFormat="1" applyFont="1" applyFill="1" applyBorder="1"/>
    <x:xf numFmtId="0" fontId="3" fillId="0" borderId="1" xfId="0" applyNumberFormat="1" applyFont="1" applyFill="1" applyBorder="1" applyAlignment="1">
      <x:alignment vertical="center"/>
    </x:xf>
    <x:xf numFmtId="0" fontId="0" fillId="0" borderId="1" xfId="0" applyNumberFormat="1" applyFont="1" applyFill="1" applyBorder="1" applyAlignment="1">
      <x:alignment vertical="center"/>
    </x:xf>
    <x:xf numFmtId="0" fontId="3" fillId="0" borderId="2" xfId="0" applyNumberFormat="1" applyFont="1" applyFill="1" applyBorder="1" applyAlignment="1">
      <x:alignment vertical="center"/>
    </x:xf>
    <x:xf numFmtId="200" fontId="0" fillId="0" borderId="2" xfId="0" applyNumberFormat="1" applyFont="1" applyFill="1" applyBorder="1" applyAlignment="1">
      <x:alignment vertical="center"/>
    </x:xf>
    <x:xf numFmtId="0" fontId="0" fillId="0" borderId="2" xfId="0" applyNumberFormat="1" applyFont="1" applyFill="1" applyBorder="1" applyAlignment="1">
      <x:alignment vertical="center"/>
    </x:xf>
    <x:xf numFmtId="0" fontId="2" fillId="0" borderId="2" xfId="0" applyNumberFormat="1" applyFont="1" applyFill="1" applyBorder="1" applyAlignment="1">
      <x:alignment vertical="center"/>
    </x:xf>
    <x:xf numFmtId="0" fontId="3" fillId="0" borderId="3" xfId="0" applyNumberFormat="1" applyFont="1" applyFill="1" applyBorder="1" applyAlignment="1">
      <x:alignment vertical="center"/>
    </x:xf>
    <x:xf numFmtId="0" fontId="0" fillId="0" borderId="3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4" xfId="0" applyNumberFormat="1" applyFont="1" applyFill="1" applyBorder="1"/>
    <x:xf numFmtId="0" fontId="4" fillId="3" borderId="5" xfId="0" applyNumberFormat="1" applyFont="1" applyFill="1" applyBorder="1"/>
    <x:xf numFmtId="0" fontId="4" fillId="3" borderId="6" xfId="0" applyNumberFormat="1" applyFont="1" applyFill="1" applyBorder="1"/>
    <x:xf numFmtId="201" fontId="0" fillId="0" borderId="0" xfId="0" applyNumberFormat="1" applyFont="1" applyFill="1" applyBorder="1"/>
    <x:xf numFmtId="202" fontId="0" fillId="0" borderId="0" xfId="0" applyNumberFormat="1" applyFont="1" applyFill="1" applyBorder="1"/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205" fontId="0" fillId="0" borderId="0" xfId="0" applyNumberFormat="1" applyFont="1" applyFill="1" applyBorder="1"/>
    <x:xf numFmtId="201" fontId="2" fillId="0" borderId="0" xfId="0" applyNumberFormat="1" applyFont="1" applyFill="1" applyBorder="1"/>
    <x:xf numFmtId="202" fontId="2" fillId="0" borderId="0" xfId="0" applyNumberFormat="1" applyFont="1" applyFill="1" applyBorder="1"/>
    <x:xf numFmtId="203" fontId="2" fillId="0" borderId="0" xfId="0" applyNumberFormat="1" applyFont="1" applyFill="1" applyBorder="1"/>
    <x:xf numFmtId="204" fontId="2" fillId="0" borderId="0" xfId="0" applyNumberFormat="1" applyFont="1" applyFill="1" applyBorder="1"/>
    <x:xf numFmtId="205" fontId="2" fillId="0" borderId="0" xfId="0" applyNumberFormat="1" applyFont="1" applyFill="1" applyBorder="1"/>
    <x:xf numFmtId="201" fontId="2" fillId="0" borderId="1" xfId="0" applyNumberFormat="1" applyFont="1" applyFill="1" applyBorder="1"/>
    <x:xf numFmtId="202" fontId="2" fillId="0" borderId="2" xfId="0" applyNumberFormat="1" applyFont="1" applyFill="1" applyBorder="1"/>
    <x:xf numFmtId="203" fontId="2" fillId="0" borderId="2" xfId="0" applyNumberFormat="1" applyFont="1" applyFill="1" applyBorder="1"/>
    <x:xf numFmtId="204" fontId="2" fillId="0" borderId="2" xfId="0" applyNumberFormat="1" applyFont="1" applyFill="1" applyBorder="1"/>
    <x:xf numFmtId="201" fontId="2" fillId="0" borderId="2" xfId="0" applyNumberFormat="1" applyFont="1" applyFill="1" applyBorder="1"/>
    <x:xf numFmtId="205" fontId="2" fillId="0" borderId="3" xfId="0" applyNumberFormat="1" applyFont="1" applyFill="1" applyBorder="1"/>
    <x:xf numFmtId="201" fontId="2" fillId="0" borderId="1" xfId="0" applyNumberFormat="1" applyFont="1" applyFill="1" applyBorder="1" applyAlignment="1">
      <x:alignment vertical="center"/>
    </x:xf>
    <x:xf numFmtId="202" fontId="2" fillId="0" borderId="2" xfId="0" applyNumberFormat="1" applyFont="1" applyFill="1" applyBorder="1" applyAlignment="1">
      <x:alignment vertical="center"/>
    </x:xf>
    <x:xf numFmtId="203" fontId="2" fillId="0" borderId="2" xfId="0" applyNumberFormat="1" applyFont="1" applyFill="1" applyBorder="1" applyAlignment="1">
      <x:alignment vertical="center"/>
    </x:xf>
    <x:xf numFmtId="204" fontId="2" fillId="0" borderId="2" xfId="0" applyNumberFormat="1" applyFont="1" applyFill="1" applyBorder="1" applyAlignment="1">
      <x:alignment vertical="center"/>
    </x:xf>
    <x:xf numFmtId="201" fontId="2" fillId="0" borderId="2" xfId="0" applyNumberFormat="1" applyFont="1" applyFill="1" applyBorder="1" applyAlignment="1">
      <x:alignment vertical="center"/>
    </x:xf>
    <x:xf numFmtId="205" fontId="2" fillId="0" borderId="3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0" fillId="4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7" xfId="0" applyNumberFormat="1" applyFont="1" applyFill="1" applyBorder="1"/>
    <x:xf numFmtId="0" fontId="3" fillId="5" borderId="8" xfId="0" applyNumberFormat="1" applyFont="1" applyFill="1" applyBorder="1"/>
    <x:xf numFmtId="0" fontId="3" fillId="5" borderId="9" xfId="0" applyNumberFormat="1" applyFont="1" applyFill="1" applyBorder="1"/>
    <x:xf numFmtId="206" fontId="0" fillId="0" borderId="0" xfId="0" applyNumberFormat="1" applyFont="1" applyFill="1" applyBorder="1"/>
    <x:xf numFmtId="203" fontId="0" fillId="0" borderId="1" xfId="0" applyNumberFormat="1" applyFont="1" applyFill="1" applyBorder="1"/>
    <x:xf numFmtId="206" fontId="0" fillId="0" borderId="1" xfId="0" applyNumberFormat="1" applyFont="1" applyFill="1" applyBorder="1"/>
    <x:xf numFmtId="203" fontId="0" fillId="0" borderId="2" xfId="0" applyNumberFormat="1" applyFont="1" applyFill="1" applyBorder="1"/>
    <x:xf numFmtId="206" fontId="0" fillId="0" borderId="2" xfId="0" applyNumberFormat="1" applyFont="1" applyFill="1" applyBorder="1"/>
    <x:xf numFmtId="203" fontId="0" fillId="0" borderId="3" xfId="0" applyNumberFormat="1" applyFont="1" applyFill="1" applyBorder="1"/>
    <x:xf numFmtId="206" fontId="0" fillId="0" borderId="3" xfId="0" applyNumberFormat="1" applyFont="1" applyFill="1" applyBorder="1"/>
    <x:xf numFmtId="203" fontId="0" fillId="0" borderId="1" xfId="0" applyNumberFormat="1" applyFont="1" applyFill="1" applyBorder="1" applyAlignment="1">
      <x:alignment vertical="center"/>
    </x:xf>
    <x:xf numFmtId="206" fontId="0" fillId="0" borderId="1" xfId="0" applyNumberFormat="1" applyFont="1" applyFill="1" applyBorder="1" applyAlignment="1">
      <x:alignment vertical="center"/>
    </x:xf>
    <x:xf numFmtId="203" fontId="0" fillId="0" borderId="2" xfId="0" applyNumberFormat="1" applyFont="1" applyFill="1" applyBorder="1" applyAlignment="1">
      <x:alignment vertical="center"/>
    </x:xf>
    <x:xf numFmtId="206" fontId="0" fillId="0" borderId="2" xfId="0" applyNumberFormat="1" applyFont="1" applyFill="1" applyBorder="1" applyAlignment="1">
      <x:alignment vertical="center"/>
    </x:xf>
    <x:xf numFmtId="203" fontId="0" fillId="0" borderId="3" xfId="0" applyNumberFormat="1" applyFont="1" applyFill="1" applyBorder="1" applyAlignment="1">
      <x:alignment vertical="center"/>
    </x:xf>
    <x:xf numFmtId="206" fontId="0" fillId="0" borderId="3" xfId="0" applyNumberFormat="1" applyFont="1" applyFill="1" applyBorder="1" applyAlignment="1">
      <x:alignment vertical="center"/>
    </x:xf>
    <x:xf numFmtId="205" fontId="0" fillId="0" borderId="1" xfId="0" applyNumberFormat="1" applyFont="1" applyFill="1" applyBorder="1"/>
    <x:xf numFmtId="205" fontId="0" fillId="0" borderId="2" xfId="0" applyNumberFormat="1" applyFont="1" applyFill="1" applyBorder="1"/>
    <x:xf numFmtId="205" fontId="0" fillId="0" borderId="3" xfId="0" applyNumberFormat="1" applyFont="1" applyFill="1" applyBorder="1"/>
    <x:xf numFmtId="205" fontId="0" fillId="0" borderId="1" xfId="0" applyNumberFormat="1" applyFont="1" applyFill="1" applyBorder="1" applyAlignment="1">
      <x:alignment vertical="center"/>
    </x:xf>
    <x:xf numFmtId="205" fontId="0" fillId="0" borderId="2" xfId="0" applyNumberFormat="1" applyFont="1" applyFill="1" applyBorder="1" applyAlignment="1">
      <x:alignment vertical="center"/>
    </x:xf>
    <x:xf numFmtId="205" fontId="0" fillId="0" borderId="3" xfId="0" applyNumberFormat="1" applyFont="1" applyFill="1" applyBorder="1" applyAlignment="1">
      <x:alignment vertical="center"/>
    </x:xf>
    <x:xf numFmtId="0" fontId="0" fillId="4" borderId="3" xfId="0" applyNumberFormat="1" applyFont="1" applyFill="1" applyBorder="1" applyAlignment="1">
      <x:alignment vertical="center"/>
    </x:xf>
    <x:xf numFmtId="203" fontId="0" fillId="4" borderId="3" xfId="0" applyNumberFormat="1" applyFont="1" applyFill="1" applyBorder="1" applyAlignment="1">
      <x:alignment vertical="center"/>
    </x:xf>
    <x:xf numFmtId="206" fontId="0" fillId="4" borderId="3" xfId="0" applyNumberFormat="1" applyFont="1" applyFill="1" applyBorder="1" applyAlignment="1">
      <x:alignment vertical="center"/>
    </x:xf>
    <x:xf numFmtId="207" fontId="0" fillId="0" borderId="0" xfId="0" applyNumberFormat="1" applyFont="1" applyFill="1" applyBorder="1"/>
    <x:xf numFmtId="207" fontId="0" fillId="0" borderId="1" xfId="0" applyNumberFormat="1" applyFont="1" applyFill="1" applyBorder="1"/>
    <x:xf numFmtId="207" fontId="0" fillId="0" borderId="2" xfId="0" applyNumberFormat="1" applyFont="1" applyFill="1" applyBorder="1"/>
    <x:xf numFmtId="207" fontId="0" fillId="0" borderId="3" xfId="0" applyNumberFormat="1" applyFont="1" applyFill="1" applyBorder="1"/>
    <x:xf numFmtId="207" fontId="0" fillId="0" borderId="1" xfId="0" applyNumberFormat="1" applyFont="1" applyFill="1" applyBorder="1" applyAlignment="1">
      <x:alignment vertical="center"/>
    </x:xf>
    <x:xf numFmtId="207" fontId="0" fillId="0" borderId="2" xfId="0" applyNumberFormat="1" applyFont="1" applyFill="1" applyBorder="1" applyAlignment="1">
      <x:alignment vertical="center"/>
    </x:xf>
    <x:xf numFmtId="207" fontId="0" fillId="0" borderId="3" xfId="0" applyNumberFormat="1" applyFont="1" applyFill="1" applyBorder="1" applyAlignment="1">
      <x:alignment vertical="center"/>
    </x:xf>
    <x:xf numFmtId="208" fontId="0" fillId="0" borderId="0" xfId="0" applyNumberFormat="1" applyFont="1" applyFill="1" applyBorder="1"/>
    <x:xf numFmtId="208" fontId="0" fillId="0" borderId="1" xfId="0" applyNumberFormat="1" applyFont="1" applyFill="1" applyBorder="1"/>
    <x:xf numFmtId="208" fontId="0" fillId="0" borderId="2" xfId="0" applyNumberFormat="1" applyFont="1" applyFill="1" applyBorder="1"/>
    <x:xf numFmtId="204" fontId="0" fillId="0" borderId="2" xfId="0" applyNumberFormat="1" applyFont="1" applyFill="1" applyBorder="1"/>
    <x:xf numFmtId="208" fontId="0" fillId="0" borderId="3" xfId="0" applyNumberFormat="1" applyFont="1" applyFill="1" applyBorder="1"/>
    <x:xf numFmtId="208" fontId="0" fillId="0" borderId="1" xfId="0" applyNumberFormat="1" applyFont="1" applyFill="1" applyBorder="1" applyAlignment="1">
      <x:alignment vertical="center"/>
    </x:xf>
    <x:xf numFmtId="208" fontId="0" fillId="0" borderId="2" xfId="0" applyNumberFormat="1" applyFont="1" applyFill="1" applyBorder="1" applyAlignment="1">
      <x:alignment vertical="center"/>
    </x:xf>
    <x:xf numFmtId="204" fontId="0" fillId="0" borderId="2" xfId="0" applyNumberFormat="1" applyFont="1" applyFill="1" applyBorder="1" applyAlignment="1">
      <x:alignment vertical="center"/>
    </x:xf>
    <x:xf numFmtId="208" fontId="0" fillId="0" borderId="3" xfId="0" applyNumberFormat="1" applyFont="1" applyFill="1" applyBorder="1" applyAlignment="1">
      <x:alignment vertical="center"/>
    </x:xf>
    <x:xf numFmtId="0" fontId="0" fillId="6" borderId="2" xfId="0" applyNumberFormat="1" applyFont="1" applyFill="1" applyBorder="1" applyAlignment="1">
      <x:alignment vertical="center"/>
    </x:xf>
    <x:xf numFmtId="203" fontId="0" fillId="6" borderId="2" xfId="0" applyNumberFormat="1" applyFont="1" applyFill="1" applyBorder="1" applyAlignment="1">
      <x:alignment vertical="center"/>
    </x:xf>
    <x:xf numFmtId="204" fontId="0" fillId="6" borderId="2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/>
    <x:xf numFmtId="0" fontId="5" fillId="0" borderId="1" xfId="0" applyNumberFormat="1" applyFont="1" applyFill="1" applyBorder="1"/>
    <x:xf numFmtId="0" fontId="5" fillId="0" borderId="2" xfId="0" applyNumberFormat="1" applyFont="1" applyFill="1" applyBorder="1"/>
    <x:xf numFmtId="0" fontId="5" fillId="0" borderId="1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/>
    </x:xf>
    <x:xf numFmtId="201" fontId="5" fillId="0" borderId="1" xfId="0" applyNumberFormat="1" applyFont="1" applyFill="1" applyBorder="1" applyAlignment="1">
      <x:alignment vertical="center"/>
    </x:xf>
    <x:xf numFmtId="202" fontId="5" fillId="0" borderId="2" xfId="0" applyNumberFormat="1" applyFont="1" applyFill="1" applyBorder="1" applyAlignment="1">
      <x:alignment vertical="center"/>
    </x:xf>
    <x:xf numFmtId="201" fontId="0" fillId="0" borderId="2" xfId="0" applyNumberFormat="1" applyFont="1" applyFill="1" applyBorder="1" applyAlignment="1">
      <x:alignment vertical="center"/>
    </x:xf>
    <x:xf numFmtId="204" fontId="0" fillId="0" borderId="3" xfId="0" applyNumberFormat="1" applyFont="1" applyFill="1" applyBorder="1" applyAlignment="1">
      <x:alignment vertical="center"/>
    </x:xf>
    <x:xf numFmtId="209" fontId="0" fillId="0" borderId="0" xfId="0" applyNumberFormat="1" applyFont="1" applyFill="1" applyBorder="1"/>
    <x:xf numFmtId="201" fontId="5" fillId="0" borderId="0" xfId="0" applyNumberFormat="1" applyFont="1" applyFill="1" applyBorder="1"/>
    <x:xf numFmtId="209" fontId="5" fillId="0" borderId="0" xfId="0" applyNumberFormat="1" applyFont="1" applyFill="1" applyBorder="1"/>
    <x:xf numFmtId="201" fontId="5" fillId="0" borderId="2" xfId="0" applyNumberFormat="1" applyFont="1" applyFill="1" applyBorder="1"/>
    <x:xf numFmtId="209" fontId="5" fillId="0" borderId="2" xfId="0" applyNumberFormat="1" applyFont="1" applyFill="1" applyBorder="1"/>
    <x:xf numFmtId="209" fontId="5" fillId="0" borderId="3" xfId="0" applyNumberFormat="1" applyFont="1" applyFill="1" applyBorder="1"/>
    <x:xf numFmtId="201" fontId="5" fillId="0" borderId="2" xfId="0" applyNumberFormat="1" applyFont="1" applyFill="1" applyBorder="1" applyAlignment="1">
      <x:alignment vertical="center"/>
    </x:xf>
    <x:xf numFmtId="209" fontId="5" fillId="0" borderId="2" xfId="0" applyNumberFormat="1" applyFont="1" applyFill="1" applyBorder="1" applyAlignment="1">
      <x:alignment vertical="center"/>
    </x:xf>
    <x:xf numFmtId="209" fontId="5" fillId="0" borderId="3" xfId="0" applyNumberFormat="1" applyFont="1" applyFill="1" applyBorder="1" applyAlignment="1">
      <x:alignment vertical="center"/>
    </x:xf>
    <x:xf numFmtId="0" fontId="0" fillId="7" borderId="0" xfId="0" applyNumberFormat="1" applyFont="1" applyFill="1" applyBorder="1"/>
    <x:xf numFmtId="203" fontId="0" fillId="7" borderId="0" xfId="0" applyNumberFormat="1" applyFont="1" applyFill="1" applyBorder="1"/>
    <x:xf numFmtId="209" fontId="0" fillId="7" borderId="0" xfId="0" applyNumberFormat="1" applyFont="1" applyFill="1" applyBorder="1"/>
    <x:xf numFmtId="201" fontId="0" fillId="7" borderId="0" xfId="0" applyNumberFormat="1" applyFont="1" applyFill="1" applyBorder="1"/>
    <x:xf numFmtId="205" fontId="0" fillId="7" borderId="0" xfId="0" applyNumberFormat="1" applyFont="1" applyFill="1" applyBorder="1"/>
    <x:xf numFmtId="201" fontId="3" fillId="0" borderId="0" xfId="0" applyNumberFormat="1" applyFont="1" applyFill="1" applyBorder="1"/>
    <x:xf numFmtId="201" fontId="3" fillId="7" borderId="0" xfId="0" applyNumberFormat="1" applyFont="1" applyFill="1" applyBorder="1"/>
    <x:xf numFmtId="209" fontId="0" fillId="0" borderId="1" xfId="0" applyNumberFormat="1" applyFont="1" applyFill="1" applyBorder="1"/>
    <x:xf numFmtId="201" fontId="0" fillId="0" borderId="1" xfId="0" applyNumberFormat="1" applyFont="1" applyFill="1" applyBorder="1"/>
    <x:xf numFmtId="201" fontId="3" fillId="0" borderId="1" xfId="0" applyNumberFormat="1" applyFont="1" applyFill="1" applyBorder="1"/>
    <x:xf numFmtId="0" fontId="0" fillId="7" borderId="2" xfId="0" applyNumberFormat="1" applyFont="1" applyFill="1" applyBorder="1"/>
    <x:xf numFmtId="203" fontId="0" fillId="7" borderId="2" xfId="0" applyNumberFormat="1" applyFont="1" applyFill="1" applyBorder="1"/>
    <x:xf numFmtId="209" fontId="0" fillId="7" borderId="2" xfId="0" applyNumberFormat="1" applyFont="1" applyFill="1" applyBorder="1"/>
    <x:xf numFmtId="201" fontId="0" fillId="7" borderId="2" xfId="0" applyNumberFormat="1" applyFont="1" applyFill="1" applyBorder="1"/>
    <x:xf numFmtId="201" fontId="3" fillId="7" borderId="2" xfId="0" applyNumberFormat="1" applyFont="1" applyFill="1" applyBorder="1"/>
    <x:xf numFmtId="205" fontId="0" fillId="7" borderId="2" xfId="0" applyNumberFormat="1" applyFont="1" applyFill="1" applyBorder="1"/>
    <x:xf numFmtId="209" fontId="0" fillId="0" borderId="3" xfId="0" applyNumberFormat="1" applyFont="1" applyFill="1" applyBorder="1"/>
    <x:xf numFmtId="201" fontId="0" fillId="0" borderId="3" xfId="0" applyNumberFormat="1" applyFont="1" applyFill="1" applyBorder="1"/>
    <x:xf numFmtId="201" fontId="3" fillId="0" borderId="3" xfId="0" applyNumberFormat="1" applyFont="1" applyFill="1" applyBorder="1"/>
    <x:xf numFmtId="209" fontId="0" fillId="0" borderId="1" xfId="0" applyNumberFormat="1" applyFont="1" applyFill="1" applyBorder="1" applyAlignment="1">
      <x:alignment vertical="center"/>
    </x:xf>
    <x:xf numFmtId="201" fontId="0" fillId="0" borderId="1" xfId="0" applyNumberFormat="1" applyFont="1" applyFill="1" applyBorder="1" applyAlignment="1">
      <x:alignment vertical="center"/>
    </x:xf>
    <x:xf numFmtId="201" fontId="3" fillId="0" borderId="1" xfId="0" applyNumberFormat="1" applyFont="1" applyFill="1" applyBorder="1" applyAlignment="1">
      <x:alignment vertical="center"/>
    </x:xf>
    <x:xf numFmtId="0" fontId="0" fillId="7" borderId="2" xfId="0" applyNumberFormat="1" applyFont="1" applyFill="1" applyBorder="1" applyAlignment="1">
      <x:alignment vertical="center"/>
    </x:xf>
    <x:xf numFmtId="203" fontId="0" fillId="7" borderId="2" xfId="0" applyNumberFormat="1" applyFont="1" applyFill="1" applyBorder="1" applyAlignment="1">
      <x:alignment vertical="center"/>
    </x:xf>
    <x:xf numFmtId="209" fontId="0" fillId="7" borderId="2" xfId="0" applyNumberFormat="1" applyFont="1" applyFill="1" applyBorder="1" applyAlignment="1">
      <x:alignment vertical="center"/>
    </x:xf>
    <x:xf numFmtId="201" fontId="0" fillId="7" borderId="2" xfId="0" applyNumberFormat="1" applyFont="1" applyFill="1" applyBorder="1" applyAlignment="1">
      <x:alignment vertical="center"/>
    </x:xf>
    <x:xf numFmtId="201" fontId="3" fillId="7" borderId="2" xfId="0" applyNumberFormat="1" applyFont="1" applyFill="1" applyBorder="1" applyAlignment="1">
      <x:alignment vertical="center"/>
    </x:xf>
    <x:xf numFmtId="205" fontId="0" fillId="7" borderId="2" xfId="0" applyNumberFormat="1" applyFont="1" applyFill="1" applyBorder="1" applyAlignment="1">
      <x:alignment vertical="center"/>
    </x:xf>
    <x:xf numFmtId="209" fontId="0" fillId="0" borderId="3" xfId="0" applyNumberFormat="1" applyFont="1" applyFill="1" applyBorder="1" applyAlignment="1">
      <x:alignment vertical="center"/>
    </x:xf>
    <x:xf numFmtId="201" fontId="0" fillId="0" borderId="3" xfId="0" applyNumberFormat="1" applyFont="1" applyFill="1" applyBorder="1" applyAlignment="1">
      <x:alignment vertical="center"/>
    </x:xf>
    <x:xf numFmtId="201" fontId="3" fillId="0" borderId="3" xfId="0" applyNumberFormat="1" applyFont="1" applyFill="1" applyBorder="1" applyAlignment="1">
      <x:alignment vertical="center"/>
    </x:xf>
    <x:xf numFmtId="201" fontId="0" fillId="0" borderId="2" xfId="0" applyNumberFormat="1" applyFont="1" applyFill="1" applyBorder="1"/>
    <x:xf numFmtId="0" fontId="6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6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6" fillId="0" borderId="1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wrapText="1"/>
    </x:xf>
    <x:xf numFmtId="0" fontId="6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6" fillId="0" borderId="1" xfId="0" applyNumberFormat="1" applyFont="1" applyFill="1" applyBorder="1" applyAlignment="1">
      <x:alignment vertical="center" wrapText="1"/>
    </x:xf>
    <x:xf numFmtId="0" fontId="0" fillId="0" borderId="2" xfId="0" applyNumberFormat="1" applyFont="1" applyFill="1" applyBorder="1" applyAlignment="1">
      <x:alignment vertical="center" wrapText="1"/>
    </x:xf>
    <x:xf numFmtId="0" fontId="6" fillId="0" borderId="2" xfId="0" applyNumberFormat="1" applyFont="1" applyFill="1" applyBorder="1" applyAlignment="1">
      <x:alignment vertical="center" wrapText="1"/>
    </x:xf>
    <x:xf numFmtId="0" fontId="0" fillId="0" borderId="3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2">
    <x:dxf>
      <x:font>
        <x:color rgb="FF006100"/>
      </x:font>
      <x:fill>
        <x:patternFill patternType="solid">
          <x:bgColor rgb="FFC6EFCE"/>
        </x:patternFill>
      </x:fill>
    </x:dxf>
    <x:dxf>
      <x:font>
        <x:color rgb="FF9C0006"/>
      </x:font>
      <x:fill>
        <x:patternFill patternType="solid">
          <x:bgColor rgb="FFFFC7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cd6d1116b4643c2" /><Relationship Type="http://schemas.openxmlformats.org/officeDocument/2006/relationships/theme" Target="/xl/theme/theme1.xml" Id="R6347b07fb83b4f10" /><Relationship Type="http://schemas.openxmlformats.org/officeDocument/2006/relationships/sharedStrings" Target="/xl/sharedStrings.xml" Id="R0a4f9cdcdcef4b92" /><Relationship Type="http://schemas.openxmlformats.org/officeDocument/2006/relationships/worksheet" Target="/xl/worksheets/sheet1.xml" Id="R034fc98e100a4fce" /><Relationship Type="http://schemas.openxmlformats.org/officeDocument/2006/relationships/worksheet" Target="/xl/worksheets/sheet2.xml" Id="R07b1d57567f54e85" /><Relationship Type="http://schemas.openxmlformats.org/officeDocument/2006/relationships/worksheet" Target="/xl/worksheets/sheet3.xml" Id="R1ade5c6915274d61" /><Relationship Type="http://schemas.openxmlformats.org/officeDocument/2006/relationships/worksheet" Target="/xl/worksheets/sheet4.xml" Id="R46b8d1b35f1f4c58" /><Relationship Type="http://schemas.openxmlformats.org/officeDocument/2006/relationships/worksheet" Target="/xl/worksheets/sheet5.xml" Id="R5f92a4d3ffe640d5" /><Relationship Type="http://schemas.openxmlformats.org/officeDocument/2006/relationships/worksheet" Target="/xl/worksheets/sheet6.xml" Id="R0ba93ea4df27431f" /><Relationship Type="http://schemas.openxmlformats.org/officeDocument/2006/relationships/worksheet" Target="/xl/worksheets/sheet7.xml" Id="R46bb2a2c53474f00" /><Relationship Type="http://schemas.openxmlformats.org/officeDocument/2006/relationships/worksheet" Target="/xl/worksheets/sheet8.xml" Id="R9ad99c695aba422f" /><Relationship Type="http://schemas.microsoft.com/office/2017/10/relationships/person" Target="/xl/persons/person.xml" Id="R2907f20a8bfd4d15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9679f43d28c6459c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00"/>
              <a:t>情景价值与当前股价（RMB/股）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情景价值</c:v>
          </c:tx>
          <c:spPr>
            <a:solidFill xmlns:a="http://schemas.openxmlformats.org/drawingml/2006/main">
              <a:srgbClr val="17365D"/>
            </a:solidFill>
          </c:spPr>
          <c:cat>
            <c:strRef>
              <c:f>'Valuation'!$A$5:$A$7</c:f>
              <c:strCache>
                <c:ptCount val="0"/>
              </c:strCache>
            </c:strRef>
          </c:cat>
          <c:val>
            <c:numRef>
              <c:f>'Valuation'!$H$5:$H$7</c:f>
              <c:numCache>
                <c:formatCode>"RMB "0</c:formatCode>
                <c:ptCount val="0"/>
              </c:numCache>
            </c:numRef>
          </c:val>
        </c:ser>
        <c:ser>
          <c:idx val="1"/>
          <c:order val="1"/>
          <c:tx>
            <c:v>当前股价</c:v>
          </c:tx>
          <c:spPr>
            <a:solidFill xmlns:a="http://schemas.openxmlformats.org/drawingml/2006/main">
              <a:srgbClr val="C9A227"/>
            </a:solidFill>
          </c:spPr>
          <c:cat>
            <c:strRef>
              <c:f>'Valuation'!$A$5:$A$7</c:f>
              <c:strCache>
                <c:ptCount val="0"/>
              </c:strCache>
            </c:strRef>
          </c:cat>
          <c:val>
            <c:numRef>
              <c:f>'Cover'!$J$3:$J$5</c:f>
              <c:numCache>
                <c:formatCode>"RMB "0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&quot;RMB &quot;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2</xdr:row>
      <xdr:rowOff>0</xdr:rowOff>
    </xdr:from>
    <xdr:to>
      <xdr:col>8</xdr:col>
      <xdr:colOff>0</xdr:colOff>
      <xdr:row>15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679f43d28c6459c"/>
        </a:graphicData>
      </a:graphic>
    </xdr:graphicFrame>
    <xdr:clientData/>
  </xdr:twoCellAnchor>
</xdr:wsDr>
</file>

<file path=xl/persons/person.xml><?xml version="1.0" encoding="utf-8"?>
<xltc:personList xmlns:xltc="http://schemas.microsoft.com/office/spreadsheetml/2018/threadedcomments">
  <xltc:person displayName="Equity Research" id="{C651C61A-BDCF-4134-B1AF-1D6FED7D8697}"/>
</xltc:personList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.xml><?xml version="1.0" encoding="utf-8"?>
<xltc:ThreadedComments xmlns:xltc="http://schemas.microsoft.com/office/spreadsheetml/2018/threadedcomments">
  <xltc:threadedComment ref="B4" dT="2026-09-05T13:53:07.53" personId="{C651C61A-BDCF-4134-B1AF-1D6FED7D8697}" id="{35D259F8-A9F6-45C3-84B3-3CB0C8DC3C01}">
    <xltc:text>Source M1: 赣锋锂业 A-share close RMB50.52 on 2026-09-04.</xltc:text>
  </xltc:threadedComment>
  <xltc:threadedComment ref="C18" dT="2026-09-05T13:53:07.53" personId="{C651C61A-BDCF-4134-B1AF-1D6FED7D8697}" id="{84AB3908-EE1D-4D33-B601-55ED9B615373}">
    <xltc:text>Analyst assumption: Base normalized EPS; not company guidance or market consensus.</xltc:text>
  </xltc:threadedComment>
  <xltc:threadedComment ref="C19" dT="2026-09-05T13:53:07.53" personId="{C651C61A-BDCF-4134-B1AF-1D6FED7D8697}" id="{8E295E01-A6AE-430E-BA33-C7FFC3DD1511}">
    <xltc:text>Analyst assumption: Base normalized P/E multiple reflects cyclicality and business quality.</xltc:text>
  </xltc:threadedComment>
  <xltc:threadedComment ref="C20" dT="2026-09-05T13:53:07.53" personId="{C651C61A-BDCF-4134-B1AF-1D6FED7D8697}" id="{D39D4331-4017-47F6-8B47-E33C6233FC19}">
    <xltc:text>Analyst assumption: Base P/B cross-check; book value is not liquidation value.</xltc:text>
  </xltc:threadedComment>
</xltc:ThreadedComments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69794319fcb41d1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comments" Target="/xl/comments1.xml" Id="Rb21085e5bb0d4222" /><Relationship Type="http://schemas.openxmlformats.org/officeDocument/2006/relationships/vmlDrawing" Target="/xl/drawings/vmldrawing.vml" Id="Rf62bd5fbccfd4d5e" /><Relationship Type="http://schemas.microsoft.com/office/2017/10/relationships/threadedComment" Target="/xl/threadedcomments/threadedcomment.xml" Id="Rf1983ed42f554df6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30" hidden="0" customWidth="1"/>
    <x:col min="3" max="3" width="38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</x:cols>
  <x:sheetData>
    <x:row r="1" ht="30" customHeight="1">
      <x:c r="A1" s="3" t="str">
        <x:v>赣锋锂业（002460.SZ / 01772.HK）基本面与估值模型</x:v>
      </x:c>
      <x:c r="B1" s="3" t="str">
        <x:v>赣锋锂业（002460.SZ / 01772.HK）基本面与估值模型</x:v>
      </x:c>
      <x:c r="C1" s="3" t="str">
        <x:v>赣锋锂业（002460.SZ / 01772.HK）基本面与估值模型</x:v>
      </x:c>
      <x:c r="D1" s="3" t="str">
        <x:v>赣锋锂业（002460.SZ / 01772.HK）基本面与估值模型</x:v>
      </x:c>
      <x:c r="E1" s="3" t="str">
        <x:v>赣锋锂业（002460.SZ / 01772.HK）基本面与估值模型</x:v>
      </x:c>
      <x:c r="F1" s="3" t="str">
        <x:v>赣锋锂业（002460.SZ / 01772.HK）基本面与估值模型</x:v>
      </x:c>
      <x:c r="G1" s="3" t="str">
        <x:v>赣锋锂业（002460.SZ / 01772.HK）基本面与估值模型</x:v>
      </x:c>
      <x:c r="H1" s="3" t="str">
        <x:v>赣锋锂业（002460.SZ / 01772.HK）基本面与估值模型</x:v>
      </x:c>
    </x:row>
    <x:row r="2">
      <x:c r="J2" t="str">
        <x:v>当前价格</x:v>
      </x:c>
    </x:row>
    <x:row r="3">
      <x:c r="A3" s="15" t="str">
        <x:v>公司</x:v>
      </x:c>
      <x:c r="B3" s="16" t="str">
        <x:v>江西赣锋锂业集团股份有限公司</x:v>
      </x:c>
      <x:c r="J3" t="n">
        <x:v>50.52</x:v>
      </x:c>
    </x:row>
    <x:row r="4">
      <x:c r="A4" s="17" t="str">
        <x:v>价格基准</x:v>
      </x:c>
      <x:c r="B4" s="18" t="n">
        <x:v>46269</x:v>
      </x:c>
      <x:c r="J4" t="n">
        <x:v>50.52</x:v>
      </x:c>
    </x:row>
    <x:row r="5">
      <x:c r="A5" s="17" t="str">
        <x:v>资料截止</x:v>
      </x:c>
      <x:c r="B5" s="19" t="str">
        <x:v>2026-09-05</x:v>
      </x:c>
      <x:c r="J5" t="n">
        <x:v>50.52</x:v>
      </x:c>
    </x:row>
    <x:row r="6">
      <x:c r="A6" s="17" t="str">
        <x:v>报告单位</x:v>
      </x:c>
      <x:c r="B6" s="19" t="str">
        <x:v>RMB bn；每股为人民币</x:v>
      </x:c>
    </x:row>
    <x:row r="7">
      <x:c r="A7" s="17" t="str">
        <x:v>模型版本</x:v>
      </x:c>
      <x:c r="B7" s="19" t="str">
        <x:v>首次建档 / 2026H1 v1.0</x:v>
      </x:c>
    </x:row>
    <x:row r="8">
      <x:c r="A8" s="17" t="str">
        <x:v>估值框架</x:v>
      </x:c>
      <x:c r="B8" s="19" t="str">
        <x:v>60% 正常化P/E + 40% P/B</x:v>
      </x:c>
    </x:row>
    <x:row r="9">
      <x:c r="A9" s="17" t="str">
        <x:v>模型状态</x:v>
      </x:c>
      <x:c r="B9" s="20" t="str">
        <x:f>'Checks'!F2</x:f>
        <x:v>OK</x:v>
      </x:c>
    </x:row>
    <x:row r="10">
      <x:c r="A10" s="17" t="str">
        <x:v>当前判断</x:v>
      </x:c>
      <x:c r="B10" s="19" t="str">
        <x:v>中性偏谨慎</x:v>
      </x:c>
    </x:row>
    <x:row r="11">
      <x:c r="A11" s="17" t="str">
        <x:v>业务质量</x:v>
      </x:c>
      <x:c r="B11" s="19" t="str">
        <x:v>中</x:v>
      </x:c>
    </x:row>
    <x:row r="12">
      <x:c r="A12" s="21" t="str">
        <x:v>估值置信度</x:v>
      </x:c>
      <x:c r="B12" s="22" t="str">
        <x:v>中低</x:v>
      </x:c>
    </x:row>
    <x:row r="14">
      <x:c r="A14" s="25" t="str">
        <x:v>关键输出</x:v>
      </x:c>
      <x:c r="B14" s="26" t="str">
        <x:v>数值</x:v>
      </x:c>
      <x:c r="C14" s="27" t="str">
        <x:v>说明</x:v>
      </x:c>
    </x:row>
    <x:row r="15">
      <x:c r="A15" s="16" t="str">
        <x:v>当前A股价</x:v>
      </x:c>
      <x:c r="B15" s="44" t="n">
        <x:f>'Assumptions'!B4</x:f>
        <x:v>50.52</x:v>
      </x:c>
      <x:c r="C15" s="16" t="str">
        <x:v>2026-09-04收盘</x:v>
      </x:c>
    </x:row>
    <x:row r="16">
      <x:c r="A16" s="19" t="str">
        <x:v>总股数</x:v>
      </x:c>
      <x:c r="B16" s="45" t="n">
        <x:f>'Assumptions'!B5</x:f>
        <x:v>2.096694</x:v>
      </x:c>
      <x:c r="C16" s="19" t="str">
        <x:v>A+H或总股本口径</x:v>
      </x:c>
    </x:row>
    <x:row r="17">
      <x:c r="A17" s="19" t="str">
        <x:v>参考市值</x:v>
      </x:c>
      <x:c r="B17" s="46" t="n">
        <x:f>'Assumptions'!B6</x:f>
        <x:v>105.92498087999999</x:v>
      </x:c>
      <x:c r="C17" s="19" t="str">
        <x:v>价格×股数</x:v>
      </x:c>
    </x:row>
    <x:row r="18">
      <x:c r="A18" s="19" t="str">
        <x:v>2026H1归母净利润</x:v>
      </x:c>
      <x:c r="B18" s="46" t="n">
        <x:f>'Historical'!C7</x:f>
        <x:v>4.257165</x:v>
      </x:c>
      <x:c r="C18" s="19" t="str">
        <x:v>不直接年化</x:v>
      </x:c>
    </x:row>
    <x:row r="19">
      <x:c r="A19" s="19" t="str">
        <x:v>2026H1自由现金流</x:v>
      </x:c>
      <x:c r="B19" s="46" t="n">
        <x:f>'Historical'!G7</x:f>
        <x:v>-1.1067869999999997</x:v>
      </x:c>
      <x:c r="C19" s="19" t="str">
        <x:v>CFO-资本开支</x:v>
      </x:c>
    </x:row>
    <x:row r="20">
      <x:c r="A20" s="19" t="str">
        <x:v>净债务/(净现金)</x:v>
      </x:c>
      <x:c r="B20" s="46" t="n">
        <x:f>'Balance &amp; Cash'!B15</x:f>
        <x:v>25.736899</x:v>
      </x:c>
      <x:c r="C20" s="19" t="str">
        <x:v>债务-现金及高流动性资产</x:v>
      </x:c>
    </x:row>
    <x:row r="21">
      <x:c r="A21" s="19" t="str">
        <x:v>当前P/B</x:v>
      </x:c>
      <x:c r="B21" s="47" t="n">
        <x:f>'Assumptions'!B9</x:f>
        <x:v>2.1976722094075654</x:v>
      </x:c>
      <x:c r="C21" s="19" t="str">
        <x:v>参考市值/归母净资产</x:v>
      </x:c>
    </x:row>
    <x:row r="22">
      <x:c r="A22" s="19" t="str">
        <x:v>Bear价值</x:v>
      </x:c>
      <x:c r="B22" s="48" t="n">
        <x:f>'Valuation'!H5</x:f>
        <x:v>20.39422061588386</x:v>
      </x:c>
      <x:c r="C22" s="19" t="str">
        <x:v>保守周期情景</x:v>
      </x:c>
    </x:row>
    <x:row r="23">
      <x:c r="A23" s="19" t="str">
        <x:v>Base价值</x:v>
      </x:c>
      <x:c r="B23" s="48" t="n">
        <x:f>'Valuation'!H6</x:f>
        <x:v>45.270367693139775</x:v>
      </x:c>
      <x:c r="C23" s="19" t="str">
        <x:v>正常化中枢</x:v>
      </x:c>
    </x:row>
    <x:row r="24">
      <x:c r="A24" s="19" t="str">
        <x:v>Bull价值</x:v>
      </x:c>
      <x:c r="B24" s="48" t="n">
        <x:f>'Valuation'!H7</x:f>
        <x:v>74.34651477039569</x:v>
      </x:c>
      <x:c r="C24" s="19" t="str">
        <x:v>高景气兑现</x:v>
      </x:c>
    </x:row>
    <x:row r="25">
      <x:c r="A25" s="22" t="str">
        <x:v>Base相对现价</x:v>
      </x:c>
      <x:c r="B25" s="49" t="n">
        <x:f>'Valuation'!I6</x:f>
        <x:v>-0.10391196173515893</x:v>
      </x:c>
      <x:c r="C25" s="22" t="str">
        <x:v>情景差异，不是收益保证</x:v>
      </x:c>
    </x:row>
    <x:row r="28">
      <x:c r="A28" s="25" t="str">
        <x:v>研究结论</x:v>
      </x:c>
      <x:c r="B28" s="26" t="str">
        <x:v>研究结论</x:v>
      </x:c>
      <x:c r="C28" s="26" t="str">
        <x:v>研究结论</x:v>
      </x:c>
      <x:c r="D28" s="26" t="str">
        <x:v>研究结论</x:v>
      </x:c>
      <x:c r="E28" s="26" t="str">
        <x:v>研究结论</x:v>
      </x:c>
      <x:c r="F28" s="26" t="str">
        <x:v>研究结论</x:v>
      </x:c>
      <x:c r="G28" s="26" t="str">
        <x:v>研究结论</x:v>
      </x:c>
      <x:c r="H28" s="27" t="str">
        <x:v>研究结论</x:v>
      </x:c>
    </x:row>
    <x:row r="29" ht="24" customHeight="1">
      <x:c r="A29" s="52" t="str">
        <x:v>赣锋拥有最完整的锂生态与最广的资源组合，2026H1锂产品收入和毛利率强劲反弹；但经营现金流仅13.28亿元、资本开支24.35亿元，库存升至151.5亿元，广义净债务约257亿元。50.52元高于Base约45.27元，价格已计入较多锂价与项目爬坡改善。</x:v>
      </x:c>
      <x:c r="B29" s="52" t="str">
        <x:v>赣锋拥有最完整的锂生态与最广的资源组合，2026H1锂产品收入和毛利率强劲反弹；但经营现金流仅13.28亿元、资本开支24.35亿元，库存升至151.5亿元，广义净债务约257亿元。50.52元高于Base约45.27元，价格已计入较多锂价与项目爬坡改善。</x:v>
      </x:c>
      <x:c r="C29" s="52" t="str">
        <x:v>赣锋拥有最完整的锂生态与最广的资源组合，2026H1锂产品收入和毛利率强劲反弹；但经营现金流仅13.28亿元、资本开支24.35亿元，库存升至151.5亿元，广义净债务约257亿元。50.52元高于Base约45.27元，价格已计入较多锂价与项目爬坡改善。</x:v>
      </x:c>
      <x:c r="D29" s="52" t="str">
        <x:v>赣锋拥有最完整的锂生态与最广的资源组合，2026H1锂产品收入和毛利率强劲反弹；但经营现金流仅13.28亿元、资本开支24.35亿元，库存升至151.5亿元，广义净债务约257亿元。50.52元高于Base约45.27元，价格已计入较多锂价与项目爬坡改善。</x:v>
      </x:c>
      <x:c r="E29" s="52" t="str">
        <x:v>赣锋拥有最完整的锂生态与最广的资源组合，2026H1锂产品收入和毛利率强劲反弹；但经营现金流仅13.28亿元、资本开支24.35亿元，库存升至151.5亿元，广义净债务约257亿元。50.52元高于Base约45.27元，价格已计入较多锂价与项目爬坡改善。</x:v>
      </x:c>
      <x:c r="F29" s="52" t="str">
        <x:v>赣锋拥有最完整的锂生态与最广的资源组合，2026H1锂产品收入和毛利率强劲反弹；但经营现金流仅13.28亿元、资本开支24.35亿元，库存升至151.5亿元，广义净债务约257亿元。50.52元高于Base约45.27元，价格已计入较多锂价与项目爬坡改善。</x:v>
      </x:c>
      <x:c r="G29" s="52" t="str">
        <x:v>赣锋拥有最完整的锂生态与最广的资源组合，2026H1锂产品收入和毛利率强劲反弹；但经营现金流仅13.28亿元、资本开支24.35亿元，库存升至151.5亿元，广义净债务约257亿元。50.52元高于Base约45.27元，价格已计入较多锂价与项目爬坡改善。</x:v>
      </x:c>
      <x:c r="H29" s="52" t="str">
        <x:v>赣锋拥有最完整的锂生态与最广的资源组合，2026H1锂产品收入和毛利率强劲反弹；但经营现金流仅13.28亿元、资本开支24.35亿元，库存升至151.5亿元，广义净债务约257亿元。50.52元高于Base约45.27元，价格已计入较多锂价与项目爬坡改善。</x:v>
      </x:c>
    </x:row>
    <x:row r="30" ht="24" customHeight="1">
      <x:c r="A30" s="52" t="str">
        <x:v>赣锋拥有最完整的锂生态与最广的资源组合，2026H1锂产品收入和毛利率强劲反弹；但经营现金流仅13.28亿元、资本开支24.35亿元，库存升至151.5亿元，广义净债务约257亿元。50.52元高于Base约45.27元，价格已计入较多锂价与项目爬坡改善。</x:v>
      </x:c>
      <x:c r="B30" s="52" t="str">
        <x:v>赣锋拥有最完整的锂生态与最广的资源组合，2026H1锂产品收入和毛利率强劲反弹；但经营现金流仅13.28亿元、资本开支24.35亿元，库存升至151.5亿元，广义净债务约257亿元。50.52元高于Base约45.27元，价格已计入较多锂价与项目爬坡改善。</x:v>
      </x:c>
      <x:c r="C30" s="52" t="str">
        <x:v>赣锋拥有最完整的锂生态与最广的资源组合，2026H1锂产品收入和毛利率强劲反弹；但经营现金流仅13.28亿元、资本开支24.35亿元，库存升至151.5亿元，广义净债务约257亿元。50.52元高于Base约45.27元，价格已计入较多锂价与项目爬坡改善。</x:v>
      </x:c>
      <x:c r="D30" s="52" t="str">
        <x:v>赣锋拥有最完整的锂生态与最广的资源组合，2026H1锂产品收入和毛利率强劲反弹；但经营现金流仅13.28亿元、资本开支24.35亿元，库存升至151.5亿元，广义净债务约257亿元。50.52元高于Base约45.27元，价格已计入较多锂价与项目爬坡改善。</x:v>
      </x:c>
      <x:c r="E30" s="52" t="str">
        <x:v>赣锋拥有最完整的锂生态与最广的资源组合，2026H1锂产品收入和毛利率强劲反弹；但经营现金流仅13.28亿元、资本开支24.35亿元，库存升至151.5亿元，广义净债务约257亿元。50.52元高于Base约45.27元，价格已计入较多锂价与项目爬坡改善。</x:v>
      </x:c>
      <x:c r="F30" s="52" t="str">
        <x:v>赣锋拥有最完整的锂生态与最广的资源组合，2026H1锂产品收入和毛利率强劲反弹；但经营现金流仅13.28亿元、资本开支24.35亿元，库存升至151.5亿元，广义净债务约257亿元。50.52元高于Base约45.27元，价格已计入较多锂价与项目爬坡改善。</x:v>
      </x:c>
      <x:c r="G30" s="52" t="str">
        <x:v>赣锋拥有最完整的锂生态与最广的资源组合，2026H1锂产品收入和毛利率强劲反弹；但经营现金流仅13.28亿元、资本开支24.35亿元，库存升至151.5亿元，广义净债务约257亿元。50.52元高于Base约45.27元，价格已计入较多锂价与项目爬坡改善。</x:v>
      </x:c>
      <x:c r="H30" s="52" t="str">
        <x:v>赣锋拥有最完整的锂生态与最广的资源组合，2026H1锂产品收入和毛利率强劲反弹；但经营现金流仅13.28亿元、资本开支24.35亿元，库存升至151.5亿元，广义净债务约257亿元。50.52元高于Base约45.27元，价格已计入较多锂价与项目爬坡改善。</x:v>
      </x:c>
    </x:row>
    <x:row r="31" ht="24" customHeight="1">
      <x:c r="A31" s="52" t="str">
        <x:v>赣锋拥有最完整的锂生态与最广的资源组合，2026H1锂产品收入和毛利率强劲反弹；但经营现金流仅13.28亿元、资本开支24.35亿元，库存升至151.5亿元，广义净债务约257亿元。50.52元高于Base约45.27元，价格已计入较多锂价与项目爬坡改善。</x:v>
      </x:c>
      <x:c r="B31" s="52" t="str">
        <x:v>赣锋拥有最完整的锂生态与最广的资源组合，2026H1锂产品收入和毛利率强劲反弹；但经营现金流仅13.28亿元、资本开支24.35亿元，库存升至151.5亿元，广义净债务约257亿元。50.52元高于Base约45.27元，价格已计入较多锂价与项目爬坡改善。</x:v>
      </x:c>
      <x:c r="C31" s="52" t="str">
        <x:v>赣锋拥有最完整的锂生态与最广的资源组合，2026H1锂产品收入和毛利率强劲反弹；但经营现金流仅13.28亿元、资本开支24.35亿元，库存升至151.5亿元，广义净债务约257亿元。50.52元高于Base约45.27元，价格已计入较多锂价与项目爬坡改善。</x:v>
      </x:c>
      <x:c r="D31" s="52" t="str">
        <x:v>赣锋拥有最完整的锂生态与最广的资源组合，2026H1锂产品收入和毛利率强劲反弹；但经营现金流仅13.28亿元、资本开支24.35亿元，库存升至151.5亿元，广义净债务约257亿元。50.52元高于Base约45.27元，价格已计入较多锂价与项目爬坡改善。</x:v>
      </x:c>
      <x:c r="E31" s="52" t="str">
        <x:v>赣锋拥有最完整的锂生态与最广的资源组合，2026H1锂产品收入和毛利率强劲反弹；但经营现金流仅13.28亿元、资本开支24.35亿元，库存升至151.5亿元，广义净债务约257亿元。50.52元高于Base约45.27元，价格已计入较多锂价与项目爬坡改善。</x:v>
      </x:c>
      <x:c r="F31" s="52" t="str">
        <x:v>赣锋拥有最完整的锂生态与最广的资源组合，2026H1锂产品收入和毛利率强劲反弹；但经营现金流仅13.28亿元、资本开支24.35亿元，库存升至151.5亿元，广义净债务约257亿元。50.52元高于Base约45.27元，价格已计入较多锂价与项目爬坡改善。</x:v>
      </x:c>
      <x:c r="G31" s="52" t="str">
        <x:v>赣锋拥有最完整的锂生态与最广的资源组合，2026H1锂产品收入和毛利率强劲反弹；但经营现金流仅13.28亿元、资本开支24.35亿元，库存升至151.5亿元，广义净债务约257亿元。50.52元高于Base约45.27元，价格已计入较多锂价与项目爬坡改善。</x:v>
      </x:c>
      <x:c r="H31" s="52" t="str">
        <x:v>赣锋拥有最完整的锂生态与最广的资源组合，2026H1锂产品收入和毛利率强劲反弹；但经营现金流仅13.28亿元、资本开支24.35亿元，库存升至151.5亿元，广义净债务约257亿元。50.52元高于Base约45.27元，价格已计入较多锂价与项目爬坡改善。</x:v>
      </x:c>
    </x:row>
    <x:row r="32" ht="24" customHeight="1">
      <x:c r="A32" s="52" t="str">
        <x:v>赣锋拥有最完整的锂生态与最广的资源组合，2026H1锂产品收入和毛利率强劲反弹；但经营现金流仅13.28亿元、资本开支24.35亿元，库存升至151.5亿元，广义净债务约257亿元。50.52元高于Base约45.27元，价格已计入较多锂价与项目爬坡改善。</x:v>
      </x:c>
      <x:c r="B32" s="52" t="str">
        <x:v>赣锋拥有最完整的锂生态与最广的资源组合，2026H1锂产品收入和毛利率强劲反弹；但经营现金流仅13.28亿元、资本开支24.35亿元，库存升至151.5亿元，广义净债务约257亿元。50.52元高于Base约45.27元，价格已计入较多锂价与项目爬坡改善。</x:v>
      </x:c>
      <x:c r="C32" s="52" t="str">
        <x:v>赣锋拥有最完整的锂生态与最广的资源组合，2026H1锂产品收入和毛利率强劲反弹；但经营现金流仅13.28亿元、资本开支24.35亿元，库存升至151.5亿元，广义净债务约257亿元。50.52元高于Base约45.27元，价格已计入较多锂价与项目爬坡改善。</x:v>
      </x:c>
      <x:c r="D32" s="52" t="str">
        <x:v>赣锋拥有最完整的锂生态与最广的资源组合，2026H1锂产品收入和毛利率强劲反弹；但经营现金流仅13.28亿元、资本开支24.35亿元，库存升至151.5亿元，广义净债务约257亿元。50.52元高于Base约45.27元，价格已计入较多锂价与项目爬坡改善。</x:v>
      </x:c>
      <x:c r="E32" s="52" t="str">
        <x:v>赣锋拥有最完整的锂生态与最广的资源组合，2026H1锂产品收入和毛利率强劲反弹；但经营现金流仅13.28亿元、资本开支24.35亿元，库存升至151.5亿元，广义净债务约257亿元。50.52元高于Base约45.27元，价格已计入较多锂价与项目爬坡改善。</x:v>
      </x:c>
      <x:c r="F32" s="52" t="str">
        <x:v>赣锋拥有最完整的锂生态与最广的资源组合，2026H1锂产品收入和毛利率强劲反弹；但经营现金流仅13.28亿元、资本开支24.35亿元，库存升至151.5亿元，广义净债务约257亿元。50.52元高于Base约45.27元，价格已计入较多锂价与项目爬坡改善。</x:v>
      </x:c>
      <x:c r="G32" s="52" t="str">
        <x:v>赣锋拥有最完整的锂生态与最广的资源组合，2026H1锂产品收入和毛利率强劲反弹；但经营现金流仅13.28亿元、资本开支24.35亿元，库存升至151.5亿元，广义净债务约257亿元。50.52元高于Base约45.27元，价格已计入较多锂价与项目爬坡改善。</x:v>
      </x:c>
      <x:c r="H32" s="52" t="str">
        <x:v>赣锋拥有最完整的锂生态与最广的资源组合，2026H1锂产品收入和毛利率强劲反弹；但经营现金流仅13.28亿元、资本开支24.35亿元，库存升至151.5亿元，广义净债务约257亿元。50.52元高于Base约45.27元，价格已计入较多锂价与项目爬坡改善。</x:v>
      </x:c>
    </x:row>
    <x:row r="33" ht="24" customHeight="1">
      <x:c r="A33" s="52" t="str">
        <x:v>赣锋拥有最完整的锂生态与最广的资源组合，2026H1锂产品收入和毛利率强劲反弹；但经营现金流仅13.28亿元、资本开支24.35亿元，库存升至151.5亿元，广义净债务约257亿元。50.52元高于Base约45.27元，价格已计入较多锂价与项目爬坡改善。</x:v>
      </x:c>
      <x:c r="B33" s="52" t="str">
        <x:v>赣锋拥有最完整的锂生态与最广的资源组合，2026H1锂产品收入和毛利率强劲反弹；但经营现金流仅13.28亿元、资本开支24.35亿元，库存升至151.5亿元，广义净债务约257亿元。50.52元高于Base约45.27元，价格已计入较多锂价与项目爬坡改善。</x:v>
      </x:c>
      <x:c r="C33" s="52" t="str">
        <x:v>赣锋拥有最完整的锂生态与最广的资源组合，2026H1锂产品收入和毛利率强劲反弹；但经营现金流仅13.28亿元、资本开支24.35亿元，库存升至151.5亿元，广义净债务约257亿元。50.52元高于Base约45.27元，价格已计入较多锂价与项目爬坡改善。</x:v>
      </x:c>
      <x:c r="D33" s="52" t="str">
        <x:v>赣锋拥有最完整的锂生态与最广的资源组合，2026H1锂产品收入和毛利率强劲反弹；但经营现金流仅13.28亿元、资本开支24.35亿元，库存升至151.5亿元，广义净债务约257亿元。50.52元高于Base约45.27元，价格已计入较多锂价与项目爬坡改善。</x:v>
      </x:c>
      <x:c r="E33" s="52" t="str">
        <x:v>赣锋拥有最完整的锂生态与最广的资源组合，2026H1锂产品收入和毛利率强劲反弹；但经营现金流仅13.28亿元、资本开支24.35亿元，库存升至151.5亿元，广义净债务约257亿元。50.52元高于Base约45.27元，价格已计入较多锂价与项目爬坡改善。</x:v>
      </x:c>
      <x:c r="F33" s="52" t="str">
        <x:v>赣锋拥有最完整的锂生态与最广的资源组合，2026H1锂产品收入和毛利率强劲反弹；但经营现金流仅13.28亿元、资本开支24.35亿元，库存升至151.5亿元，广义净债务约257亿元。50.52元高于Base约45.27元，价格已计入较多锂价与项目爬坡改善。</x:v>
      </x:c>
      <x:c r="G33" s="52" t="str">
        <x:v>赣锋拥有最完整的锂生态与最广的资源组合，2026H1锂产品收入和毛利率强劲反弹；但经营现金流仅13.28亿元、资本开支24.35亿元，库存升至151.5亿元，广义净债务约257亿元。50.52元高于Base约45.27元，价格已计入较多锂价与项目爬坡改善。</x:v>
      </x:c>
      <x:c r="H33" s="52" t="str">
        <x:v>赣锋拥有最完整的锂生态与最广的资源组合，2026H1锂产品收入和毛利率强劲反弹；但经营现金流仅13.28亿元、资本开支24.35亿元，库存升至151.5亿元，广义净债务约257亿元。50.52元高于Base约45.27元，价格已计入较多锂价与项目爬坡改善。</x:v>
      </x:c>
    </x:row>
    <x:row r="34" ht="24" customHeight="1">
      <x:c r="A34" s="52" t="str">
        <x:v>赣锋拥有最完整的锂生态与最广的资源组合，2026H1锂产品收入和毛利率强劲反弹；但经营现金流仅13.28亿元、资本开支24.35亿元，库存升至151.5亿元，广义净债务约257亿元。50.52元高于Base约45.27元，价格已计入较多锂价与项目爬坡改善。</x:v>
      </x:c>
      <x:c r="B34" s="52" t="str">
        <x:v>赣锋拥有最完整的锂生态与最广的资源组合，2026H1锂产品收入和毛利率强劲反弹；但经营现金流仅13.28亿元、资本开支24.35亿元，库存升至151.5亿元，广义净债务约257亿元。50.52元高于Base约45.27元，价格已计入较多锂价与项目爬坡改善。</x:v>
      </x:c>
      <x:c r="C34" s="52" t="str">
        <x:v>赣锋拥有最完整的锂生态与最广的资源组合，2026H1锂产品收入和毛利率强劲反弹；但经营现金流仅13.28亿元、资本开支24.35亿元，库存升至151.5亿元，广义净债务约257亿元。50.52元高于Base约45.27元，价格已计入较多锂价与项目爬坡改善。</x:v>
      </x:c>
      <x:c r="D34" s="52" t="str">
        <x:v>赣锋拥有最完整的锂生态与最广的资源组合，2026H1锂产品收入和毛利率强劲反弹；但经营现金流仅13.28亿元、资本开支24.35亿元，库存升至151.5亿元，广义净债务约257亿元。50.52元高于Base约45.27元，价格已计入较多锂价与项目爬坡改善。</x:v>
      </x:c>
      <x:c r="E34" s="52" t="str">
        <x:v>赣锋拥有最完整的锂生态与最广的资源组合，2026H1锂产品收入和毛利率强劲反弹；但经营现金流仅13.28亿元、资本开支24.35亿元，库存升至151.5亿元，广义净债务约257亿元。50.52元高于Base约45.27元，价格已计入较多锂价与项目爬坡改善。</x:v>
      </x:c>
      <x:c r="F34" s="52" t="str">
        <x:v>赣锋拥有最完整的锂生态与最广的资源组合，2026H1锂产品收入和毛利率强劲反弹；但经营现金流仅13.28亿元、资本开支24.35亿元，库存升至151.5亿元，广义净债务约257亿元。50.52元高于Base约45.27元，价格已计入较多锂价与项目爬坡改善。</x:v>
      </x:c>
      <x:c r="G34" s="52" t="str">
        <x:v>赣锋拥有最完整的锂生态与最广的资源组合，2026H1锂产品收入和毛利率强劲反弹；但经营现金流仅13.28亿元、资本开支24.35亿元，库存升至151.5亿元，广义净债务约257亿元。50.52元高于Base约45.27元，价格已计入较多锂价与项目爬坡改善。</x:v>
      </x:c>
      <x:c r="H34" s="52" t="str">
        <x:v>赣锋拥有最完整的锂生态与最广的资源组合，2026H1锂产品收入和毛利率强劲反弹；但经营现金流仅13.28亿元、资本开支24.35亿元，库存升至151.5亿元，广义净债务约257亿元。50.52元高于Base约45.27元，价格已计入较多锂价与项目爬坡改善。</x:v>
      </x:c>
    </x:row>
    <x:row r="35" ht="24" customHeight="1">
      <x:c r="A35" s="52" t="str">
        <x:v>赣锋拥有最完整的锂生态与最广的资源组合，2026H1锂产品收入和毛利率强劲反弹；但经营现金流仅13.28亿元、资本开支24.35亿元，库存升至151.5亿元，广义净债务约257亿元。50.52元高于Base约45.27元，价格已计入较多锂价与项目爬坡改善。</x:v>
      </x:c>
      <x:c r="B35" s="52" t="str">
        <x:v>赣锋拥有最完整的锂生态与最广的资源组合，2026H1锂产品收入和毛利率强劲反弹；但经营现金流仅13.28亿元、资本开支24.35亿元，库存升至151.5亿元，广义净债务约257亿元。50.52元高于Base约45.27元，价格已计入较多锂价与项目爬坡改善。</x:v>
      </x:c>
      <x:c r="C35" s="52" t="str">
        <x:v>赣锋拥有最完整的锂生态与最广的资源组合，2026H1锂产品收入和毛利率强劲反弹；但经营现金流仅13.28亿元、资本开支24.35亿元，库存升至151.5亿元，广义净债务约257亿元。50.52元高于Base约45.27元，价格已计入较多锂价与项目爬坡改善。</x:v>
      </x:c>
      <x:c r="D35" s="52" t="str">
        <x:v>赣锋拥有最完整的锂生态与最广的资源组合，2026H1锂产品收入和毛利率强劲反弹；但经营现金流仅13.28亿元、资本开支24.35亿元，库存升至151.5亿元，广义净债务约257亿元。50.52元高于Base约45.27元，价格已计入较多锂价与项目爬坡改善。</x:v>
      </x:c>
      <x:c r="E35" s="52" t="str">
        <x:v>赣锋拥有最完整的锂生态与最广的资源组合，2026H1锂产品收入和毛利率强劲反弹；但经营现金流仅13.28亿元、资本开支24.35亿元，库存升至151.5亿元，广义净债务约257亿元。50.52元高于Base约45.27元，价格已计入较多锂价与项目爬坡改善。</x:v>
      </x:c>
      <x:c r="F35" s="52" t="str">
        <x:v>赣锋拥有最完整的锂生态与最广的资源组合，2026H1锂产品收入和毛利率强劲反弹；但经营现金流仅13.28亿元、资本开支24.35亿元，库存升至151.5亿元，广义净债务约257亿元。50.52元高于Base约45.27元，价格已计入较多锂价与项目爬坡改善。</x:v>
      </x:c>
      <x:c r="G35" s="52" t="str">
        <x:v>赣锋拥有最完整的锂生态与最广的资源组合，2026H1锂产品收入和毛利率强劲反弹；但经营现金流仅13.28亿元、资本开支24.35亿元，库存升至151.5亿元，广义净债务约257亿元。50.52元高于Base约45.27元，价格已计入较多锂价与项目爬坡改善。</x:v>
      </x:c>
      <x:c r="H35" s="52" t="str">
        <x:v>赣锋拥有最完整的锂生态与最广的资源组合，2026H1锂产品收入和毛利率强劲反弹；但经营现金流仅13.28亿元、资本开支24.35亿元，库存升至151.5亿元，广义净债务约257亿元。50.52元高于Base约45.27元，价格已计入较多锂价与项目爬坡改善。</x:v>
      </x:c>
    </x:row>
    <x:row r="36" ht="24" customHeight="1">
      <x:c r="A36" s="52" t="str">
        <x:v>赣锋拥有最完整的锂生态与最广的资源组合，2026H1锂产品收入和毛利率强劲反弹；但经营现金流仅13.28亿元、资本开支24.35亿元，库存升至151.5亿元，广义净债务约257亿元。50.52元高于Base约45.27元，价格已计入较多锂价与项目爬坡改善。</x:v>
      </x:c>
      <x:c r="B36" s="52" t="str">
        <x:v>赣锋拥有最完整的锂生态与最广的资源组合，2026H1锂产品收入和毛利率强劲反弹；但经营现金流仅13.28亿元、资本开支24.35亿元，库存升至151.5亿元，广义净债务约257亿元。50.52元高于Base约45.27元，价格已计入较多锂价与项目爬坡改善。</x:v>
      </x:c>
      <x:c r="C36" s="52" t="str">
        <x:v>赣锋拥有最完整的锂生态与最广的资源组合，2026H1锂产品收入和毛利率强劲反弹；但经营现金流仅13.28亿元、资本开支24.35亿元，库存升至151.5亿元，广义净债务约257亿元。50.52元高于Base约45.27元，价格已计入较多锂价与项目爬坡改善。</x:v>
      </x:c>
      <x:c r="D36" s="52" t="str">
        <x:v>赣锋拥有最完整的锂生态与最广的资源组合，2026H1锂产品收入和毛利率强劲反弹；但经营现金流仅13.28亿元、资本开支24.35亿元，库存升至151.5亿元，广义净债务约257亿元。50.52元高于Base约45.27元，价格已计入较多锂价与项目爬坡改善。</x:v>
      </x:c>
      <x:c r="E36" s="52" t="str">
        <x:v>赣锋拥有最完整的锂生态与最广的资源组合，2026H1锂产品收入和毛利率强劲反弹；但经营现金流仅13.28亿元、资本开支24.35亿元，库存升至151.5亿元，广义净债务约257亿元。50.52元高于Base约45.27元，价格已计入较多锂价与项目爬坡改善。</x:v>
      </x:c>
      <x:c r="F36" s="52" t="str">
        <x:v>赣锋拥有最完整的锂生态与最广的资源组合，2026H1锂产品收入和毛利率强劲反弹；但经营现金流仅13.28亿元、资本开支24.35亿元，库存升至151.5亿元，广义净债务约257亿元。50.52元高于Base约45.27元，价格已计入较多锂价与项目爬坡改善。</x:v>
      </x:c>
      <x:c r="G36" s="52" t="str">
        <x:v>赣锋拥有最完整的锂生态与最广的资源组合，2026H1锂产品收入和毛利率强劲反弹；但经营现金流仅13.28亿元、资本开支24.35亿元，库存升至151.5亿元，广义净债务约257亿元。50.52元高于Base约45.27元，价格已计入较多锂价与项目爬坡改善。</x:v>
      </x:c>
      <x:c r="H36" s="52" t="str">
        <x:v>赣锋拥有最完整的锂生态与最广的资源组合，2026H1锂产品收入和毛利率强劲反弹；但经营现金流仅13.28亿元、资本开支24.35亿元，库存升至151.5亿元，广义净债务约257亿元。50.52元高于Base约45.27元，价格已计入较多锂价与项目爬坡改善。</x:v>
      </x:c>
    </x:row>
  </x:sheetData>
  <x:mergeCells>
    <x:mergeCell ref="A1:H1"/>
    <x:mergeCell ref="A28:H28"/>
    <x:mergeCell ref="A29:H36"/>
  </x:mergeCells>
  <x:pageMargins left="0.7" right="0.7" top="0.75" bottom="0.75" header="0.3" footer="0.3"/>
  <x:drawing xmlns:r="http://schemas.openxmlformats.org/officeDocument/2006/relationships" r:id="R669794319fcb41d1"/>
</x:worksheet>
</file>

<file path=xl/worksheets/sheet2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18" hidden="0" customWidth="1"/>
    <x:col min="2" max="2" width="17" hidden="0" customWidth="1"/>
    <x:col min="3" max="3" width="17" hidden="0" customWidth="1"/>
    <x:col min="4" max="4" width="17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8" hidden="0" customWidth="1"/>
  </x:cols>
  <x:sheetData>
    <x:row r="1" ht="30" customHeight="1">
      <x:c r="A1" s="3" t="str">
        <x:v>历史财务与盈利质量</x:v>
      </x:c>
      <x:c r="B1" s="3" t="str">
        <x:v>历史财务与盈利质量</x:v>
      </x:c>
      <x:c r="C1" s="3" t="str">
        <x:v>历史财务与盈利质量</x:v>
      </x:c>
      <x:c r="D1" s="3" t="str">
        <x:v>历史财务与盈利质量</x:v>
      </x:c>
      <x:c r="E1" s="3" t="str">
        <x:v>历史财务与盈利质量</x:v>
      </x:c>
      <x:c r="F1" s="3" t="str">
        <x:v>历史财务与盈利质量</x:v>
      </x:c>
      <x:c r="G1" s="3" t="str">
        <x:v>历史财务与盈利质量</x:v>
      </x:c>
      <x:c r="H1" s="3" t="str">
        <x:v>历史财务与盈利质量</x:v>
      </x:c>
      <x:c r="I1" s="3" t="str">
        <x:v>历史财务与盈利质量</x:v>
      </x:c>
    </x:row>
    <x:row r="3">
      <x:c r="A3" s="55" t="str">
        <x:v>期间</x:v>
      </x:c>
      <x:c r="B3" s="56" t="str">
        <x:v>营业收入</x:v>
      </x:c>
      <x:c r="C3" s="56" t="str">
        <x:v>归母净利润</x:v>
      </x:c>
      <x:c r="D3" s="56" t="str">
        <x:v>扣非归母</x:v>
      </x:c>
      <x:c r="E3" s="56" t="str">
        <x:v>经营现金流</x:v>
      </x:c>
      <x:c r="F3" s="56" t="str">
        <x:v>资本开支</x:v>
      </x:c>
      <x:c r="G3" s="56" t="str">
        <x:v>自由现金流</x:v>
      </x:c>
      <x:c r="H3" s="56" t="str">
        <x:v>基本EPS</x:v>
      </x:c>
      <x:c r="I3" s="57" t="str">
        <x:v>审计状态</x:v>
      </x:c>
    </x:row>
    <x:row r="4">
      <x:c r="A4" s="16" t="str">
        <x:v>2023A</x:v>
      </x:c>
      <x:c r="B4" s="65" t="n">
        <x:v>32.812017</x:v>
      </x:c>
      <x:c r="C4" s="65" t="n">
        <x:v>4.982547</x:v>
      </x:c>
      <x:c r="D4" s="65"/>
      <x:c r="E4" s="65"/>
      <x:c r="F4" s="65"/>
      <x:c r="G4" s="65" t="str">
        <x:f>IF(OR(E4="",F4=""),"",E4-F4)</x:f>
      </x:c>
      <x:c r="H4" s="66" t="n">
        <x:v>2.47</x:v>
      </x:c>
      <x:c r="I4" s="16" t="str">
        <x:v>经审计</x:v>
      </x:c>
    </x:row>
    <x:row r="5">
      <x:c r="A5" s="19" t="str">
        <x:v>2024A</x:v>
      </x:c>
      <x:c r="B5" s="67" t="n">
        <x:v>18.726175</x:v>
      </x:c>
      <x:c r="C5" s="67" t="n">
        <x:v>-2.068512</x:v>
      </x:c>
      <x:c r="D5" s="67"/>
      <x:c r="E5" s="67" t="n">
        <x:v>5.161272</x:v>
      </x:c>
      <x:c r="F5" s="67" t="n">
        <x:v>8.548374</x:v>
      </x:c>
      <x:c r="G5" s="67" t="n">
        <x:f>IF(OR(E5="",F5=""),"",E5-F5)</x:f>
        <x:v>-3.3871020000000005</x:v>
      </x:c>
      <x:c r="H5" s="68" t="n">
        <x:v>-1.03</x:v>
      </x:c>
      <x:c r="I5" s="19" t="str">
        <x:v>经审计</x:v>
      </x:c>
    </x:row>
    <x:row r="6">
      <x:c r="A6" s="19" t="str">
        <x:v>2025A</x:v>
      </x:c>
      <x:c r="B6" s="67" t="n">
        <x:v>22.797728</x:v>
      </x:c>
      <x:c r="C6" s="67" t="n">
        <x:v>1.613671</x:v>
      </x:c>
      <x:c r="D6" s="67"/>
      <x:c r="E6" s="67" t="n">
        <x:v>2.944845</x:v>
      </x:c>
      <x:c r="F6" s="67" t="n">
        <x:v>7.140879</x:v>
      </x:c>
      <x:c r="G6" s="67" t="n">
        <x:f>IF(OR(E6="",F6=""),"",E6-F6)</x:f>
        <x:v>-4.196034</x:v>
      </x:c>
      <x:c r="H6" s="68" t="n">
        <x:v>0.8</x:v>
      </x:c>
      <x:c r="I6" s="19" t="str">
        <x:v>经审计</x:v>
      </x:c>
    </x:row>
    <x:row r="7">
      <x:c r="A7" s="77" t="str">
        <x:v>2026H1</x:v>
      </x:c>
      <x:c r="B7" s="78" t="n">
        <x:v>23.096945</x:v>
      </x:c>
      <x:c r="C7" s="78" t="n">
        <x:v>4.257165</x:v>
      </x:c>
      <x:c r="D7" s="78" t="n">
        <x:v>3.848226</x:v>
      </x:c>
      <x:c r="E7" s="78" t="n">
        <x:v>1.328246</x:v>
      </x:c>
      <x:c r="F7" s="78" t="n">
        <x:v>2.435033</x:v>
      </x:c>
      <x:c r="G7" s="78" t="n">
        <x:f>IF(OR(E7="",F7=""),"",E7-F7)</x:f>
        <x:v>-1.1067869999999997</x:v>
      </x:c>
      <x:c r="H7" s="79" t="n">
        <x:v>2.04</x:v>
      </x:c>
      <x:c r="I7" s="77" t="str">
        <x:v>未经审计</x:v>
      </x:c>
    </x:row>
    <x:row r="10">
      <x:c r="A10" s="25" t="str">
        <x:v>指标</x:v>
      </x:c>
      <x:c r="B10" s="26" t="str">
        <x:v>2023A</x:v>
      </x:c>
      <x:c r="C10" s="26" t="str">
        <x:v>2024A</x:v>
      </x:c>
      <x:c r="D10" s="26" t="str">
        <x:v>2025A</x:v>
      </x:c>
      <x:c r="E10" s="26" t="str">
        <x:v>2026H1</x:v>
      </x:c>
      <x:c r="F10" s="26" t="str">
        <x:v>说明</x:v>
      </x:c>
      <x:c r="G10" s="26"/>
      <x:c r="H10" s="26"/>
      <x:c r="I10" s="27"/>
    </x:row>
    <x:row r="11">
      <x:c r="A11" s="16" t="str">
        <x:v>归母净利率</x:v>
      </x:c>
      <x:c r="B11" s="74" t="n">
        <x:f>C4/B4</x:f>
        <x:v>0.15185128667951137</x:v>
      </x:c>
      <x:c r="C11" s="74" t="n">
        <x:f>C5/B5</x:f>
        <x:v>-0.11046099910953518</x:v>
      </x:c>
      <x:c r="D11" s="74" t="n">
        <x:f>C6/B6</x:f>
        <x:v>0.07078209723354889</x:v>
      </x:c>
      <x:c r="E11" s="74" t="n">
        <x:f>C7/B7</x:f>
        <x:v>0.1843172332964381</x:v>
      </x:c>
      <x:c r="F11" s="16" t="str">
        <x:v>利润周期性</x:v>
      </x:c>
    </x:row>
    <x:row r="12">
      <x:c r="A12" s="19" t="str">
        <x:v>CFO/归母净利润</x:v>
      </x:c>
      <x:c r="B12" s="75" t="n">
        <x:f>IF(C4=0,"",E4/C4)</x:f>
        <x:v>0</x:v>
      </x:c>
      <x:c r="C12" s="75" t="n">
        <x:f>IF(C5=0,"",E5/C5)</x:f>
        <x:v>-2.4951617394532883</x:v>
      </x:c>
      <x:c r="D12" s="75" t="n">
        <x:f>IF(C6=0,"",E6/C6)</x:f>
        <x:v>1.824935194348786</x:v>
      </x:c>
      <x:c r="E12" s="75" t="n">
        <x:f>IF(C7=0,"",E7/C7)</x:f>
        <x:v>0.31200247112808643</x:v>
      </x:c>
      <x:c r="F12" s="19" t="str">
        <x:v>利润含金量</x:v>
      </x:c>
    </x:row>
    <x:row r="13">
      <x:c r="A13" s="22" t="str">
        <x:v>资本开支/CFO</x:v>
      </x:c>
      <x:c r="B13" s="76" t="str">
        <x:f>IF(E4=0,"",F4/E4)</x:f>
      </x:c>
      <x:c r="C13" s="76" t="n">
        <x:f>IF(E5=0,"",F5/E5)</x:f>
        <x:v>1.6562533421993648</x:v>
      </x:c>
      <x:c r="D13" s="76" t="n">
        <x:f>IF(E6=0,"",F6/E6)</x:f>
        <x:v>2.424874314267814</x:v>
      </x:c>
      <x:c r="E13" s="76" t="n">
        <x:f>IF(E7=0,"",F7/E7)</x:f>
        <x:v>1.833269590121107</x:v>
      </x:c>
      <x:c r="F13" s="22" t="str">
        <x:v>再投资强度</x:v>
      </x:c>
    </x:row>
  </x:sheetData>
  <x:mergeCells>
    <x:mergeCell ref="A1:I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31" hidden="0" customWidth="1"/>
    <x:col min="2" max="2" width="18" hidden="0" customWidth="1"/>
    <x:col min="3" max="3" width="18" hidden="0" customWidth="1"/>
    <x:col min="4" max="4" width="18" hidden="0" customWidth="1"/>
    <x:col min="5" max="5" width="52" hidden="0" customWidth="1"/>
    <x:col min="6" max="6" width="18" hidden="0" customWidth="1"/>
  </x:cols>
  <x:sheetData>
    <x:row r="1" ht="30" customHeight="1">
      <x:c r="A1" s="3" t="str">
        <x:v>赣锋锂业运营驱动与资产结构</x:v>
      </x:c>
      <x:c r="B1" s="3" t="str">
        <x:v>赣锋锂业运营驱动与资产结构</x:v>
      </x:c>
      <x:c r="C1" s="3" t="str">
        <x:v>赣锋锂业运营驱动与资产结构</x:v>
      </x:c>
      <x:c r="D1" s="3" t="str">
        <x:v>赣锋锂业运营驱动与资产结构</x:v>
      </x:c>
      <x:c r="E1" s="3" t="str">
        <x:v>赣锋锂业运营驱动与资产结构</x:v>
      </x:c>
      <x:c r="F1" s="3" t="str">
        <x:v>赣锋锂业运营驱动与资产结构</x:v>
      </x:c>
    </x:row>
    <x:row r="3">
      <x:c r="A3" s="25" t="str">
        <x:v>指标</x:v>
      </x:c>
      <x:c r="B3" s="26" t="str">
        <x:v>期间</x:v>
      </x:c>
      <x:c r="C3" s="26" t="str">
        <x:v>数值</x:v>
      </x:c>
      <x:c r="D3" s="26" t="str">
        <x:v>单位</x:v>
      </x:c>
      <x:c r="E3" s="26" t="str">
        <x:v>研究观察</x:v>
      </x:c>
      <x:c r="F3" s="27" t="str">
        <x:v>来源性质</x:v>
      </x:c>
    </x:row>
    <x:row r="4">
      <x:c r="A4" s="16" t="str">
        <x:v>锂系列产品产量</x:v>
      </x:c>
      <x:c r="B4" s="16" t="str">
        <x:v>2025A</x:v>
      </x:c>
      <x:c r="C4" s="84" t="n">
        <x:v>182.419</x:v>
      </x:c>
      <x:c r="D4" s="16" t="str">
        <x:v>千吨LCE</x:v>
      </x:c>
      <x:c r="E4" s="16" t="str">
        <x:v>全球多资源路径；产能爬坡</x:v>
      </x:c>
      <x:c r="F4" s="16" t="str">
        <x:v>公司披露</x:v>
      </x:c>
    </x:row>
    <x:row r="5">
      <x:c r="A5" s="19" t="str">
        <x:v>锂系列产品销量</x:v>
      </x:c>
      <x:c r="B5" s="19" t="str">
        <x:v>2025A</x:v>
      </x:c>
      <x:c r="C5" s="85" t="n">
        <x:v>184.829</x:v>
      </x:c>
      <x:c r="D5" s="19" t="str">
        <x:v>千吨LCE</x:v>
      </x:c>
      <x:c r="E5" s="19" t="str">
        <x:v>2025年收入128.76亿元</x:v>
      </x:c>
      <x:c r="F5" s="19" t="str">
        <x:v>公司披露</x:v>
      </x:c>
    </x:row>
    <x:row r="6">
      <x:c r="A6" s="19" t="str">
        <x:v>动力/储能电池产量</x:v>
      </x:c>
      <x:c r="B6" s="19" t="str">
        <x:v>2025A</x:v>
      </x:c>
      <x:c r="C6" s="85" t="n">
        <x:v>26.996</x:v>
      </x:c>
      <x:c r="D6" s="19" t="str">
        <x:v>GWh</x:v>
      </x:c>
      <x:c r="E6" s="19" t="str">
        <x:v>产量显著高于销量，关注库存</x:v>
      </x:c>
      <x:c r="F6" s="19" t="str">
        <x:v>公司披露</x:v>
      </x:c>
    </x:row>
    <x:row r="7">
      <x:c r="A7" s="19" t="str">
        <x:v>动力/储能电池销量</x:v>
      </x:c>
      <x:c r="B7" s="19" t="str">
        <x:v>2025A</x:v>
      </x:c>
      <x:c r="C7" s="85" t="n">
        <x:v>17.818</x:v>
      </x:c>
      <x:c r="D7" s="19" t="str">
        <x:v>GWh</x:v>
      </x:c>
      <x:c r="E7" s="19" t="str">
        <x:v>收入60.25亿元</x:v>
      </x:c>
      <x:c r="F7" s="19" t="str">
        <x:v>公司披露</x:v>
      </x:c>
    </x:row>
    <x:row r="8">
      <x:c r="A8" s="19" t="str">
        <x:v>锂系列产品收入</x:v>
      </x:c>
      <x:c r="B8" s="19" t="str">
        <x:v>2026H1</x:v>
      </x:c>
      <x:c r="C8" s="85" t="n">
        <x:v>14.197</x:v>
      </x:c>
      <x:c r="D8" s="19" t="str">
        <x:v>RMB bn</x:v>
      </x:c>
      <x:c r="E8" s="19" t="str">
        <x:v>毛利率42.44%</x:v>
      </x:c>
      <x:c r="F8" s="19" t="str">
        <x:v>公司披露</x:v>
      </x:c>
    </x:row>
    <x:row r="9">
      <x:c r="A9" s="19" t="str">
        <x:v>锂电池收入</x:v>
      </x:c>
      <x:c r="B9" s="19" t="str">
        <x:v>2026H1</x:v>
      </x:c>
      <x:c r="C9" s="85" t="n">
        <x:v>7.831</x:v>
      </x:c>
      <x:c r="D9" s="19" t="str">
        <x:v>RMB bn</x:v>
      </x:c>
      <x:c r="E9" s="19" t="str">
        <x:v>毛利率12.43%</x:v>
      </x:c>
      <x:c r="F9" s="19" t="str">
        <x:v>公司披露</x:v>
      </x:c>
    </x:row>
    <x:row r="10">
      <x:c r="A10" s="19" t="str">
        <x:v>Cauchari-Olaroz产量</x:v>
      </x:c>
      <x:c r="B10" s="19" t="str">
        <x:v>2025A</x:v>
      </x:c>
      <x:c r="C10" s="85" t="n">
        <x:v>34.1</x:v>
      </x:c>
      <x:c r="D10" s="19" t="str">
        <x:v>千吨</x:v>
      </x:c>
      <x:c r="E10" s="19" t="str">
        <x:v>一期4万吨；2026指引3.5-4万吨</x:v>
      </x:c>
      <x:c r="F10" s="19" t="str">
        <x:v>公司披露</x:v>
      </x:c>
    </x:row>
    <x:row r="11">
      <x:c r="A11" s="19" t="str">
        <x:v>Goulamina精矿产量</x:v>
      </x:c>
      <x:c r="B11" s="19" t="str">
        <x:v>2025A</x:v>
      </x:c>
      <x:c r="C11" s="85" t="n">
        <x:v>336.6</x:v>
      </x:c>
      <x:c r="D11" s="19" t="str">
        <x:v>千吨</x:v>
      </x:c>
      <x:c r="E11" s="19" t="str">
        <x:v>马里项目；65%权益，地缘风险</x:v>
      </x:c>
      <x:c r="F11" s="19" t="str">
        <x:v>公司披露</x:v>
      </x:c>
    </x:row>
    <x:row r="12">
      <x:c r="A12" s="19" t="str">
        <x:v>资本开支</x:v>
      </x:c>
      <x:c r="B12" s="19" t="str">
        <x:v>2026H1</x:v>
      </x:c>
      <x:c r="C12" s="85" t="n">
        <x:v>2.435</x:v>
      </x:c>
      <x:c r="D12" s="19" t="str">
        <x:v>RMB bn</x:v>
      </x:c>
      <x:c r="E12" s="19" t="str">
        <x:v>高于经营现金流1.328亿元</x:v>
      </x:c>
      <x:c r="F12" s="19" t="str">
        <x:v>公司披露</x:v>
      </x:c>
    </x:row>
    <x:row r="13">
      <x:c r="A13" s="22" t="str">
        <x:v>库存</x:v>
      </x:c>
      <x:c r="B13" s="22" t="str">
        <x:v>2026H1</x:v>
      </x:c>
      <x:c r="C13" s="86" t="n">
        <x:v>15.15</x:v>
      </x:c>
      <x:c r="D13" s="22" t="str">
        <x:v>RMB bn</x:v>
      </x:c>
      <x:c r="E13" s="22" t="str">
        <x:v>半年增加21.48亿元</x:v>
      </x:c>
      <x:c r="F13" s="22" t="str">
        <x:v>公司披露</x:v>
      </x:c>
    </x:row>
  </x:sheetData>
  <x:mergeCells>
    <x:mergeCell ref="A1:F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9" hidden="0" customWidth="1"/>
    <x:col min="3" max="3" width="19" hidden="0" customWidth="1"/>
    <x:col min="4" max="4" width="42" hidden="0" customWidth="1"/>
    <x:col min="5" max="5" width="42" hidden="0" customWidth="1"/>
    <x:col min="6" max="6" width="42" hidden="0" customWidth="1"/>
  </x:cols>
  <x:sheetData>
    <x:row r="1" ht="30" customHeight="1">
      <x:c r="A1" s="3" t="str">
        <x:v>资产负债表与现金流</x:v>
      </x:c>
      <x:c r="B1" s="3" t="str">
        <x:v>资产负债表与现金流</x:v>
      </x:c>
      <x:c r="C1" s="3" t="str">
        <x:v>资产负债表与现金流</x:v>
      </x:c>
      <x:c r="D1" s="3" t="str">
        <x:v>资产负债表与现金流</x:v>
      </x:c>
      <x:c r="E1" s="3" t="str">
        <x:v>资产负债表与现金流</x:v>
      </x:c>
      <x:c r="F1" s="3" t="str">
        <x:v>资产负债表与现金流</x:v>
      </x:c>
    </x:row>
    <x:row r="3">
      <x:c r="A3" s="25" t="str">
        <x:v>2026-06-30（RMB bn）</x:v>
      </x:c>
      <x:c r="B3" s="26" t="str">
        <x:v>数值</x:v>
      </x:c>
      <x:c r="C3" s="26" t="str">
        <x:v>占总资产/比率</x:v>
      </x:c>
      <x:c r="D3" s="27" t="str">
        <x:v>观察</x:v>
      </x:c>
    </x:row>
    <x:row r="4">
      <x:c r="A4" s="16" t="str">
        <x:v>总资产</x:v>
      </x:c>
      <x:c r="B4" s="65" t="n">
        <x:v>122.260384</x:v>
      </x:c>
      <x:c r="C4" s="92" t="n">
        <x:f>B4/$B$4</x:f>
        <x:v>1</x:v>
      </x:c>
      <x:c r="D4" s="16" t="str">
        <x:v>合并口径</x:v>
      </x:c>
    </x:row>
    <x:row r="5">
      <x:c r="A5" s="19" t="str">
        <x:v>归母净资产</x:v>
      </x:c>
      <x:c r="B5" s="67" t="n">
        <x:v>48.198717</x:v>
      </x:c>
      <x:c r="C5" s="93" t="n">
        <x:f>B5/$B$4</x:f>
        <x:v>0.3942300475679841</x:v>
      </x:c>
      <x:c r="D5" s="19" t="str">
        <x:v>估值P/B分母</x:v>
      </x:c>
    </x:row>
    <x:row r="6">
      <x:c r="A6" s="19" t="str">
        <x:v>总负债</x:v>
      </x:c>
      <x:c r="B6" s="67" t="n">
        <x:v>67.388732</x:v>
      </x:c>
      <x:c r="C6" s="93" t="n">
        <x:f>B6/$B$4</x:f>
        <x:v>0.5511902530913039</x:v>
      </x:c>
      <x:c r="D6" s="19" t="str">
        <x:v>合并口径</x:v>
      </x:c>
    </x:row>
    <x:row r="7">
      <x:c r="A7" s="19" t="str">
        <x:v>现金及高流动性资产</x:v>
      </x:c>
      <x:c r="B7" s="67" t="n">
        <x:v>11.23979</x:v>
      </x:c>
      <x:c r="C7" s="93" t="n">
        <x:f>B7/$B$4</x:f>
        <x:v>0.09193321362380147</x:v>
      </x:c>
      <x:c r="D7" s="19" t="str">
        <x:v>含存款/高流动性理财</x:v>
      </x:c>
    </x:row>
    <x:row r="8">
      <x:c r="A8" s="19" t="str">
        <x:v>存货</x:v>
      </x:c>
      <x:c r="B8" s="67" t="n">
        <x:v>15.15</x:v>
      </x:c>
      <x:c r="C8" s="93" t="n">
        <x:f>B8/$B$4</x:f>
        <x:v>0.12391585486922731</x:v>
      </x:c>
      <x:c r="D8" s="19" t="str">
        <x:v>价格与减值敏感</x:v>
      </x:c>
    </x:row>
    <x:row r="9">
      <x:c r="A9" s="19" t="str">
        <x:v>银行借款</x:v>
      </x:c>
      <x:c r="B9" s="67" t="n">
        <x:v>35.531946</x:v>
      </x:c>
      <x:c r="C9" s="93" t="n">
        <x:f>B9/$B$4</x:f>
        <x:v>0.2906251791258892</x:v>
      </x:c>
      <x:c r="D9" s="19" t="str">
        <x:v>有息银行债务</x:v>
      </x:c>
    </x:row>
    <x:row r="10">
      <x:c r="A10" s="19" t="str">
        <x:v>应付债券</x:v>
      </x:c>
      <x:c r="B10" s="67" t="n">
        <x:v>1.444743</x:v>
      </x:c>
      <x:c r="C10" s="93" t="n">
        <x:f>B10/$B$4</x:f>
        <x:v>0.011816934911639081</x:v>
      </x:c>
      <x:c r="D10" s="19" t="str">
        <x:v>公开债券</x:v>
      </x:c>
    </x:row>
    <x:row r="11">
      <x:c r="A11" s="19" t="str">
        <x:v>租赁负债</x:v>
      </x:c>
      <x:c r="B11" s="67" t="n">
        <x:v>0</x:v>
      </x:c>
      <x:c r="C11" s="93" t="n">
        <x:f>B11/$B$4</x:f>
        <x:v>0</x:v>
      </x:c>
      <x:c r="D11" s="19" t="str">
        <x:v>租赁债务</x:v>
      </x:c>
    </x:row>
    <x:row r="12">
      <x:c r="A12" s="19" t="str">
        <x:v>流动资产</x:v>
      </x:c>
      <x:c r="B12" s="67" t="n">
        <x:v>44.731034</x:v>
      </x:c>
      <x:c r="C12" s="93" t="n">
        <x:f>B12/$B$4</x:f>
        <x:v>0.3658669516365988</x:v>
      </x:c>
      <x:c r="D12" s="19" t="str">
        <x:v>流动性资产</x:v>
      </x:c>
    </x:row>
    <x:row r="13">
      <x:c r="A13" s="19" t="str">
        <x:v>流动负债</x:v>
      </x:c>
      <x:c r="B13" s="67" t="n">
        <x:v>39.983297</x:v>
      </x:c>
      <x:c r="C13" s="93" t="n">
        <x:f>B13/$B$4</x:f>
        <x:v>0.3270339556597499</x:v>
      </x:c>
      <x:c r="D13" s="19" t="str">
        <x:v>短期义务</x:v>
      </x:c>
    </x:row>
    <x:row r="14">
      <x:c r="A14" s="19" t="str">
        <x:v>流动比率</x:v>
      </x:c>
      <x:c r="B14" s="94" t="n">
        <x:f>B12/B13</x:f>
        <x:v>1.11874300911203</x:v>
      </x:c>
      <x:c r="C14" s="19"/>
      <x:c r="D14" s="19" t="str">
        <x:v>短期偿债能力</x:v>
      </x:c>
    </x:row>
    <x:row r="15">
      <x:c r="A15" s="96" t="str">
        <x:v>净债务/(净现金)</x:v>
      </x:c>
      <x:c r="B15" s="97" t="n">
        <x:f>B9+B10+B11-B7</x:f>
        <x:v>25.736899</x:v>
      </x:c>
      <x:c r="C15" s="96"/>
      <x:c r="D15" s="96" t="str">
        <x:v>正数为净债务，负数为净现金</x:v>
      </x:c>
    </x:row>
    <x:row r="16">
      <x:c r="A16" s="96" t="str">
        <x:v>净债务/归母净资产</x:v>
      </x:c>
      <x:c r="B16" s="98" t="n">
        <x:f>B15/B5</x:f>
        <x:v>0.533974773643871</x:v>
      </x:c>
      <x:c r="C16" s="96"/>
      <x:c r="D16" s="96" t="str">
        <x:v>杠杆交叉验证</x:v>
      </x:c>
    </x:row>
    <x:row r="17">
      <x:c r="A17" s="19" t="str">
        <x:v>H1经营现金流</x:v>
      </x:c>
      <x:c r="B17" s="67" t="n">
        <x:f>'Historical'!E7</x:f>
        <x:v>1.328246</x:v>
      </x:c>
      <x:c r="C17" s="93" t="n">
        <x:f>B17/'Historical'!E5</x:f>
        <x:v>0.2573485760874451</x:v>
      </x:c>
      <x:c r="D17" s="19" t="str">
        <x:v>利润现金转化</x:v>
      </x:c>
    </x:row>
    <x:row r="18">
      <x:c r="A18" s="22" t="str">
        <x:v>H1资本开支</x:v>
      </x:c>
      <x:c r="B18" s="69" t="n">
        <x:f>'Historical'!F7</x:f>
        <x:v>2.435033</x:v>
      </x:c>
      <x:c r="C18" s="95" t="n">
        <x:f>B18/B17</x:f>
        <x:v>1.833269590121107</x:v>
      </x:c>
      <x:c r="D18" s="22" t="str">
        <x:v>购建长期资产/披露资本开支</x:v>
      </x:c>
    </x:row>
    <x:row r="21">
      <x:c r="A21" s="25" t="str">
        <x:v>现金流指标</x:v>
      </x:c>
      <x:c r="B21" s="26" t="str">
        <x:v>数值</x:v>
      </x:c>
      <x:c r="C21" s="26" t="str">
        <x:v>单位</x:v>
      </x:c>
      <x:c r="D21" s="27" t="str">
        <x:v>说明</x:v>
      </x:c>
    </x:row>
    <x:row r="22">
      <x:c r="A22" s="16" t="str">
        <x:v>H1自由现金流</x:v>
      </x:c>
      <x:c r="B22" s="65" t="n">
        <x:f>B17-B18</x:f>
        <x:v>-1.1067869999999997</x:v>
      </x:c>
      <x:c r="C22" s="16" t="str">
        <x:v>RMB bn</x:v>
      </x:c>
      <x:c r="D22" s="16" t="str">
        <x:v>CFO-Capex</x:v>
      </x:c>
    </x:row>
    <x:row r="23">
      <x:c r="A23" s="19" t="str">
        <x:v>自由现金流/净利润</x:v>
      </x:c>
      <x:c r="B23" s="94" t="n">
        <x:f>B22/'Historical'!E5</x:f>
        <x:v>-0.21444074251463585</x:v>
      </x:c>
      <x:c r="C23" s="19" t="str">
        <x:v>x</x:v>
      </x:c>
      <x:c r="D23" s="19" t="str">
        <x:v>现金含金量</x:v>
      </x:c>
    </x:row>
    <x:row r="24">
      <x:c r="A24" s="22" t="str">
        <x:v>期末流动性余量</x:v>
      </x:c>
      <x:c r="B24" s="69" t="n">
        <x:f>B12-B13</x:f>
        <x:v>4.747737000000001</x:v>
      </x:c>
      <x:c r="C24" s="22" t="str">
        <x:v>RMB bn</x:v>
      </x:c>
      <x:c r="D24" s="22" t="str">
        <x:v>流动资产-流动负债</x:v>
      </x:c>
    </x:row>
  </x:sheetData>
  <x:mergeCells>
    <x:mergeCell ref="A1:F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31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36" hidden="0" customWidth="1"/>
    <x:col min="8" max="8" width="36" hidden="0" customWidth="1"/>
  </x:cols>
  <x:sheetData>
    <x:row r="1" ht="30" customHeight="1">
      <x:c r="A1" s="3" t="str">
        <x:v>市场、股份与正常化情景假设</x:v>
      </x:c>
      <x:c r="B1" s="3" t="str">
        <x:v>市场、股份与正常化情景假设</x:v>
      </x:c>
      <x:c r="C1" s="3" t="str">
        <x:v>市场、股份与正常化情景假设</x:v>
      </x:c>
      <x:c r="D1" s="3" t="str">
        <x:v>市场、股份与正常化情景假设</x:v>
      </x:c>
      <x:c r="E1" s="3" t="str">
        <x:v>市场、股份与正常化情景假设</x:v>
      </x:c>
      <x:c r="F1" s="3" t="str">
        <x:v>市场、股份与正常化情景假设</x:v>
      </x:c>
      <x:c r="G1" s="3" t="str">
        <x:v>市场、股份与正常化情景假设</x:v>
      </x:c>
      <x:c r="H1" s="3" t="str">
        <x:v>市场、股份与正常化情景假设</x:v>
      </x:c>
    </x:row>
    <x:row r="3">
      <x:c r="A3" s="25" t="str">
        <x:v>市场与股份</x:v>
      </x:c>
      <x:c r="B3" s="26" t="str">
        <x:v>数值</x:v>
      </x:c>
      <x:c r="C3" s="27" t="str">
        <x:v>说明</x:v>
      </x:c>
    </x:row>
    <x:row r="4">
      <x:c r="A4" s="16" t="str">
        <x:v>A股收盘价</x:v>
      </x:c>
      <x:c r="B4" s="104" t="n">
        <x:v>50.52</x:v>
      </x:c>
      <x:c r="C4" s="16" t="str">
        <x:v>2026-09-04收盘</x:v>
      </x:c>
    </x:row>
    <x:row r="5">
      <x:c r="A5" s="19" t="str">
        <x:v>总股数</x:v>
      </x:c>
      <x:c r="B5" s="105" t="n">
        <x:v>2.096694</x:v>
      </x:c>
      <x:c r="C5" s="19" t="str">
        <x:v>十亿股</x:v>
      </x:c>
    </x:row>
    <x:row r="6">
      <x:c r="A6" s="19" t="str">
        <x:v>参考市值</x:v>
      </x:c>
      <x:c r="B6" s="67" t="n">
        <x:f>B4*B5</x:f>
        <x:v>105.92498087999999</x:v>
      </x:c>
      <x:c r="C6" s="19" t="str">
        <x:v>RMB bn</x:v>
      </x:c>
    </x:row>
    <x:row r="7">
      <x:c r="A7" s="19" t="str">
        <x:v>归母净资产</x:v>
      </x:c>
      <x:c r="B7" s="67" t="n">
        <x:v>48.198717</x:v>
      </x:c>
      <x:c r="C7" s="19" t="str">
        <x:v>2026H1；RMB bn</x:v>
      </x:c>
    </x:row>
    <x:row r="8">
      <x:c r="A8" s="19" t="str">
        <x:v>BVPS</x:v>
      </x:c>
      <x:c r="B8" s="106" t="n">
        <x:f>B7/B5</x:f>
        <x:v>22.987959616424718</x:v>
      </x:c>
      <x:c r="C8" s="19" t="str">
        <x:v>RMB/股</x:v>
      </x:c>
    </x:row>
    <x:row r="9">
      <x:c r="A9" s="22" t="str">
        <x:v>当前P/B</x:v>
      </x:c>
      <x:c r="B9" s="107" t="n">
        <x:f>B6/B7</x:f>
        <x:v>2.1976722094075654</x:v>
      </x:c>
      <x:c r="C9" s="22" t="str">
        <x:v>x</x:v>
      </x:c>
    </x:row>
    <x:row r="12">
      <x:c r="A12" s="25" t="str">
        <x:v>正常化驱动</x:v>
      </x:c>
      <x:c r="B12" s="26" t="str">
        <x:v>Bear</x:v>
      </x:c>
      <x:c r="C12" s="26" t="str">
        <x:v>Base</x:v>
      </x:c>
      <x:c r="D12" s="26" t="str">
        <x:v>Bull</x:v>
      </x:c>
      <x:c r="E12" s="26" t="str">
        <x:v>单位</x:v>
      </x:c>
      <x:c r="F12" s="26" t="str">
        <x:v>来源性质</x:v>
      </x:c>
      <x:c r="G12" s="26" t="str">
        <x:v>核心含义</x:v>
      </x:c>
      <x:c r="H12" s="27" t="str">
        <x:v>可证伪条件</x:v>
      </x:c>
    </x:row>
    <x:row r="13">
      <x:c r="A13" s="16" t="str">
        <x:v>碳酸锂价格</x:v>
      </x:c>
      <x:c r="B13" s="102" t="n">
        <x:v>10</x:v>
      </x:c>
      <x:c r="C13" s="102" t="n">
        <x:v>14</x:v>
      </x:c>
      <x:c r="D13" s="102" t="n">
        <x:v>18</x:v>
      </x:c>
      <x:c r="E13" s="16" t="str">
        <x:v>万元/吨</x:v>
      </x:c>
      <x:c r="F13" s="16" t="str">
        <x:v>分析假设</x:v>
      </x:c>
      <x:c r="G13" s="16" t="str">
        <x:v>资源与锂盐盈利中枢</x:v>
      </x:c>
      <x:c r="H13" s="16" t="str">
        <x:v>实际持续偏离情景假设</x:v>
      </x:c>
    </x:row>
    <x:row r="14">
      <x:c r="A14" s="19" t="str">
        <x:v>锂系列销量</x:v>
      </x:c>
      <x:c r="B14" s="103" t="n">
        <x:v>180</x:v>
      </x:c>
      <x:c r="C14" s="103" t="n">
        <x:v>220</x:v>
      </x:c>
      <x:c r="D14" s="103" t="n">
        <x:v>260</x:v>
      </x:c>
      <x:c r="E14" s="19" t="str">
        <x:v>千吨LCE</x:v>
      </x:c>
      <x:c r="F14" s="19" t="str">
        <x:v>分析假设</x:v>
      </x:c>
      <x:c r="G14" s="19" t="str">
        <x:v>多项目爬坡兑现</x:v>
      </x:c>
      <x:c r="H14" s="19" t="str">
        <x:v>实际持续偏离情景假设</x:v>
      </x:c>
    </x:row>
    <x:row r="15">
      <x:c r="A15" s="19" t="str">
        <x:v>电池毛利率</x:v>
      </x:c>
      <x:c r="B15" s="103" t="n">
        <x:v>0.06</x:v>
      </x:c>
      <x:c r="C15" s="103" t="n">
        <x:v>0.12</x:v>
      </x:c>
      <x:c r="D15" s="103" t="n">
        <x:v>0.16</x:v>
      </x:c>
      <x:c r="E15" s="19" t="str">
        <x:v>比例</x:v>
      </x:c>
      <x:c r="F15" s="19" t="str">
        <x:v>分析假设</x:v>
      </x:c>
      <x:c r="G15" s="19" t="str">
        <x:v>储能放量不等于高回报</x:v>
      </x:c>
      <x:c r="H15" s="19" t="str">
        <x:v>实际持续偏离情景假设</x:v>
      </x:c>
    </x:row>
    <x:row r="16">
      <x:c r="A16" s="19" t="str">
        <x:v>年度资本开支</x:v>
      </x:c>
      <x:c r="B16" s="103" t="n">
        <x:v>6</x:v>
      </x:c>
      <x:c r="C16" s="103" t="n">
        <x:v>5</x:v>
      </x:c>
      <x:c r="D16" s="103" t="n">
        <x:v>4</x:v>
      </x:c>
      <x:c r="E16" s="19" t="str">
        <x:v>RMB bn</x:v>
      </x:c>
      <x:c r="F16" s="19" t="str">
        <x:v>分析假设</x:v>
      </x:c>
      <x:c r="G16" s="19" t="str">
        <x:v>自由现金流纪律</x:v>
      </x:c>
      <x:c r="H16" s="19" t="str">
        <x:v>实际持续偏离情景假设</x:v>
      </x:c>
    </x:row>
    <x:row r="17">
      <x:c r="A17" s="19" t="str">
        <x:v>正常化归母净利润</x:v>
      </x:c>
      <x:c r="B17" s="67" t="n">
        <x:f>B18*$B$5</x:f>
        <x:v>2.5160327999999996</x:v>
      </x:c>
      <x:c r="C17" s="67" t="n">
        <x:f>C18*$B$5</x:f>
        <x:v>5.870743199999999</x:v>
      </x:c>
      <x:c r="D17" s="67" t="n">
        <x:f>D18*$B$5</x:f>
        <x:v>9.435122999999999</x:v>
      </x:c>
      <x:c r="E17" s="19" t="str">
        <x:v>RMB bn</x:v>
      </x:c>
      <x:c r="F17" s="19" t="str">
        <x:v>公式/校验</x:v>
      </x:c>
      <x:c r="G17" s="19" t="str">
        <x:v>等于正常化EPS×股数</x:v>
      </x:c>
      <x:c r="H17" s="19" t="str">
        <x:v>实际持续偏离情景假设</x:v>
      </x:c>
    </x:row>
    <x:row r="18">
      <x:c r="A18" s="19" t="str">
        <x:v>正常化EPS</x:v>
      </x:c>
      <x:c r="B18" s="114" t="n">
        <x:v>1.2</x:v>
      </x:c>
      <x:c r="C18" s="114" t="n">
        <x:v>2.8</x:v>
      </x:c>
      <x:c r="D18" s="114" t="n">
        <x:v>4.5</x:v>
      </x:c>
      <x:c r="E18" s="19" t="str">
        <x:v>RMB/股</x:v>
      </x:c>
      <x:c r="F18" s="19" t="str">
        <x:v>分析假设</x:v>
      </x:c>
      <x:c r="G18" s="19" t="str">
        <x:v>分析假设，非一致预期</x:v>
      </x:c>
      <x:c r="H18" s="19" t="str">
        <x:v>实际持续偏离情景假设</x:v>
      </x:c>
    </x:row>
    <x:row r="19">
      <x:c r="A19" s="19" t="str">
        <x:v>P/E</x:v>
      </x:c>
      <x:c r="B19" s="115" t="n">
        <x:v>13</x:v>
      </x:c>
      <x:c r="C19" s="115" t="n">
        <x:v>16</x:v>
      </x:c>
      <x:c r="D19" s="115" t="n">
        <x:v>18</x:v>
      </x:c>
      <x:c r="E19" s="19" t="str">
        <x:v>x</x:v>
      </x:c>
      <x:c r="F19" s="19" t="str">
        <x:v>分析假设</x:v>
      </x:c>
      <x:c r="G19" s="19" t="str">
        <x:v>增长期权与高杠杆折价</x:v>
      </x:c>
      <x:c r="H19" s="19" t="str">
        <x:v>实际持续偏离情景假设</x:v>
      </x:c>
    </x:row>
    <x:row r="20">
      <x:c r="A20" s="22" t="str">
        <x:v>P/B</x:v>
      </x:c>
      <x:c r="B20" s="116" t="n">
        <x:v>1.2</x:v>
      </x:c>
      <x:c r="C20" s="116" t="n">
        <x:v>2</x:v>
      </x:c>
      <x:c r="D20" s="116" t="n">
        <x:v>2.8</x:v>
      </x:c>
      <x:c r="E20" s="22" t="str">
        <x:v>x</x:v>
      </x:c>
      <x:c r="F20" s="22" t="str">
        <x:v>分析假设</x:v>
      </x:c>
      <x:c r="G20" s="22" t="str">
        <x:v>资产组合与项目执行交叉验证</x:v>
      </x:c>
      <x:c r="H20" s="22" t="str">
        <x:v>实际持续偏离情景假设</x:v>
      </x:c>
    </x:row>
  </x:sheetData>
  <x:mergeCells>
    <x:mergeCell ref="A1:H1"/>
  </x:mergeCells>
  <x:pageMargins left="0.7" right="0.7" top="0.75" bottom="0.75" header="0.3" footer="0.3"/>
  <x:legacyDrawing xmlns:r="http://schemas.openxmlformats.org/officeDocument/2006/relationships" r:id="Rf62bd5fbccfd4d5e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</x:cols>
  <x:sheetData>
    <x:row r="1" ht="30" customHeight="1">
      <x:c r="A1" s="3" t="str">
        <x:v>60% 正常化P/E + 40% P/B 情景估值</x:v>
      </x:c>
      <x:c r="B1" s="3" t="str">
        <x:v>60% 正常化P/E + 40% P/B 情景估值</x:v>
      </x:c>
      <x:c r="C1" s="3" t="str">
        <x:v>60% 正常化P/E + 40% P/B 情景估值</x:v>
      </x:c>
      <x:c r="D1" s="3" t="str">
        <x:v>60% 正常化P/E + 40% P/B 情景估值</x:v>
      </x:c>
      <x:c r="E1" s="3" t="str">
        <x:v>60% 正常化P/E + 40% P/B 情景估值</x:v>
      </x:c>
      <x:c r="F1" s="3" t="str">
        <x:v>60% 正常化P/E + 40% P/B 情景估值</x:v>
      </x:c>
      <x:c r="G1" s="3" t="str">
        <x:v>60% 正常化P/E + 40% P/B 情景估值</x:v>
      </x:c>
      <x:c r="H1" s="3" t="str">
        <x:v>60% 正常化P/E + 40% P/B 情景估值</x:v>
      </x:c>
      <x:c r="I1" s="3" t="str">
        <x:v>60% 正常化P/E + 40% P/B 情景估值</x:v>
      </x:c>
    </x:row>
    <x:row r="3">
      <x:c r="A3" s="25" t="str">
        <x:v>情景</x:v>
      </x:c>
      <x:c r="B3" s="26" t="str">
        <x:v>正常化净利润</x:v>
      </x:c>
      <x:c r="C3" s="26" t="str">
        <x:v>P/E</x:v>
      </x:c>
      <x:c r="D3" s="26" t="str">
        <x:v>P/E价值/股</x:v>
      </x:c>
      <x:c r="E3" s="26" t="str">
        <x:v>BVPS</x:v>
      </x:c>
      <x:c r="F3" s="26" t="str">
        <x:v>P/B</x:v>
      </x:c>
      <x:c r="G3" s="26" t="str">
        <x:v>P/B价值/股</x:v>
      </x:c>
      <x:c r="H3" s="26" t="str">
        <x:v>加权价值/股</x:v>
      </x:c>
      <x:c r="I3" s="27" t="str">
        <x:v>相对现价</x:v>
      </x:c>
    </x:row>
    <x:row r="5">
      <x:c r="A5" s="16" t="str">
        <x:v>Bear</x:v>
      </x:c>
      <x:c r="B5" s="65" t="n">
        <x:f>'Assumptions'!B17</x:f>
        <x:v>2.5160327999999996</x:v>
      </x:c>
      <x:c r="C5" s="136" t="n">
        <x:f>'Assumptions'!B19</x:f>
        <x:v>13</x:v>
      </x:c>
      <x:c r="D5" s="137" t="n">
        <x:f>B5*C5/'Assumptions'!$B$5</x:f>
        <x:v>15.599999999999998</x:v>
      </x:c>
      <x:c r="E5" s="137" t="n">
        <x:f>'Assumptions'!$B$8</x:f>
        <x:v>22.987959616424718</x:v>
      </x:c>
      <x:c r="F5" s="137" t="n">
        <x:f>'Assumptions'!B20</x:f>
        <x:v>1.2</x:v>
      </x:c>
      <x:c r="G5" s="137" t="n">
        <x:f>E5*F5</x:f>
        <x:v>27.58555153970966</x:v>
      </x:c>
      <x:c r="H5" s="138" t="n">
        <x:f>D5*0.6+G5*0.4</x:f>
        <x:v>20.39422061588386</x:v>
      </x:c>
      <x:c r="I5" s="74" t="n">
        <x:f>H5/'Assumptions'!$B$4-1</x:f>
        <x:v>-0.5963139228843258</x:v>
      </x:c>
    </x:row>
    <x:row r="6">
      <x:c r="A6" s="139" t="str">
        <x:v>Base</x:v>
      </x:c>
      <x:c r="B6" s="140" t="n">
        <x:f>'Assumptions'!C17</x:f>
        <x:v>5.870743199999999</x:v>
      </x:c>
      <x:c r="C6" s="141" t="n">
        <x:f>'Assumptions'!C19</x:f>
        <x:v>16</x:v>
      </x:c>
      <x:c r="D6" s="142" t="n">
        <x:f>B6*C6/'Assumptions'!$B$5</x:f>
        <x:v>44.8</x:v>
      </x:c>
      <x:c r="E6" s="142" t="n">
        <x:f>'Assumptions'!$B$8</x:f>
        <x:v>22.987959616424718</x:v>
      </x:c>
      <x:c r="F6" s="142" t="n">
        <x:f>'Assumptions'!C20</x:f>
        <x:v>2</x:v>
      </x:c>
      <x:c r="G6" s="142" t="n">
        <x:f>E6*F6</x:f>
        <x:v>45.975919232849435</x:v>
      </x:c>
      <x:c r="H6" s="143" t="n">
        <x:f>D6*0.6+G6*0.4</x:f>
        <x:v>45.270367693139775</x:v>
      </x:c>
      <x:c r="I6" s="144" t="n">
        <x:f>H6/'Assumptions'!$B$4-1</x:f>
        <x:v>-0.10391196173515893</x:v>
      </x:c>
    </x:row>
    <x:row r="7">
      <x:c r="A7" s="22" t="str">
        <x:v>Bull</x:v>
      </x:c>
      <x:c r="B7" s="69" t="n">
        <x:f>'Assumptions'!D17</x:f>
        <x:v>9.435122999999999</x:v>
      </x:c>
      <x:c r="C7" s="145" t="n">
        <x:f>'Assumptions'!D19</x:f>
        <x:v>18</x:v>
      </x:c>
      <x:c r="D7" s="146" t="n">
        <x:f>B7*C7/'Assumptions'!$B$5</x:f>
        <x:v>81</x:v>
      </x:c>
      <x:c r="E7" s="146" t="n">
        <x:f>'Assumptions'!$B$8</x:f>
        <x:v>22.987959616424718</x:v>
      </x:c>
      <x:c r="F7" s="146" t="n">
        <x:f>'Assumptions'!D20</x:f>
        <x:v>2.8</x:v>
      </x:c>
      <x:c r="G7" s="146" t="n">
        <x:f>E7*F7</x:f>
        <x:v>64.3662869259892</x:v>
      </x:c>
      <x:c r="H7" s="147" t="n">
        <x:f>D7*0.6+G7*0.4</x:f>
        <x:v>74.34651477039569</x:v>
      </x:c>
      <x:c r="I7" s="76" t="n">
        <x:f>H7/'Assumptions'!$B$4-1</x:f>
        <x:v>0.4716253913379984</x:v>
      </x:c>
    </x:row>
    <x:row r="10">
      <x:c r="A10" s="25" t="str">
        <x:v>敏感性：正常化EPS × P/E（未含P/B权重）</x:v>
      </x:c>
      <x:c r="B10" s="26" t="str">
        <x:v>敏感性：正常化EPS × P/E（未含P/B权重）</x:v>
      </x:c>
      <x:c r="C10" s="26" t="str">
        <x:v>敏感性：正常化EPS × P/E（未含P/B权重）</x:v>
      </x:c>
      <x:c r="D10" s="26" t="str">
        <x:v>敏感性：正常化EPS × P/E（未含P/B权重）</x:v>
      </x:c>
      <x:c r="E10" s="26" t="str">
        <x:v>敏感性：正常化EPS × P/E（未含P/B权重）</x:v>
      </x:c>
      <x:c r="F10" s="26" t="str">
        <x:v>敏感性：正常化EPS × P/E（未含P/B权重）</x:v>
      </x:c>
      <x:c r="G10" s="27" t="str">
        <x:v>敏感性：正常化EPS × P/E（未含P/B权重）</x:v>
      </x:c>
    </x:row>
    <x:row r="11">
      <x:c r="A11" s="55" t="str">
        <x:v>EPS \ P/E</x:v>
      </x:c>
      <x:c r="B11" s="56" t="n">
        <x:v>8</x:v>
      </x:c>
      <x:c r="C11" s="56" t="n">
        <x:v>10</x:v>
      </x:c>
      <x:c r="D11" s="56" t="n">
        <x:v>12</x:v>
      </x:c>
      <x:c r="E11" s="56" t="n">
        <x:v>14</x:v>
      </x:c>
      <x:c r="F11" s="56" t="n">
        <x:v>16</x:v>
      </x:c>
      <x:c r="G11" s="57" t="str">
        <x:v>RMB/股</x:v>
      </x:c>
    </x:row>
    <x:row r="12">
      <x:c r="A12" s="16" t="n">
        <x:v>1</x:v>
      </x:c>
      <x:c r="B12" s="137" t="n">
        <x:f>$A12*B$11</x:f>
        <x:v>8</x:v>
      </x:c>
      <x:c r="C12" s="137" t="n">
        <x:f>$A12*C$11</x:f>
        <x:v>10</x:v>
      </x:c>
      <x:c r="D12" s="137" t="n">
        <x:f>$A12*D$11</x:f>
        <x:v>12</x:v>
      </x:c>
      <x:c r="E12" s="137" t="n">
        <x:f>$A12*E$11</x:f>
        <x:v>14</x:v>
      </x:c>
      <x:c r="F12" s="137" t="n">
        <x:f>$A12*F$11</x:f>
        <x:v>16</x:v>
      </x:c>
      <x:c r="G12" s="16"/>
    </x:row>
    <x:row r="13">
      <x:c r="A13" s="19" t="n">
        <x:v>2</x:v>
      </x:c>
      <x:c r="B13" s="106" t="n">
        <x:f>$A13*B$11</x:f>
        <x:v>16</x:v>
      </x:c>
      <x:c r="C13" s="106" t="n">
        <x:f>$A13*C$11</x:f>
        <x:v>20</x:v>
      </x:c>
      <x:c r="D13" s="106" t="n">
        <x:f>$A13*D$11</x:f>
        <x:v>24</x:v>
      </x:c>
      <x:c r="E13" s="106" t="n">
        <x:f>$A13*E$11</x:f>
        <x:v>28</x:v>
      </x:c>
      <x:c r="F13" s="106" t="n">
        <x:f>$A13*F$11</x:f>
        <x:v>32</x:v>
      </x:c>
      <x:c r="G13" s="19"/>
    </x:row>
    <x:row r="14">
      <x:c r="A14" s="19" t="n">
        <x:v>3</x:v>
      </x:c>
      <x:c r="B14" s="106" t="n">
        <x:f>$A14*B$11</x:f>
        <x:v>24</x:v>
      </x:c>
      <x:c r="C14" s="106" t="n">
        <x:f>$A14*C$11</x:f>
        <x:v>30</x:v>
      </x:c>
      <x:c r="D14" s="106" t="n">
        <x:f>$A14*D$11</x:f>
        <x:v>36</x:v>
      </x:c>
      <x:c r="E14" s="106" t="n">
        <x:f>$A14*E$11</x:f>
        <x:v>42</x:v>
      </x:c>
      <x:c r="F14" s="106" t="n">
        <x:f>$A14*F$11</x:f>
        <x:v>48</x:v>
      </x:c>
      <x:c r="G14" s="19"/>
    </x:row>
    <x:row r="15">
      <x:c r="A15" s="19" t="n">
        <x:v>4</x:v>
      </x:c>
      <x:c r="B15" s="106" t="n">
        <x:f>$A15*B$11</x:f>
        <x:v>32</x:v>
      </x:c>
      <x:c r="C15" s="106" t="n">
        <x:f>$A15*C$11</x:f>
        <x:v>40</x:v>
      </x:c>
      <x:c r="D15" s="106" t="n">
        <x:f>$A15*D$11</x:f>
        <x:v>48</x:v>
      </x:c>
      <x:c r="E15" s="106" t="n">
        <x:f>$A15*E$11</x:f>
        <x:v>56</x:v>
      </x:c>
      <x:c r="F15" s="106" t="n">
        <x:f>$A15*F$11</x:f>
        <x:v>64</x:v>
      </x:c>
      <x:c r="G15" s="19"/>
    </x:row>
    <x:row r="16">
      <x:c r="A16" s="22" t="n">
        <x:v>5</x:v>
      </x:c>
      <x:c r="B16" s="146" t="n">
        <x:f>$A16*B$11</x:f>
        <x:v>40</x:v>
      </x:c>
      <x:c r="C16" s="146" t="n">
        <x:f>$A16*C$11</x:f>
        <x:v>50</x:v>
      </x:c>
      <x:c r="D16" s="146" t="n">
        <x:f>$A16*D$11</x:f>
        <x:v>60</x:v>
      </x:c>
      <x:c r="E16" s="146" t="n">
        <x:f>$A16*E$11</x:f>
        <x:v>70</x:v>
      </x:c>
      <x:c r="F16" s="146" t="n">
        <x:f>$A16*F$11</x:f>
        <x:v>80</x:v>
      </x:c>
      <x:c r="G16" s="22"/>
    </x:row>
    <x:row r="19">
      <x:c r="A19" s="25" t="str">
        <x:v>估值限制</x:v>
      </x:c>
      <x:c r="B19" s="26" t="str">
        <x:v>估值限制</x:v>
      </x:c>
      <x:c r="C19" s="26" t="str">
        <x:v>估值限制</x:v>
      </x:c>
      <x:c r="D19" s="26" t="str">
        <x:v>估值限制</x:v>
      </x:c>
      <x:c r="E19" s="26" t="str">
        <x:v>估值限制</x:v>
      </x:c>
      <x:c r="F19" s="26" t="str">
        <x:v>估值限制</x:v>
      </x:c>
      <x:c r="G19" s="26" t="str">
        <x:v>估值限制</x:v>
      </x:c>
      <x:c r="H19" s="26" t="str">
        <x:v>估值限制</x:v>
      </x:c>
      <x:c r="I19" s="27" t="str">
        <x:v>估值限制</x:v>
      </x:c>
    </x:row>
    <x:row r="20">
      <x:c r="A20" s="52" t="str">
        <x:v>正常化盈利、商品价格、产销量、资本开支与估值倍数均为分析情景，不是公司指引或市场一致预期。模型不把2026H1高景气利润直接年化；P/B只作资本密集型周期股的交叉验证，账面价值仍受减值、汇率、项目执行及关联资产可变现性影响。</x:v>
      </x:c>
      <x:c r="B20" s="52" t="str">
        <x:v>正常化盈利、商品价格、产销量、资本开支与估值倍数均为分析情景，不是公司指引或市场一致预期。模型不把2026H1高景气利润直接年化；P/B只作资本密集型周期股的交叉验证，账面价值仍受减值、汇率、项目执行及关联资产可变现性影响。</x:v>
      </x:c>
      <x:c r="C20" s="52" t="str">
        <x:v>正常化盈利、商品价格、产销量、资本开支与估值倍数均为分析情景，不是公司指引或市场一致预期。模型不把2026H1高景气利润直接年化；P/B只作资本密集型周期股的交叉验证，账面价值仍受减值、汇率、项目执行及关联资产可变现性影响。</x:v>
      </x:c>
      <x:c r="D20" s="52" t="str">
        <x:v>正常化盈利、商品价格、产销量、资本开支与估值倍数均为分析情景，不是公司指引或市场一致预期。模型不把2026H1高景气利润直接年化；P/B只作资本密集型周期股的交叉验证，账面价值仍受减值、汇率、项目执行及关联资产可变现性影响。</x:v>
      </x:c>
      <x:c r="E20" s="52" t="str">
        <x:v>正常化盈利、商品价格、产销量、资本开支与估值倍数均为分析情景，不是公司指引或市场一致预期。模型不把2026H1高景气利润直接年化；P/B只作资本密集型周期股的交叉验证，账面价值仍受减值、汇率、项目执行及关联资产可变现性影响。</x:v>
      </x:c>
      <x:c r="F20" s="52" t="str">
        <x:v>正常化盈利、商品价格、产销量、资本开支与估值倍数均为分析情景，不是公司指引或市场一致预期。模型不把2026H1高景气利润直接年化；P/B只作资本密集型周期股的交叉验证，账面价值仍受减值、汇率、项目执行及关联资产可变现性影响。</x:v>
      </x:c>
      <x:c r="G20" s="52" t="str">
        <x:v>正常化盈利、商品价格、产销量、资本开支与估值倍数均为分析情景，不是公司指引或市场一致预期。模型不把2026H1高景气利润直接年化；P/B只作资本密集型周期股的交叉验证，账面价值仍受减值、汇率、项目执行及关联资产可变现性影响。</x:v>
      </x:c>
      <x:c r="H20" s="52" t="str">
        <x:v>正常化盈利、商品价格、产销量、资本开支与估值倍数均为分析情景，不是公司指引或市场一致预期。模型不把2026H1高景气利润直接年化；P/B只作资本密集型周期股的交叉验证，账面价值仍受减值、汇率、项目执行及关联资产可变现性影响。</x:v>
      </x:c>
      <x:c r="I20" s="52" t="str">
        <x:v>正常化盈利、商品价格、产销量、资本开支与估值倍数均为分析情景，不是公司指引或市场一致预期。模型不把2026H1高景气利润直接年化；P/B只作资本密集型周期股的交叉验证，账面价值仍受减值、汇率、项目执行及关联资产可变现性影响。</x:v>
      </x:c>
    </x:row>
    <x:row r="21">
      <x:c r="A21" s="52" t="str">
        <x:v>正常化盈利、商品价格、产销量、资本开支与估值倍数均为分析情景，不是公司指引或市场一致预期。模型不把2026H1高景气利润直接年化；P/B只作资本密集型周期股的交叉验证，账面价值仍受减值、汇率、项目执行及关联资产可变现性影响。</x:v>
      </x:c>
      <x:c r="B21" s="52" t="str">
        <x:v>正常化盈利、商品价格、产销量、资本开支与估值倍数均为分析情景，不是公司指引或市场一致预期。模型不把2026H1高景气利润直接年化；P/B只作资本密集型周期股的交叉验证，账面价值仍受减值、汇率、项目执行及关联资产可变现性影响。</x:v>
      </x:c>
      <x:c r="C21" s="52" t="str">
        <x:v>正常化盈利、商品价格、产销量、资本开支与估值倍数均为分析情景，不是公司指引或市场一致预期。模型不把2026H1高景气利润直接年化；P/B只作资本密集型周期股的交叉验证，账面价值仍受减值、汇率、项目执行及关联资产可变现性影响。</x:v>
      </x:c>
      <x:c r="D21" s="52" t="str">
        <x:v>正常化盈利、商品价格、产销量、资本开支与估值倍数均为分析情景，不是公司指引或市场一致预期。模型不把2026H1高景气利润直接年化；P/B只作资本密集型周期股的交叉验证，账面价值仍受减值、汇率、项目执行及关联资产可变现性影响。</x:v>
      </x:c>
      <x:c r="E21" s="52" t="str">
        <x:v>正常化盈利、商品价格、产销量、资本开支与估值倍数均为分析情景，不是公司指引或市场一致预期。模型不把2026H1高景气利润直接年化；P/B只作资本密集型周期股的交叉验证，账面价值仍受减值、汇率、项目执行及关联资产可变现性影响。</x:v>
      </x:c>
      <x:c r="F21" s="52" t="str">
        <x:v>正常化盈利、商品价格、产销量、资本开支与估值倍数均为分析情景，不是公司指引或市场一致预期。模型不把2026H1高景气利润直接年化；P/B只作资本密集型周期股的交叉验证，账面价值仍受减值、汇率、项目执行及关联资产可变现性影响。</x:v>
      </x:c>
      <x:c r="G21" s="52" t="str">
        <x:v>正常化盈利、商品价格、产销量、资本开支与估值倍数均为分析情景，不是公司指引或市场一致预期。模型不把2026H1高景气利润直接年化；P/B只作资本密集型周期股的交叉验证，账面价值仍受减值、汇率、项目执行及关联资产可变现性影响。</x:v>
      </x:c>
      <x:c r="H21" s="52" t="str">
        <x:v>正常化盈利、商品价格、产销量、资本开支与估值倍数均为分析情景，不是公司指引或市场一致预期。模型不把2026H1高景气利润直接年化；P/B只作资本密集型周期股的交叉验证，账面价值仍受减值、汇率、项目执行及关联资产可变现性影响。</x:v>
      </x:c>
      <x:c r="I21" s="52" t="str">
        <x:v>正常化盈利、商品价格、产销量、资本开支与估值倍数均为分析情景，不是公司指引或市场一致预期。模型不把2026H1高景气利润直接年化；P/B只作资本密集型周期股的交叉验证，账面价值仍受减值、汇率、项目执行及关联资产可变现性影响。</x:v>
      </x:c>
    </x:row>
    <x:row r="22">
      <x:c r="A22" s="52" t="str">
        <x:v>正常化盈利、商品价格、产销量、资本开支与估值倍数均为分析情景，不是公司指引或市场一致预期。模型不把2026H1高景气利润直接年化；P/B只作资本密集型周期股的交叉验证，账面价值仍受减值、汇率、项目执行及关联资产可变现性影响。</x:v>
      </x:c>
      <x:c r="B22" s="52" t="str">
        <x:v>正常化盈利、商品价格、产销量、资本开支与估值倍数均为分析情景，不是公司指引或市场一致预期。模型不把2026H1高景气利润直接年化；P/B只作资本密集型周期股的交叉验证，账面价值仍受减值、汇率、项目执行及关联资产可变现性影响。</x:v>
      </x:c>
      <x:c r="C22" s="52" t="str">
        <x:v>正常化盈利、商品价格、产销量、资本开支与估值倍数均为分析情景，不是公司指引或市场一致预期。模型不把2026H1高景气利润直接年化；P/B只作资本密集型周期股的交叉验证，账面价值仍受减值、汇率、项目执行及关联资产可变现性影响。</x:v>
      </x:c>
      <x:c r="D22" s="52" t="str">
        <x:v>正常化盈利、商品价格、产销量、资本开支与估值倍数均为分析情景，不是公司指引或市场一致预期。模型不把2026H1高景气利润直接年化；P/B只作资本密集型周期股的交叉验证，账面价值仍受减值、汇率、项目执行及关联资产可变现性影响。</x:v>
      </x:c>
      <x:c r="E22" s="52" t="str">
        <x:v>正常化盈利、商品价格、产销量、资本开支与估值倍数均为分析情景，不是公司指引或市场一致预期。模型不把2026H1高景气利润直接年化；P/B只作资本密集型周期股的交叉验证，账面价值仍受减值、汇率、项目执行及关联资产可变现性影响。</x:v>
      </x:c>
      <x:c r="F22" s="52" t="str">
        <x:v>正常化盈利、商品价格、产销量、资本开支与估值倍数均为分析情景，不是公司指引或市场一致预期。模型不把2026H1高景气利润直接年化；P/B只作资本密集型周期股的交叉验证，账面价值仍受减值、汇率、项目执行及关联资产可变现性影响。</x:v>
      </x:c>
      <x:c r="G22" s="52" t="str">
        <x:v>正常化盈利、商品价格、产销量、资本开支与估值倍数均为分析情景，不是公司指引或市场一致预期。模型不把2026H1高景气利润直接年化；P/B只作资本密集型周期股的交叉验证，账面价值仍受减值、汇率、项目执行及关联资产可变现性影响。</x:v>
      </x:c>
      <x:c r="H22" s="52" t="str">
        <x:v>正常化盈利、商品价格、产销量、资本开支与估值倍数均为分析情景，不是公司指引或市场一致预期。模型不把2026H1高景气利润直接年化；P/B只作资本密集型周期股的交叉验证，账面价值仍受减值、汇率、项目执行及关联资产可变现性影响。</x:v>
      </x:c>
      <x:c r="I22" s="52" t="str">
        <x:v>正常化盈利、商品价格、产销量、资本开支与估值倍数均为分析情景，不是公司指引或市场一致预期。模型不把2026H1高景气利润直接年化；P/B只作资本密集型周期股的交叉验证，账面价值仍受减值、汇率、项目执行及关联资产可变现性影响。</x:v>
      </x:c>
    </x:row>
    <x:row r="23">
      <x:c r="A23" s="52" t="str">
        <x:v>正常化盈利、商品价格、产销量、资本开支与估值倍数均为分析情景，不是公司指引或市场一致预期。模型不把2026H1高景气利润直接年化；P/B只作资本密集型周期股的交叉验证，账面价值仍受减值、汇率、项目执行及关联资产可变现性影响。</x:v>
      </x:c>
      <x:c r="B23" s="52" t="str">
        <x:v>正常化盈利、商品价格、产销量、资本开支与估值倍数均为分析情景，不是公司指引或市场一致预期。模型不把2026H1高景气利润直接年化；P/B只作资本密集型周期股的交叉验证，账面价值仍受减值、汇率、项目执行及关联资产可变现性影响。</x:v>
      </x:c>
      <x:c r="C23" s="52" t="str">
        <x:v>正常化盈利、商品价格、产销量、资本开支与估值倍数均为分析情景，不是公司指引或市场一致预期。模型不把2026H1高景气利润直接年化；P/B只作资本密集型周期股的交叉验证，账面价值仍受减值、汇率、项目执行及关联资产可变现性影响。</x:v>
      </x:c>
      <x:c r="D23" s="52" t="str">
        <x:v>正常化盈利、商品价格、产销量、资本开支与估值倍数均为分析情景，不是公司指引或市场一致预期。模型不把2026H1高景气利润直接年化；P/B只作资本密集型周期股的交叉验证，账面价值仍受减值、汇率、项目执行及关联资产可变现性影响。</x:v>
      </x:c>
      <x:c r="E23" s="52" t="str">
        <x:v>正常化盈利、商品价格、产销量、资本开支与估值倍数均为分析情景，不是公司指引或市场一致预期。模型不把2026H1高景气利润直接年化；P/B只作资本密集型周期股的交叉验证，账面价值仍受减值、汇率、项目执行及关联资产可变现性影响。</x:v>
      </x:c>
      <x:c r="F23" s="52" t="str">
        <x:v>正常化盈利、商品价格、产销量、资本开支与估值倍数均为分析情景，不是公司指引或市场一致预期。模型不把2026H1高景气利润直接年化；P/B只作资本密集型周期股的交叉验证，账面价值仍受减值、汇率、项目执行及关联资产可变现性影响。</x:v>
      </x:c>
      <x:c r="G23" s="52" t="str">
        <x:v>正常化盈利、商品价格、产销量、资本开支与估值倍数均为分析情景，不是公司指引或市场一致预期。模型不把2026H1高景气利润直接年化；P/B只作资本密集型周期股的交叉验证，账面价值仍受减值、汇率、项目执行及关联资产可变现性影响。</x:v>
      </x:c>
      <x:c r="H23" s="52" t="str">
        <x:v>正常化盈利、商品价格、产销量、资本开支与估值倍数均为分析情景，不是公司指引或市场一致预期。模型不把2026H1高景气利润直接年化；P/B只作资本密集型周期股的交叉验证，账面价值仍受减值、汇率、项目执行及关联资产可变现性影响。</x:v>
      </x:c>
      <x:c r="I23" s="52" t="str">
        <x:v>正常化盈利、商品价格、产销量、资本开支与估值倍数均为分析情景，不是公司指引或市场一致预期。模型不把2026H1高景气利润直接年化；P/B只作资本密集型周期股的交叉验证，账面价值仍受减值、汇率、项目执行及关联资产可变现性影响。</x:v>
      </x:c>
    </x:row>
    <x:row r="24">
      <x:c r="A24" s="52" t="str">
        <x:v>正常化盈利、商品价格、产销量、资本开支与估值倍数均为分析情景，不是公司指引或市场一致预期。模型不把2026H1高景气利润直接年化；P/B只作资本密集型周期股的交叉验证，账面价值仍受减值、汇率、项目执行及关联资产可变现性影响。</x:v>
      </x:c>
      <x:c r="B24" s="52" t="str">
        <x:v>正常化盈利、商品价格、产销量、资本开支与估值倍数均为分析情景，不是公司指引或市场一致预期。模型不把2026H1高景气利润直接年化；P/B只作资本密集型周期股的交叉验证，账面价值仍受减值、汇率、项目执行及关联资产可变现性影响。</x:v>
      </x:c>
      <x:c r="C24" s="52" t="str">
        <x:v>正常化盈利、商品价格、产销量、资本开支与估值倍数均为分析情景，不是公司指引或市场一致预期。模型不把2026H1高景气利润直接年化；P/B只作资本密集型周期股的交叉验证，账面价值仍受减值、汇率、项目执行及关联资产可变现性影响。</x:v>
      </x:c>
      <x:c r="D24" s="52" t="str">
        <x:v>正常化盈利、商品价格、产销量、资本开支与估值倍数均为分析情景，不是公司指引或市场一致预期。模型不把2026H1高景气利润直接年化；P/B只作资本密集型周期股的交叉验证，账面价值仍受减值、汇率、项目执行及关联资产可变现性影响。</x:v>
      </x:c>
      <x:c r="E24" s="52" t="str">
        <x:v>正常化盈利、商品价格、产销量、资本开支与估值倍数均为分析情景，不是公司指引或市场一致预期。模型不把2026H1高景气利润直接年化；P/B只作资本密集型周期股的交叉验证，账面价值仍受减值、汇率、项目执行及关联资产可变现性影响。</x:v>
      </x:c>
      <x:c r="F24" s="52" t="str">
        <x:v>正常化盈利、商品价格、产销量、资本开支与估值倍数均为分析情景，不是公司指引或市场一致预期。模型不把2026H1高景气利润直接年化；P/B只作资本密集型周期股的交叉验证，账面价值仍受减值、汇率、项目执行及关联资产可变现性影响。</x:v>
      </x:c>
      <x:c r="G24" s="52" t="str">
        <x:v>正常化盈利、商品价格、产销量、资本开支与估值倍数均为分析情景，不是公司指引或市场一致预期。模型不把2026H1高景气利润直接年化；P/B只作资本密集型周期股的交叉验证，账面价值仍受减值、汇率、项目执行及关联资产可变现性影响。</x:v>
      </x:c>
      <x:c r="H24" s="52" t="str">
        <x:v>正常化盈利、商品价格、产销量、资本开支与估值倍数均为分析情景，不是公司指引或市场一致预期。模型不把2026H1高景气利润直接年化；P/B只作资本密集型周期股的交叉验证，账面价值仍受减值、汇率、项目执行及关联资产可变现性影响。</x:v>
      </x:c>
      <x:c r="I24" s="52" t="str">
        <x:v>正常化盈利、商品价格、产销量、资本开支与估值倍数均为分析情景，不是公司指引或市场一致预期。模型不把2026H1高景气利润直接年化；P/B只作资本密集型周期股的交叉验证，账面价值仍受减值、汇率、项目执行及关联资产可变现性影响。</x:v>
      </x:c>
    </x:row>
    <x:row r="25">
      <x:c r="A25" s="52" t="str">
        <x:v>正常化盈利、商品价格、产销量、资本开支与估值倍数均为分析情景，不是公司指引或市场一致预期。模型不把2026H1高景气利润直接年化；P/B只作资本密集型周期股的交叉验证，账面价值仍受减值、汇率、项目执行及关联资产可变现性影响。</x:v>
      </x:c>
      <x:c r="B25" s="52" t="str">
        <x:v>正常化盈利、商品价格、产销量、资本开支与估值倍数均为分析情景，不是公司指引或市场一致预期。模型不把2026H1高景气利润直接年化；P/B只作资本密集型周期股的交叉验证，账面价值仍受减值、汇率、项目执行及关联资产可变现性影响。</x:v>
      </x:c>
      <x:c r="C25" s="52" t="str">
        <x:v>正常化盈利、商品价格、产销量、资本开支与估值倍数均为分析情景，不是公司指引或市场一致预期。模型不把2026H1高景气利润直接年化；P/B只作资本密集型周期股的交叉验证，账面价值仍受减值、汇率、项目执行及关联资产可变现性影响。</x:v>
      </x:c>
      <x:c r="D25" s="52" t="str">
        <x:v>正常化盈利、商品价格、产销量、资本开支与估值倍数均为分析情景，不是公司指引或市场一致预期。模型不把2026H1高景气利润直接年化；P/B只作资本密集型周期股的交叉验证，账面价值仍受减值、汇率、项目执行及关联资产可变现性影响。</x:v>
      </x:c>
      <x:c r="E25" s="52" t="str">
        <x:v>正常化盈利、商品价格、产销量、资本开支与估值倍数均为分析情景，不是公司指引或市场一致预期。模型不把2026H1高景气利润直接年化；P/B只作资本密集型周期股的交叉验证，账面价值仍受减值、汇率、项目执行及关联资产可变现性影响。</x:v>
      </x:c>
      <x:c r="F25" s="52" t="str">
        <x:v>正常化盈利、商品价格、产销量、资本开支与估值倍数均为分析情景，不是公司指引或市场一致预期。模型不把2026H1高景气利润直接年化；P/B只作资本密集型周期股的交叉验证，账面价值仍受减值、汇率、项目执行及关联资产可变现性影响。</x:v>
      </x:c>
      <x:c r="G25" s="52" t="str">
        <x:v>正常化盈利、商品价格、产销量、资本开支与估值倍数均为分析情景，不是公司指引或市场一致预期。模型不把2026H1高景气利润直接年化；P/B只作资本密集型周期股的交叉验证，账面价值仍受减值、汇率、项目执行及关联资产可变现性影响。</x:v>
      </x:c>
      <x:c r="H25" s="52" t="str">
        <x:v>正常化盈利、商品价格、产销量、资本开支与估值倍数均为分析情景，不是公司指引或市场一致预期。模型不把2026H1高景气利润直接年化；P/B只作资本密集型周期股的交叉验证，账面价值仍受减值、汇率、项目执行及关联资产可变现性影响。</x:v>
      </x:c>
      <x:c r="I25" s="52" t="str">
        <x:v>正常化盈利、商品价格、产销量、资本开支与估值倍数均为分析情景，不是公司指引或市场一致预期。模型不把2026H1高景气利润直接年化；P/B只作资本密集型周期股的交叉验证，账面价值仍受减值、汇率、项目执行及关联资产可变现性影响。</x:v>
      </x:c>
    </x:row>
  </x:sheetData>
  <x:mergeCells>
    <x:mergeCell ref="A1:I1"/>
    <x:mergeCell ref="A10:G10"/>
    <x:mergeCell ref="A19:I19"/>
    <x:mergeCell ref="A20:I25"/>
  </x:mergeCells>
  <x:conditionalFormatting sqref="B12:F16">
    <x:cfRule type="colorScale" priority="1">
      <x:colorScale>
        <x:cfvo type="min"/>
        <x:cfvo type="percentile" val="50"/>
        <x:cfvo type="max"/>
        <x:color rgb="FFF8696B"/>
        <x:color rgb="FFFFEB84"/>
        <x:color rgb="FF63BE7B"/>
      </x:colorScale>
    </x:cfRule>
  </x:conditionalFormatting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7" hidden="0" customWidth="1"/>
    <x:col min="3" max="3" width="17" hidden="0" customWidth="1"/>
    <x:col min="4" max="4" width="17" hidden="0" customWidth="1"/>
    <x:col min="5" max="5" width="17" hidden="0" customWidth="1"/>
    <x:col min="6" max="6" width="17" hidden="0" customWidth="1"/>
    <x:col min="7" max="7" width="38" hidden="0" customWidth="1"/>
  </x:cols>
  <x:sheetData>
    <x:row r="1" ht="30" customHeight="1">
      <x:c r="A1" s="3" t="str">
        <x:v>模型检查</x:v>
      </x:c>
      <x:c r="B1" s="3" t="str">
        <x:v>模型检查</x:v>
      </x:c>
      <x:c r="C1" s="3" t="str">
        <x:v>模型检查</x:v>
      </x:c>
      <x:c r="D1" s="3" t="str">
        <x:v>模型检查</x:v>
      </x:c>
      <x:c r="E1" s="3" t="str">
        <x:v>模型检查</x:v>
      </x:c>
      <x:c r="F1" s="3" t="str">
        <x:v>模型检查</x:v>
      </x:c>
      <x:c r="G1" s="3" t="str">
        <x:v>模型检查</x:v>
      </x:c>
    </x:row>
    <x:row r="2">
      <x:c r="A2" t="str">
        <x:v>总体模型状态</x:v>
      </x:c>
      <x:c r="B2" t="str">
        <x:v>总体模型状态</x:v>
      </x:c>
      <x:c r="C2" t="str">
        <x:v>总体模型状态</x:v>
      </x:c>
      <x:c r="D2" t="str">
        <x:v>总体模型状态</x:v>
      </x:c>
      <x:c r="E2" t="str">
        <x:v>总体模型状态</x:v>
      </x:c>
      <x:c r="F2" t="str">
        <x:f>IF(COUNTIF(F5:F13,"FAIL")=0,"OK","FAIL")</x:f>
        <x:v>OK</x:v>
      </x:c>
    </x:row>
    <x:row r="4">
      <x:c r="A4" s="25" t="str">
        <x:v>检查项</x:v>
      </x:c>
      <x:c r="B4" s="26" t="str">
        <x:v>实际值</x:v>
      </x:c>
      <x:c r="C4" s="26" t="str">
        <x:v>预期/阈值</x:v>
      </x:c>
      <x:c r="D4" s="26" t="str">
        <x:v>差异</x:v>
      </x:c>
      <x:c r="E4" s="26" t="str">
        <x:v>容差</x:v>
      </x:c>
      <x:c r="F4" s="26" t="str">
        <x:v>状态</x:v>
      </x:c>
      <x:c r="G4" s="27" t="str">
        <x:v>说明</x:v>
      </x:c>
    </x:row>
    <x:row r="5">
      <x:c r="A5" s="16" t="str">
        <x:v>市值桥</x:v>
      </x:c>
      <x:c r="B5" s="16" t="n">
        <x:f>'Assumptions'!B6</x:f>
        <x:v>105.92498087999999</x:v>
      </x:c>
      <x:c r="C5" s="16" t="n">
        <x:f>'Assumptions'!B4*'Assumptions'!B5</x:f>
        <x:v>105.92498087999999</x:v>
      </x:c>
      <x:c r="D5" s="16" t="n">
        <x:f>B5-C5</x:f>
        <x:v>0</x:v>
      </x:c>
      <x:c r="E5" s="16" t="n">
        <x:f>0.0001</x:f>
        <x:v>0.0001</x:v>
      </x:c>
      <x:c r="F5" s="16" t="str">
        <x:f>IF(ABS(D5)&lt;=E5,"OK","FAIL")</x:f>
        <x:v>OK</x:v>
      </x:c>
      <x:c r="G5" s="16" t="str">
        <x:v>价格×股数</x:v>
      </x:c>
    </x:row>
    <x:row r="6">
      <x:c r="A6" s="19" t="str">
        <x:v>BVPS桥</x:v>
      </x:c>
      <x:c r="B6" s="19" t="n">
        <x:f>'Assumptions'!B8</x:f>
        <x:v>22.987959616424718</x:v>
      </x:c>
      <x:c r="C6" s="19" t="n">
        <x:f>'Assumptions'!B7/'Assumptions'!B5</x:f>
        <x:v>22.987959616424718</x:v>
      </x:c>
      <x:c r="D6" s="19" t="n">
        <x:f>B6-C6</x:f>
        <x:v>0</x:v>
      </x:c>
      <x:c r="E6" s="19" t="n">
        <x:f>0.0001</x:f>
        <x:v>0.0001</x:v>
      </x:c>
      <x:c r="F6" s="19" t="str">
        <x:f>IF(ABS(D6)&lt;=E6,"OK","FAIL")</x:f>
        <x:v>OK</x:v>
      </x:c>
      <x:c r="G6" s="19" t="str">
        <x:v>净资产/股数</x:v>
      </x:c>
    </x:row>
    <x:row r="7">
      <x:c r="A7" s="19" t="str">
        <x:v>当前P/B桥</x:v>
      </x:c>
      <x:c r="B7" s="19" t="n">
        <x:f>'Assumptions'!B9</x:f>
        <x:v>2.1976722094075654</x:v>
      </x:c>
      <x:c r="C7" s="19" t="n">
        <x:f>'Assumptions'!B6/'Assumptions'!B7</x:f>
        <x:v>2.1976722094075654</x:v>
      </x:c>
      <x:c r="D7" s="19" t="n">
        <x:f>B7-C7</x:f>
        <x:v>0</x:v>
      </x:c>
      <x:c r="E7" s="19" t="n">
        <x:f>0.0001</x:f>
        <x:v>0.0001</x:v>
      </x:c>
      <x:c r="F7" s="19" t="str">
        <x:f>IF(ABS(D7)&lt;=E7,"OK","FAIL")</x:f>
        <x:v>OK</x:v>
      </x:c>
      <x:c r="G7" s="19" t="str">
        <x:v>市值/净资产</x:v>
      </x:c>
    </x:row>
    <x:row r="8">
      <x:c r="A8" s="19" t="str">
        <x:v>自由现金流桥</x:v>
      </x:c>
      <x:c r="B8" s="19" t="n">
        <x:f>'Balance &amp; Cash'!B22</x:f>
        <x:v>-1.1067869999999997</x:v>
      </x:c>
      <x:c r="C8" s="19" t="n">
        <x:f>'Historical'!E7-'Historical'!F7</x:f>
        <x:v>-1.1067869999999997</x:v>
      </x:c>
      <x:c r="D8" s="19" t="n">
        <x:f>B8-C8</x:f>
        <x:v>0</x:v>
      </x:c>
      <x:c r="E8" s="19" t="n">
        <x:f>0.0001</x:f>
        <x:v>0.0001</x:v>
      </x:c>
      <x:c r="F8" s="19" t="str">
        <x:f>IF(ABS(D8)&lt;=E8,"OK","FAIL")</x:f>
        <x:v>OK</x:v>
      </x:c>
      <x:c r="G8" s="19" t="str">
        <x:v>CFO-Capex</x:v>
      </x:c>
    </x:row>
    <x:row r="9">
      <x:c r="A9" s="19" t="str">
        <x:v>净债务桥</x:v>
      </x:c>
      <x:c r="B9" s="19" t="n">
        <x:f>'Balance &amp; Cash'!B15</x:f>
        <x:v>25.736899</x:v>
      </x:c>
      <x:c r="C9" s="19" t="n">
        <x:f>'Balance &amp; Cash'!B9+'Balance &amp; Cash'!B10+'Balance &amp; Cash'!B11-'Balance &amp; Cash'!B7</x:f>
        <x:v>25.736899</x:v>
      </x:c>
      <x:c r="D9" s="19" t="n">
        <x:f>B9-C9</x:f>
        <x:v>0</x:v>
      </x:c>
      <x:c r="E9" s="19" t="n">
        <x:f>0.0001</x:f>
        <x:v>0.0001</x:v>
      </x:c>
      <x:c r="F9" s="19" t="str">
        <x:f>IF(ABS(D9)&lt;=E9,"OK","FAIL")</x:f>
        <x:v>OK</x:v>
      </x:c>
      <x:c r="G9" s="19" t="str">
        <x:v>借款+债券+租赁-现金</x:v>
      </x:c>
    </x:row>
    <x:row r="10">
      <x:c r="A10" s="19" t="str">
        <x:v>Base加权价值</x:v>
      </x:c>
      <x:c r="B10" s="19" t="n">
        <x:f>'Valuation'!H6</x:f>
        <x:v>45.270367693139775</x:v>
      </x:c>
      <x:c r="C10" s="19" t="n">
        <x:f>'Valuation'!D6*0.6+'Valuation'!G6*0.4</x:f>
        <x:v>45.270367693139775</x:v>
      </x:c>
      <x:c r="D10" s="19" t="n">
        <x:f>B10-C10</x:f>
        <x:v>0</x:v>
      </x:c>
      <x:c r="E10" s="19" t="n">
        <x:f>0.0001</x:f>
        <x:v>0.0001</x:v>
      </x:c>
      <x:c r="F10" s="19" t="str">
        <x:f>IF(ABS(D10)&lt;=E10,"OK","FAIL")</x:f>
        <x:v>OK</x:v>
      </x:c>
      <x:c r="G10" s="19" t="str">
        <x:v>P/E与P/B权重</x:v>
      </x:c>
    </x:row>
    <x:row r="11">
      <x:c r="A11" s="19" t="str">
        <x:v>估值权重</x:v>
      </x:c>
      <x:c r="B11" s="19" t="n">
        <x:f>0.6+0.4</x:f>
        <x:v>1</x:v>
      </x:c>
      <x:c r="C11" s="19" t="n">
        <x:f>100%</x:f>
        <x:v>1</x:v>
      </x:c>
      <x:c r="D11" s="19" t="n">
        <x:f>B11-C11</x:f>
        <x:v>0</x:v>
      </x:c>
      <x:c r="E11" s="19" t="n">
        <x:f>0.0001</x:f>
        <x:v>0.0001</x:v>
      </x:c>
      <x:c r="F11" s="19" t="str">
        <x:f>IF(ABS(D11)&lt;=E11,"OK","FAIL")</x:f>
        <x:v>OK</x:v>
      </x:c>
      <x:c r="G11" s="19" t="str">
        <x:v>必须等于100%</x:v>
      </x:c>
    </x:row>
    <x:row r="12">
      <x:c r="A12" s="19" t="str">
        <x:v>情景利润递增</x:v>
      </x:c>
      <x:c r="B12" s="19" t="n">
        <x:f>'Assumptions'!D17-'Assumptions'!B17</x:f>
        <x:v>6.919090199999999</x:v>
      </x:c>
      <x:c r="C12" s="19" t="n">
        <x:f>0</x:f>
        <x:v>0</x:v>
      </x:c>
      <x:c r="D12" s="19" t="n">
        <x:f>B12-C12</x:f>
        <x:v>6.919090199999999</x:v>
      </x:c>
      <x:c r="E12" s="19" t="n">
        <x:f>0</x:f>
        <x:v>0</x:v>
      </x:c>
      <x:c r="F12" s="19" t="str">
        <x:f>IF(B12&gt;C12,"OK","FAIL")</x:f>
        <x:v>OK</x:v>
      </x:c>
      <x:c r="G12" s="19" t="str">
        <x:v>Bull高于Bear</x:v>
      </x:c>
    </x:row>
    <x:row r="13">
      <x:c r="A13" s="22" t="str">
        <x:v>情景价值递增</x:v>
      </x:c>
      <x:c r="B13" s="22" t="n">
        <x:f>'Valuation'!H7-'Valuation'!H5</x:f>
        <x:v>53.952294154511826</x:v>
      </x:c>
      <x:c r="C13" s="22" t="n">
        <x:f>0</x:f>
        <x:v>0</x:v>
      </x:c>
      <x:c r="D13" s="22" t="n">
        <x:f>B13-C13</x:f>
        <x:v>53.952294154511826</x:v>
      </x:c>
      <x:c r="E13" s="22" t="n">
        <x:f>0</x:f>
        <x:v>0</x:v>
      </x:c>
      <x:c r="F13" s="22" t="str">
        <x:f>IF(B13&gt;C13,"OK","FAIL")</x:f>
        <x:v>OK</x:v>
      </x:c>
      <x:c r="G13" s="22" t="str">
        <x:v>Bull高于Bear</x:v>
      </x:c>
    </x:row>
  </x:sheetData>
  <x:mergeCells>
    <x:mergeCell ref="A1:G1"/>
    <x:mergeCell ref="A2:E2"/>
  </x:mergeCells>
  <x:conditionalFormatting sqref="F2:F13">
    <x:cfRule type="containsText" dxfId="0" priority="1" operator="containsText" text="OK"/>
    <x:cfRule type="containsText" dxfId="1" priority="2" operator="containsText" text="FAIL"/>
  </x:conditionalFormatting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8" hidden="0" customWidth="1"/>
    <x:col min="2" max="2" width="38" hidden="0" customWidth="1"/>
    <x:col min="3" max="3" width="22" hidden="0" customWidth="1"/>
    <x:col min="4" max="4" width="22" hidden="0" customWidth="1"/>
    <x:col min="5" max="5" width="82" hidden="0" customWidth="1"/>
    <x:col min="6" max="6" width="42" hidden="0" customWidth="1"/>
  </x:cols>
  <x:sheetData>
    <x:row r="1" ht="30" customHeight="1">
      <x:c r="A1" s="3" t="str">
        <x:v>来源与审计索引</x:v>
      </x:c>
      <x:c r="B1" s="3" t="str">
        <x:v>来源与审计索引</x:v>
      </x:c>
      <x:c r="C1" s="3" t="str">
        <x:v>来源与审计索引</x:v>
      </x:c>
      <x:c r="D1" s="3" t="str">
        <x:v>来源与审计索引</x:v>
      </x:c>
      <x:c r="E1" s="3" t="str">
        <x:v>来源与审计索引</x:v>
      </x:c>
      <x:c r="F1" s="3" t="str">
        <x:v>来源与审计索引</x:v>
      </x:c>
    </x:row>
    <x:row r="3">
      <x:c r="A3" s="25" t="str">
        <x:v>ID</x:v>
      </x:c>
      <x:c r="B3" s="26" t="str">
        <x:v>输入/主题</x:v>
      </x:c>
      <x:c r="C3" s="26" t="str">
        <x:v>来源</x:v>
      </x:c>
      <x:c r="D3" s="26" t="str">
        <x:v>截至/期间</x:v>
      </x:c>
      <x:c r="E3" s="26" t="str">
        <x:v>URL/本地文件</x:v>
      </x:c>
      <x:c r="F3" s="27" t="str">
        <x:v>审计说明</x:v>
      </x:c>
    </x:row>
    <x:row r="4" ht="44" customHeight="1">
      <x:c r="A4" s="16" t="str">
        <x:v>S1</x:v>
      </x:c>
      <x:c r="B4" s="157" t="str">
        <x:v>2026H1财务、分部、债务与现金流</x:v>
      </x:c>
      <x:c r="C4" s="157" t="str">
        <x:v>公司2026中期业绩</x:v>
      </x:c>
      <x:c r="D4" s="157" t="str">
        <x:v>2026H1</x:v>
      </x:c>
      <x:c r="E4" s="158" t="str">
        <x:v>https://www1.hkexnews.hk/listedco/listconews/sehk/2026/0828/2026082803928.pdf</x:v>
      </x:c>
      <x:c r="F4" s="157" t="str">
        <x:v>官方；未经审计；本地已归档</x:v>
      </x:c>
    </x:row>
    <x:row r="5" ht="44" customHeight="1">
      <x:c r="A5" s="19" t="str">
        <x:v>S2</x:v>
      </x:c>
      <x:c r="B5" s="159" t="str">
        <x:v>2025年度财务、项目与产销</x:v>
      </x:c>
      <x:c r="C5" s="159" t="str">
        <x:v>公司2025年报</x:v>
      </x:c>
      <x:c r="D5" s="159" t="str">
        <x:v>FY2025</x:v>
      </x:c>
      <x:c r="E5" s="160" t="str">
        <x:v>https://www.hkexnews.hk/listedco/listconews/sehk/2026/0430/2026043002397_c.pdf</x:v>
      </x:c>
      <x:c r="F5" s="159" t="str">
        <x:v>官方；经审计；本地已归档</x:v>
      </x:c>
    </x:row>
    <x:row r="6" ht="44" customHeight="1">
      <x:c r="A6" s="19" t="str">
        <x:v>S3</x:v>
      </x:c>
      <x:c r="B6" s="159" t="str">
        <x:v>内幕交易案件不起诉决定</x:v>
      </x:c>
      <x:c r="C6" s="159" t="str">
        <x:v>公司公告</x:v>
      </x:c>
      <x:c r="D6" s="159" t="str">
        <x:v>2026-07-10</x:v>
      </x:c>
      <x:c r="E6" s="160" t="str">
        <x:v>https://static.cninfo.com.cn/finalpage/2026-07-11/1225418918.PDF</x:v>
      </x:c>
      <x:c r="F6" s="159" t="str">
        <x:v>刑事程序终结；行政处罚历史仍属治理记录</x:v>
      </x:c>
    </x:row>
    <x:row r="7" ht="44" customHeight="1">
      <x:c r="A7" s="19" t="str">
        <x:v>M1</x:v>
      </x:c>
      <x:c r="B7" s="159" t="str">
        <x:v>A股收盘价</x:v>
      </x:c>
      <x:c r="C7" s="159" t="str">
        <x:v>公开市场行情</x:v>
      </x:c>
      <x:c r="D7" s="159" t="str">
        <x:v>2026-09-04</x:v>
      </x:c>
      <x:c r="E7" s="160" t="str">
        <x:v>https://stockinvest.us/stock-price/002460.SZ</x:v>
      </x:c>
      <x:c r="F7" s="159" t="str">
        <x:v>二级市场数据；50.52元</x:v>
      </x:c>
    </x:row>
    <x:row r="8" ht="44" customHeight="1">
      <x:c r="A8" s="19" t="str">
        <x:v>I1</x:v>
      </x:c>
      <x:c r="B8" s="159" t="str">
        <x:v>碳酸锂期货主力</x:v>
      </x:c>
      <x:c r="C8" s="159" t="str">
        <x:v>广期所行情转引</x:v>
      </x:c>
      <x:c r="D8" s="159" t="str">
        <x:v>2026-09-04</x:v>
      </x:c>
      <x:c r="E8" s="160" t="str">
        <x:v>https://www.9qihuo.com/hangqing?shichang=GFEX</x:v>
      </x:c>
      <x:c r="F8" s="159" t="str">
        <x:v>主力约14.2万元/吨；高波动</x:v>
      </x:c>
    </x:row>
    <x:row r="9" ht="44" customHeight="1">
      <x:c r="A9" s="19" t="str">
        <x:v>A1</x:v>
      </x:c>
      <x:c r="B9" s="159" t="str">
        <x:v>正常化驱动与利润</x:v>
      </x:c>
      <x:c r="C9" s="159" t="str">
        <x:v>分析假设</x:v>
      </x:c>
      <x:c r="D9" s="159" t="str">
        <x:v>正常化情景</x:v>
      </x:c>
      <x:c r="E9" s="159" t="str"/>
      <x:c r="F9" s="159" t="str">
        <x:v>非公司指引或一致预期</x:v>
      </x:c>
    </x:row>
    <x:row r="10" ht="44" customHeight="1">
      <x:c r="A10" s="19" t="str">
        <x:v>A2</x:v>
      </x:c>
      <x:c r="B10" s="159" t="str">
        <x:v>P/E与P/B倍数</x:v>
      </x:c>
      <x:c r="C10" s="159" t="str">
        <x:v>分析假设</x:v>
      </x:c>
      <x:c r="D10" s="159" t="str">
        <x:v>正常化情景</x:v>
      </x:c>
      <x:c r="E10" s="159" t="str"/>
      <x:c r="F10" s="159" t="str">
        <x:v>周期股估值区间</x:v>
      </x:c>
    </x:row>
    <x:row r="11" ht="44" customHeight="1">
      <x:c r="A11" s="22" t="str">
        <x:v>C1</x:v>
      </x:c>
      <x:c r="B11" s="161" t="str">
        <x:v>净债务与自由现金流</x:v>
      </x:c>
      <x:c r="C11" s="161" t="str">
        <x:v>研究计算</x:v>
      </x:c>
      <x:c r="D11" s="161" t="str">
        <x:v>2026H1</x:v>
      </x:c>
      <x:c r="E11" s="161" t="str"/>
      <x:c r="F11" s="161" t="str">
        <x:v>按模型公式计算</x:v>
      </x:c>
    </x:row>
  </x:sheetData>
  <x:mergeCells>
    <x:mergeCell ref="A1:F1"/>
  </x:mergeCells>
  <x:pageMargins left="0.7" right="0.7" top="0.75" bottom="0.75" header="0.3" footer="0.3"/>
</x:worksheet>
</file>
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c6c4b181de48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3d6a6e9ba314eee"/>
    <x:sheet xmlns:r="http://schemas.openxmlformats.org/officeDocument/2006/relationships" name="Historical" sheetId="2" r:id="R9be0c3953af44e79"/>
    <x:sheet xmlns:r="http://schemas.openxmlformats.org/officeDocument/2006/relationships" name="Segments" sheetId="3" r:id="R2b59ded372c7499d"/>
    <x:sheet xmlns:r="http://schemas.openxmlformats.org/officeDocument/2006/relationships" name="Cash &amp; Debt" sheetId="4" r:id="R311bc9370dcc4abb"/>
    <x:sheet xmlns:r="http://schemas.openxmlformats.org/officeDocument/2006/relationships" name="Capex &amp; Returns" sheetId="5" r:id="R715ff581aac149ab"/>
    <x:sheet xmlns:r="http://schemas.openxmlformats.org/officeDocument/2006/relationships" name="Valuation" sheetId="6" r:id="Rf9ed55227caf4b8a"/>
    <x:sheet xmlns:r="http://schemas.openxmlformats.org/officeDocument/2006/relationships" name="Checks" sheetId="7" r:id="R935d48802c724846"/>
    <x:sheet xmlns:r="http://schemas.openxmlformats.org/officeDocument/2006/relationships" name="Sources Audit" sheetId="8" r:id="R54fd726ad167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5">
    <x:numFmt numFmtId="200" formatCode="yyyy-mm-dd"/>
    <x:numFmt numFmtId="201" formatCode="&quot;RMB &quot;0.00"/>
    <x:numFmt numFmtId="202" formatCode="0.0&quot; mn&quot;"/>
    <x:numFmt numFmtId="203" formatCode="0.0x"/>
    <x:numFmt numFmtId="204" formatCode="0.0%"/>
    <x:numFmt numFmtId="205" formatCode="0.0&quot; mn&quot;;[Red](0.0&quot; mn&quot;);-"/>
    <x:numFmt numFmtId="206" formatCode="0.0%;[Red](0.0%);-"/>
    <x:numFmt numFmtId="207" formatCode="0&quot; 万吨&quot;"/>
    <x:numFmt numFmtId="208" formatCode="0%"/>
    <x:numFmt numFmtId="209" formatCode="0.0&quot; 亿元&quot;"/>
    <x:numFmt numFmtId="210" formatCode="0&quot; 元/吨&quot;"/>
    <x:numFmt numFmtId="211" formatCode="0.00x"/>
    <x:numFmt numFmtId="212" formatCode="0.00"/>
    <x:numFmt numFmtId="213" formatCode="0&quot; mn&quot;"/>
    <x:numFmt numFmtId="214" formatCode="0.000"/>
  </x:numFmts>
  <x:fonts count="8">
    <x:font>
      <x:sz val="11"/>
      <x:name val="Carlito"/>
    </x:font>
    <x:font>
      <x:b/>
      <x:sz val="16"/>
      <x:color rgb="FF17365D"/>
      <x:name val="Carlito"/>
    </x:font>
    <x:font>
      <x:b/>
      <x:sz val="11"/>
      <x:color rgb="FF008000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9">
    <x:border/>
    <x:border>
      <x:bottom style="medium">
        <x:color rgb="FF1F4E78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B4C7E7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4" fillId="0" borderId="2" xfId="0" applyNumberFormat="1" applyFont="1" applyFill="1" applyBorder="1"/>
    <x:xf numFmtId="0" fontId="5" fillId="0" borderId="2" xfId="0" applyNumberFormat="1" applyFont="1" applyFill="1" applyBorder="1"/>
    <x:xf numFmtId="0" fontId="4" fillId="0" borderId="3" xfId="0" applyNumberFormat="1" applyFont="1" applyFill="1" applyBorder="1"/>
    <x:xf numFmtId="200" fontId="5" fillId="0" borderId="3" xfId="0" applyNumberFormat="1" applyFont="1" applyFill="1" applyBorder="1"/>
    <x:xf numFmtId="0" fontId="5" fillId="0" borderId="3" xfId="0" applyNumberFormat="1" applyFont="1" applyFill="1" applyBorder="1"/>
    <x:xf numFmtId="0" fontId="4" fillId="0" borderId="4" xfId="0" applyNumberFormat="1" applyFont="1" applyFill="1" applyBorder="1"/>
    <x:xf numFmtId="0" fontId="5" fillId="0" borderId="4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5" xfId="0" applyNumberFormat="1" applyFont="1" applyFill="1" applyBorder="1"/>
    <x:xf numFmtId="0" fontId="6" fillId="2" borderId="6" xfId="0" applyNumberFormat="1" applyFont="1" applyFill="1" applyBorder="1"/>
    <x:xf numFmtId="0" fontId="6" fillId="2" borderId="7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1" fontId="5" fillId="0" borderId="2" xfId="0" applyNumberFormat="1" applyFont="1" applyFill="1" applyBorder="1"/>
    <x:xf numFmtId="202" fontId="5" fillId="0" borderId="3" xfId="0" applyNumberFormat="1" applyFont="1" applyFill="1" applyBorder="1"/>
    <x:xf numFmtId="203" fontId="5" fillId="0" borderId="3" xfId="0" applyNumberFormat="1" applyFont="1" applyFill="1" applyBorder="1"/>
    <x:xf numFmtId="204" fontId="5" fillId="0" borderId="3" xfId="0" applyNumberFormat="1" applyFont="1" applyFill="1" applyBorder="1"/>
    <x:xf numFmtId="201" fontId="5" fillId="0" borderId="3" xfId="0" applyNumberFormat="1" applyFont="1" applyFill="1" applyBorder="1"/>
    <x:xf numFmtId="201" fontId="5" fillId="0" borderId="4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8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5" fontId="0" fillId="3" borderId="0" xfId="0" applyNumberFormat="1" applyFont="1" applyFill="1" applyBorder="1"/>
    <x:xf numFmtId="206" fontId="0" fillId="3" borderId="0" xfId="0" applyNumberFormat="1" applyFont="1" applyFill="1" applyBorder="1"/>
    <x:xf numFmtId="0" fontId="0" fillId="5" borderId="0" xfId="0" applyNumberFormat="1" applyFont="1" applyFill="1" applyBorder="1"/>
    <x:xf numFmtId="205" fontId="0" fillId="5" borderId="0" xfId="0" applyNumberFormat="1" applyFont="1" applyFill="1" applyBorder="1"/>
    <x:xf numFmtId="206" fontId="0" fillId="5" borderId="0" xfId="0" applyNumberFormat="1" applyFont="1" applyFill="1" applyBorder="1"/>
    <x:xf numFmtId="0" fontId="0" fillId="6" borderId="0" xfId="0" applyNumberFormat="1" applyFont="1" applyFill="1" applyBorder="1"/>
    <x:xf numFmtId="205" fontId="0" fillId="6" borderId="0" xfId="0" applyNumberFormat="1" applyFont="1" applyFill="1" applyBorder="1"/>
    <x:xf numFmtId="205" fontId="5" fillId="0" borderId="0" xfId="0" applyNumberFormat="1" applyFont="1" applyFill="1" applyBorder="1"/>
    <x:xf numFmtId="206" fontId="5" fillId="0" borderId="0" xfId="0" applyNumberFormat="1" applyFont="1" applyFill="1" applyBorder="1"/>
    <x:xf numFmtId="0" fontId="5" fillId="3" borderId="0" xfId="0" applyNumberFormat="1" applyFont="1" applyFill="1" applyBorder="1"/>
    <x:xf numFmtId="205" fontId="5" fillId="3" borderId="0" xfId="0" applyNumberFormat="1" applyFont="1" applyFill="1" applyBorder="1"/>
    <x:xf numFmtId="206" fontId="5" fillId="3" borderId="0" xfId="0" applyNumberFormat="1" applyFont="1" applyFill="1" applyBorder="1"/>
    <x:xf numFmtId="0" fontId="5" fillId="5" borderId="0" xfId="0" applyNumberFormat="1" applyFont="1" applyFill="1" applyBorder="1"/>
    <x:xf numFmtId="205" fontId="5" fillId="5" borderId="0" xfId="0" applyNumberFormat="1" applyFont="1" applyFill="1" applyBorder="1"/>
    <x:xf numFmtId="206" fontId="5" fillId="5" borderId="0" xfId="0" applyNumberFormat="1" applyFont="1" applyFill="1" applyBorder="1"/>
    <x:xf numFmtId="0" fontId="5" fillId="6" borderId="0" xfId="0" applyNumberFormat="1" applyFont="1" applyFill="1" applyBorder="1"/>
    <x:xf numFmtId="205" fontId="5" fillId="6" borderId="0" xfId="0" applyNumberFormat="1" applyFont="1" applyFill="1" applyBorder="1"/>
    <x:xf numFmtId="205" fontId="5" fillId="0" borderId="2" xfId="0" applyNumberFormat="1" applyFont="1" applyFill="1" applyBorder="1"/>
    <x:xf numFmtId="206" fontId="5" fillId="0" borderId="3" xfId="0" applyNumberFormat="1" applyFont="1" applyFill="1" applyBorder="1"/>
    <x:xf numFmtId="205" fontId="5" fillId="0" borderId="3" xfId="0" applyNumberFormat="1" applyFont="1" applyFill="1" applyBorder="1"/>
    <x:xf numFmtId="0" fontId="5" fillId="3" borderId="3" xfId="0" applyNumberFormat="1" applyFont="1" applyFill="1" applyBorder="1"/>
    <x:xf numFmtId="205" fontId="5" fillId="3" borderId="3" xfId="0" applyNumberFormat="1" applyFont="1" applyFill="1" applyBorder="1"/>
    <x:xf numFmtId="206" fontId="5" fillId="3" borderId="3" xfId="0" applyNumberFormat="1" applyFont="1" applyFill="1" applyBorder="1"/>
    <x:xf numFmtId="0" fontId="5" fillId="5" borderId="3" xfId="0" applyNumberFormat="1" applyFont="1" applyFill="1" applyBorder="1"/>
    <x:xf numFmtId="205" fontId="5" fillId="5" borderId="3" xfId="0" applyNumberFormat="1" applyFont="1" applyFill="1" applyBorder="1"/>
    <x:xf numFmtId="206" fontId="5" fillId="5" borderId="3" xfId="0" applyNumberFormat="1" applyFont="1" applyFill="1" applyBorder="1"/>
    <x:xf numFmtId="0" fontId="5" fillId="6" borderId="3" xfId="0" applyNumberFormat="1" applyFont="1" applyFill="1" applyBorder="1"/>
    <x:xf numFmtId="205" fontId="5" fillId="6" borderId="3" xfId="0" applyNumberFormat="1" applyFont="1" applyFill="1" applyBorder="1"/>
    <x:xf numFmtId="206" fontId="5" fillId="0" borderId="4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5" fillId="0" borderId="0" xfId="0" applyNumberFormat="1" applyFont="1" applyFill="1" applyBorder="1"/>
    <x:xf numFmtId="208" fontId="5" fillId="0" borderId="0" xfId="0" applyNumberFormat="1" applyFont="1" applyFill="1" applyBorder="1"/>
    <x:xf numFmtId="202" fontId="5" fillId="0" borderId="2" xfId="0" applyNumberFormat="1" applyFont="1" applyFill="1" applyBorder="1"/>
    <x:xf numFmtId="204" fontId="5" fillId="0" borderId="2" xfId="0" applyNumberFormat="1" applyFont="1" applyFill="1" applyBorder="1"/>
    <x:xf numFmtId="207" fontId="5" fillId="0" borderId="2" xfId="0" applyNumberFormat="1" applyFont="1" applyFill="1" applyBorder="1"/>
    <x:xf numFmtId="208" fontId="5" fillId="0" borderId="2" xfId="0" applyNumberFormat="1" applyFont="1" applyFill="1" applyBorder="1"/>
    <x:xf numFmtId="207" fontId="5" fillId="0" borderId="3" xfId="0" applyNumberFormat="1" applyFont="1" applyFill="1" applyBorder="1"/>
    <x:xf numFmtId="208" fontId="5" fillId="0" borderId="3" xfId="0" applyNumberFormat="1" applyFont="1" applyFill="1" applyBorder="1"/>
    <x:xf numFmtId="202" fontId="5" fillId="0" borderId="4" xfId="0" applyNumberFormat="1" applyFont="1" applyFill="1" applyBorder="1"/>
    <x:xf numFmtId="204" fontId="5" fillId="0" borderId="4" xfId="0" applyNumberFormat="1" applyFont="1" applyFill="1" applyBorder="1"/>
    <x:xf numFmtId="207" fontId="5" fillId="0" borderId="4" xfId="0" applyNumberFormat="1" applyFont="1" applyFill="1" applyBorder="1"/>
    <x:xf numFmtId="208" fontId="5" fillId="0" borderId="4" xfId="0" applyNumberFormat="1" applyFont="1" applyFill="1" applyBorder="1"/>
    <x:xf numFmtId="209" fontId="0" fillId="0" borderId="0" xfId="0" applyNumberFormat="1" applyFont="1" applyFill="1" applyBorder="1"/>
    <x:xf numFmtId="202" fontId="0" fillId="5" borderId="0" xfId="0" applyNumberFormat="1" applyFont="1" applyFill="1" applyBorder="1"/>
    <x:xf numFmtId="204" fontId="0" fillId="5" borderId="0" xfId="0" applyNumberFormat="1" applyFont="1" applyFill="1" applyBorder="1"/>
    <x:xf numFmtId="209" fontId="0" fillId="5" borderId="0" xfId="0" applyNumberFormat="1" applyFont="1" applyFill="1" applyBorder="1"/>
    <x:xf numFmtId="209" fontId="5" fillId="0" borderId="0" xfId="0" applyNumberFormat="1" applyFont="1" applyFill="1" applyBorder="1"/>
    <x:xf numFmtId="202" fontId="5" fillId="5" borderId="0" xfId="0" applyNumberFormat="1" applyFont="1" applyFill="1" applyBorder="1"/>
    <x:xf numFmtId="204" fontId="5" fillId="5" borderId="0" xfId="0" applyNumberFormat="1" applyFont="1" applyFill="1" applyBorder="1"/>
    <x:xf numFmtId="209" fontId="5" fillId="5" borderId="0" xfId="0" applyNumberFormat="1" applyFont="1" applyFill="1" applyBorder="1"/>
    <x:xf numFmtId="209" fontId="5" fillId="0" borderId="2" xfId="0" applyNumberFormat="1" applyFont="1" applyFill="1" applyBorder="1"/>
    <x:xf numFmtId="202" fontId="5" fillId="5" borderId="3" xfId="0" applyNumberFormat="1" applyFont="1" applyFill="1" applyBorder="1"/>
    <x:xf numFmtId="204" fontId="5" fillId="5" borderId="3" xfId="0" applyNumberFormat="1" applyFont="1" applyFill="1" applyBorder="1"/>
    <x:xf numFmtId="209" fontId="5" fillId="5" borderId="3" xfId="0" applyNumberFormat="1" applyFont="1" applyFill="1" applyBorder="1"/>
    <x:xf numFmtId="209" fontId="5" fillId="0" borderId="4" xfId="0" applyNumberFormat="1" applyFont="1" applyFill="1" applyBorder="1"/>
    <x:xf numFmtId="210" fontId="0" fillId="0" borderId="0" xfId="0" applyNumberFormat="1" applyFont="1" applyFill="1" applyBorder="1"/>
    <x:xf numFmtId="210" fontId="5" fillId="0" borderId="0" xfId="0" applyNumberFormat="1" applyFont="1" applyFill="1" applyBorder="1"/>
    <x:xf numFmtId="210" fontId="5" fillId="0" borderId="2" xfId="0" applyNumberFormat="1" applyFont="1" applyFill="1" applyBorder="1"/>
    <x:xf numFmtId="210" fontId="5" fillId="0" borderId="3" xfId="0" applyNumberFormat="1" applyFont="1" applyFill="1" applyBorder="1"/>
    <x:xf numFmtId="210" fontId="5" fillId="0" borderId="4" xfId="0" applyNumberFormat="1" applyFont="1" applyFill="1" applyBorder="1"/>
    <x:xf numFmtId="211" fontId="0" fillId="0" borderId="0" xfId="0" applyNumberFormat="1" applyFont="1" applyFill="1" applyBorder="1"/>
    <x:xf numFmtId="202" fontId="0" fillId="6" borderId="0" xfId="0" applyNumberFormat="1" applyFont="1" applyFill="1" applyBorder="1"/>
    <x:xf numFmtId="204" fontId="0" fillId="6" borderId="0" xfId="0" applyNumberFormat="1" applyFont="1" applyFill="1" applyBorder="1"/>
    <x:xf numFmtId="0" fontId="3" fillId="6" borderId="0" xfId="0" applyNumberFormat="1" applyFont="1" applyFill="1" applyBorder="1"/>
    <x:xf numFmtId="202" fontId="3" fillId="6" borderId="0" xfId="0" applyNumberFormat="1" applyFont="1" applyFill="1" applyBorder="1"/>
    <x:xf numFmtId="204" fontId="3" fillId="6" borderId="0" xfId="0" applyNumberFormat="1" applyFont="1" applyFill="1" applyBorder="1"/>
    <x:xf numFmtId="0" fontId="4" fillId="6" borderId="0" xfId="0" applyNumberFormat="1" applyFont="1" applyFill="1" applyBorder="1"/>
    <x:xf numFmtId="202" fontId="4" fillId="6" borderId="0" xfId="0" applyNumberFormat="1" applyFont="1" applyFill="1" applyBorder="1"/>
    <x:xf numFmtId="204" fontId="4" fillId="6" borderId="0" xfId="0" applyNumberFormat="1" applyFont="1" applyFill="1" applyBorder="1"/>
    <x:xf numFmtId="211" fontId="5" fillId="0" borderId="0" xfId="0" applyNumberFormat="1" applyFont="1" applyFill="1" applyBorder="1"/>
    <x:xf numFmtId="0" fontId="4" fillId="6" borderId="3" xfId="0" applyNumberFormat="1" applyFont="1" applyFill="1" applyBorder="1"/>
    <x:xf numFmtId="202" fontId="4" fillId="6" borderId="3" xfId="0" applyNumberFormat="1" applyFont="1" applyFill="1" applyBorder="1"/>
    <x:xf numFmtId="204" fontId="4" fillId="6" borderId="3" xfId="0" applyNumberFormat="1" applyFont="1" applyFill="1" applyBorder="1"/>
    <x:xf numFmtId="211" fontId="5" fillId="0" borderId="3" xfId="0" applyNumberFormat="1" applyFont="1" applyFill="1" applyBorder="1"/>
    <x:xf numFmtId="203" fontId="5" fillId="0" borderId="4" xfId="0" applyNumberFormat="1" applyFont="1" applyFill="1" applyBorder="1"/>
    <x:xf numFmtId="212" fontId="0" fillId="0" borderId="0" xfId="0" applyNumberFormat="1" applyFont="1" applyFill="1" applyBorder="1"/>
    <x:xf numFmtId="212" fontId="5" fillId="0" borderId="0" xfId="0" applyNumberFormat="1" applyFont="1" applyFill="1" applyBorder="1"/>
    <x:xf numFmtId="212" fontId="5" fillId="0" borderId="2" xfId="0" applyNumberFormat="1" applyFont="1" applyFill="1" applyBorder="1"/>
    <x:xf numFmtId="212" fontId="5" fillId="0" borderId="3" xfId="0" applyNumberFormat="1" applyFont="1" applyFill="1" applyBorder="1"/>
    <x:xf numFmtId="202" fontId="0" fillId="3" borderId="0" xfId="0" applyNumberFormat="1" applyFont="1" applyFill="1" applyBorder="1"/>
    <x:xf numFmtId="204" fontId="0" fillId="3" borderId="0" xfId="0" applyNumberFormat="1" applyFont="1" applyFill="1" applyBorder="1"/>
    <x:xf numFmtId="202" fontId="5" fillId="3" borderId="0" xfId="0" applyNumberFormat="1" applyFont="1" applyFill="1" applyBorder="1"/>
    <x:xf numFmtId="204" fontId="5" fillId="3" borderId="0" xfId="0" applyNumberFormat="1" applyFont="1" applyFill="1" applyBorder="1"/>
    <x:xf numFmtId="202" fontId="5" fillId="3" borderId="3" xfId="0" applyNumberFormat="1" applyFont="1" applyFill="1" applyBorder="1"/>
    <x:xf numFmtId="204" fontId="5" fillId="3" borderId="3" xfId="0" applyNumberFormat="1" applyFont="1" applyFill="1" applyBorder="1"/>
    <x:xf numFmtId="0" fontId="7" fillId="0" borderId="0" xfId="0" applyNumberFormat="1" applyFont="1" applyFill="1" applyBorder="1"/>
    <x:xf numFmtId="213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13" fontId="7" fillId="5" borderId="0" xfId="0" applyNumberFormat="1" applyFont="1" applyFill="1" applyBorder="1"/>
    <x:xf numFmtId="203" fontId="7" fillId="5" borderId="0" xfId="0" applyNumberFormat="1" applyFont="1" applyFill="1" applyBorder="1"/>
    <x:xf numFmtId="201" fontId="0" fillId="5" borderId="0" xfId="0" applyNumberFormat="1" applyFont="1" applyFill="1" applyBorder="1"/>
    <x:xf numFmtId="201" fontId="7" fillId="5" borderId="0" xfId="0" applyNumberFormat="1" applyFont="1" applyFill="1" applyBorder="1"/>
    <x:xf numFmtId="213" fontId="5" fillId="0" borderId="0" xfId="0" applyNumberFormat="1" applyFont="1" applyFill="1" applyBorder="1"/>
    <x:xf numFmtId="213" fontId="5" fillId="5" borderId="0" xfId="0" applyNumberFormat="1" applyFont="1" applyFill="1" applyBorder="1"/>
    <x:xf numFmtId="203" fontId="5" fillId="5" borderId="0" xfId="0" applyNumberFormat="1" applyFont="1" applyFill="1" applyBorder="1"/>
    <x:xf numFmtId="201" fontId="5" fillId="5" borderId="0" xfId="0" applyNumberFormat="1" applyFont="1" applyFill="1" applyBorder="1"/>
    <x:xf numFmtId="213" fontId="5" fillId="0" borderId="2" xfId="0" applyNumberFormat="1" applyFont="1" applyFill="1" applyBorder="1"/>
    <x:xf numFmtId="203" fontId="5" fillId="0" borderId="2" xfId="0" applyNumberFormat="1" applyFont="1" applyFill="1" applyBorder="1"/>
    <x:xf numFmtId="213" fontId="5" fillId="5" borderId="3" xfId="0" applyNumberFormat="1" applyFont="1" applyFill="1" applyBorder="1"/>
    <x:xf numFmtId="203" fontId="5" fillId="5" borderId="3" xfId="0" applyNumberFormat="1" applyFont="1" applyFill="1" applyBorder="1"/>
    <x:xf numFmtId="201" fontId="5" fillId="5" borderId="3" xfId="0" applyNumberFormat="1" applyFont="1" applyFill="1" applyBorder="1"/>
    <x:xf numFmtId="213" fontId="5" fillId="0" borderId="4" xfId="0" applyNumberFormat="1" applyFont="1" applyFill="1" applyBorder="1"/>
    <x:xf numFmtId="201" fontId="3" fillId="5" borderId="0" xfId="0" applyNumberFormat="1" applyFont="1" applyFill="1" applyBorder="1"/>
    <x:xf numFmtId="201" fontId="4" fillId="5" borderId="0" xfId="0" applyNumberFormat="1" applyFont="1" applyFill="1" applyBorder="1"/>
    <x:xf numFmtId="201" fontId="4" fillId="5" borderId="3" xfId="0" applyNumberFormat="1" applyFont="1" applyFill="1" applyBorder="1"/>
    <x:xf numFmtId="0" fontId="2" fillId="2" borderId="7" xfId="0" applyNumberFormat="1" applyFont="1" applyFill="1" applyBorder="1"/>
    <x:xf numFmtId="214" fontId="0" fillId="0" borderId="0" xfId="0" applyNumberFormat="1" applyFont="1" applyFill="1" applyBorder="1"/>
    <x:xf numFmtId="214" fontId="5" fillId="0" borderId="0" xfId="0" applyNumberFormat="1" applyFont="1" applyFill="1" applyBorder="1"/>
    <x:xf numFmtId="214" fontId="5" fillId="0" borderId="2" xfId="0" applyNumberFormat="1" applyFont="1" applyFill="1" applyBorder="1"/>
    <x:xf numFmtId="214" fontId="5" fillId="0" borderId="3" xfId="0" applyNumberFormat="1" applyFont="1" applyFill="1" applyBorder="1"/>
    <x:xf numFmtId="214" fontId="5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1f713296724352" /><Relationship Type="http://schemas.openxmlformats.org/officeDocument/2006/relationships/theme" Target="/xl/theme/theme1.xml" Id="R859e74a1ab6c4db6" /><Relationship Type="http://schemas.openxmlformats.org/officeDocument/2006/relationships/sharedStrings" Target="/xl/sharedStrings.xml" Id="R7dfe654b2f654a87" /><Relationship Type="http://schemas.openxmlformats.org/officeDocument/2006/relationships/worksheet" Target="/xl/worksheets/sheet1.xml" Id="R13d6a6e9ba314eee" /><Relationship Type="http://schemas.openxmlformats.org/officeDocument/2006/relationships/worksheet" Target="/xl/worksheets/sheet2.xml" Id="R9be0c3953af44e79" /><Relationship Type="http://schemas.openxmlformats.org/officeDocument/2006/relationships/worksheet" Target="/xl/worksheets/sheet3.xml" Id="R2b59ded372c7499d" /><Relationship Type="http://schemas.openxmlformats.org/officeDocument/2006/relationships/worksheet" Target="/xl/worksheets/sheet4.xml" Id="R311bc9370dcc4abb" /><Relationship Type="http://schemas.openxmlformats.org/officeDocument/2006/relationships/worksheet" Target="/xl/worksheets/sheet5.xml" Id="R715ff581aac149ab" /><Relationship Type="http://schemas.openxmlformats.org/officeDocument/2006/relationships/worksheet" Target="/xl/worksheets/sheet6.xml" Id="Rf9ed55227caf4b8a" /><Relationship Type="http://schemas.openxmlformats.org/officeDocument/2006/relationships/worksheet" Target="/xl/worksheets/sheet7.xml" Id="R935d48802c724846" /><Relationship Type="http://schemas.openxmlformats.org/officeDocument/2006/relationships/worksheet" Target="/xl/worksheets/sheet8.xml" Id="R54fd726ad16746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8e7c98dd9534b56" /><Relationship Type="http://schemas.openxmlformats.org/officeDocument/2006/relationships/chart" Target="/xl/drawings/charts/chart2.xml" Id="R9a51c3cea39b47a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情景价值与当前价格（元/股）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情景价值</c:v>
          </c:tx>
          <c:spPr>
            <a:solidFill xmlns:a="http://schemas.openxmlformats.org/drawingml/2006/main">
              <a:srgbClr val="17365D"/>
            </a:solidFill>
          </c:spPr>
          <c:cat>
            <c:strRef>
              <c:f>'Valuation'!$A$18:$A$20</c:f>
              <c:strCache>
                <c:ptCount val="0"/>
              </c:strCache>
            </c:strRef>
          </c:cat>
          <c:val>
            <c:numRef>
              <c:f>'Valuation'!$H$18:$H$20</c:f>
              <c:numCache>
                <c:formatCode>"RMB "0</c:formatCode>
                <c:ptCount val="0"/>
              </c:numCache>
            </c:numRef>
          </c:val>
        </c:ser>
        <c:ser>
          <c:idx val="1"/>
          <c:order val="1"/>
          <c:tx>
            <c:v>当前价格</c:v>
          </c:tx>
          <c:spPr>
            <a:solidFill xmlns:a="http://schemas.openxmlformats.org/drawingml/2006/main">
              <a:srgbClr val="C9A227"/>
            </a:solidFill>
          </c:spPr>
          <c:cat>
            <c:strRef>
              <c:f>'Valuation'!$A$18:$A$20</c:f>
              <c:strCache>
                <c:ptCount val="0"/>
              </c:strCache>
            </c:strRef>
          </c:cat>
          <c:val>
            <c:numRef>
              <c:f>'Cover'!$J$3:$J$5</c:f>
              <c:numCache>
                <c:formatCode>"RMB "0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7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RMB &quot;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2026H1分部毛利润（亿元）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毛利润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'Segments'!$A$11:$A$14</c:f>
              <c:strCache>
                <c:ptCount val="0"/>
              </c:strCache>
            </c:strRef>
          </c:cat>
          <c:val>
            <c:numRef>
              <c:f>'Segments'!$F$11:$F$14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4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e7c98dd9534b56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8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51c3cea39b47a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e3999f326b42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3" t="str">
        <x:v>万华化学（600309.SH）周期盈利与资本回报模型</x:v>
      </x:c>
      <x:c r="B1" s="3" t="str">
        <x:v>万华化学（600309.SH）周期盈利与资本回报模型</x:v>
      </x:c>
      <x:c r="C1" s="3" t="str">
        <x:v>万华化学（600309.SH）周期盈利与资本回报模型</x:v>
      </x:c>
      <x:c r="D1" s="3" t="str">
        <x:v>万华化学（600309.SH）周期盈利与资本回报模型</x:v>
      </x:c>
      <x:c r="E1" s="3" t="str">
        <x:v>万华化学（600309.SH）周期盈利与资本回报模型</x:v>
      </x:c>
      <x:c r="F1" s="3" t="str">
        <x:v>万华化学（600309.SH）周期盈利与资本回报模型</x:v>
      </x:c>
      <x:c r="G1" s="3" t="str">
        <x:v>万华化学（600309.SH）周期盈利与资本回报模型</x:v>
      </x:c>
      <x:c r="H1" s="3" t="str">
        <x:v>万华化学（600309.SH）周期盈利与资本回报模型</x:v>
      </x:c>
    </x:row>
    <x:row r="2">
      <x:c r="J2" t="str">
        <x:v>当前价格</x:v>
      </x:c>
    </x:row>
    <x:row r="3">
      <x:c r="A3" s="10" t="str">
        <x:v>公司</x:v>
      </x:c>
      <x:c r="B3" s="11" t="str">
        <x:v>万华化学集团股份有限公司</x:v>
      </x:c>
      <x:c r="J3" t="n">
        <x:f>'Valuation'!$B$4</x:f>
        <x:v>77.15</x:v>
      </x:c>
    </x:row>
    <x:row r="4">
      <x:c r="A4" s="12" t="str">
        <x:v>价格基准</x:v>
      </x:c>
      <x:c r="B4" s="13" t="n">
        <x:v>46275</x:v>
      </x:c>
      <x:c r="J4" t="n">
        <x:f>'Valuation'!$B$4</x:f>
        <x:v>77.15</x:v>
      </x:c>
    </x:row>
    <x:row r="5">
      <x:c r="A5" s="12" t="str">
        <x:v>资料截止</x:v>
      </x:c>
      <x:c r="B5" s="14" t="str">
        <x:v>2026-09-11</x:v>
      </x:c>
      <x:c r="J5" t="n">
        <x:f>'Valuation'!$B$4</x:f>
        <x:v>77.15</x:v>
      </x:c>
    </x:row>
    <x:row r="6">
      <x:c r="A6" s="12" t="str">
        <x:v>单位</x:v>
      </x:c>
      <x:c r="B6" s="14" t="str">
        <x:v>人民币百万元；每股价值为人民币</x:v>
      </x:c>
    </x:row>
    <x:row r="7">
      <x:c r="A7" s="12" t="str">
        <x:v>估值框架</x:v>
      </x:c>
      <x:c r="B7" s="14" t="str">
        <x:v>70% 2027E扣非P/E + 30% 2027E P/B</x:v>
      </x:c>
    </x:row>
    <x:row r="8">
      <x:c r="A8" s="12" t="str">
        <x:v>当前判断</x:v>
      </x:c>
      <x:c r="B8" s="14" t="str">
        <x:v>中性偏积极，等待现金流与降杠杆继续验证</x:v>
      </x:c>
    </x:row>
    <x:row r="9">
      <x:c r="A9" s="12" t="str">
        <x:v>模型状态</x:v>
      </x:c>
      <x:c r="B9" s="12" t="str">
        <x:f>'Checks'!F2</x:f>
        <x:v>ALL CHECKS OK</x:v>
      </x:c>
    </x:row>
    <x:row r="10">
      <x:c r="A10" s="12" t="str">
        <x:v>核心矛盾</x:v>
      </x:c>
      <x:c r="B10" s="14" t="str">
        <x:v>多板块修复能否覆盖扩产、折旧和杠杆压力</x:v>
      </x:c>
    </x:row>
    <x:row r="11">
      <x:c r="A11" s="12" t="str">
        <x:v>价格口径</x:v>
      </x:c>
      <x:c r="B11" s="14" t="str">
        <x:v>9月10日含2026H1每股0.81元分红</x:v>
      </x:c>
    </x:row>
    <x:row r="12">
      <x:c r="A12" s="15" t="str">
        <x:v>用途</x:v>
      </x:c>
      <x:c r="B12" s="16" t="str">
        <x:v>研究与情景分析；不构成个性化投资建议</x:v>
      </x:c>
    </x:row>
    <x:row r="14">
      <x:c r="A14" s="19" t="str">
        <x:v>关键输出</x:v>
      </x:c>
      <x:c r="B14" s="20" t="str">
        <x:v>数值</x:v>
      </x:c>
      <x:c r="C14" s="21" t="str">
        <x:v>说明</x:v>
      </x:c>
    </x:row>
    <x:row r="15">
      <x:c r="A15" s="11" t="str">
        <x:v>收盘价</x:v>
      </x:c>
      <x:c r="B15" s="30" t="n">
        <x:f>'Valuation'!B4</x:f>
        <x:v>77.15</x:v>
      </x:c>
      <x:c r="C15" s="11" t="str">
        <x:v>2026-09-10</x:v>
      </x:c>
    </x:row>
    <x:row r="16">
      <x:c r="A16" s="14" t="str">
        <x:v>市值</x:v>
      </x:c>
      <x:c r="B16" s="31" t="n">
        <x:f>'Valuation'!B6</x:f>
        <x:v>241515.88594590002</x:v>
      </x:c>
      <x:c r="C16" s="14" t="str">
        <x:v>按期末总股本</x:v>
      </x:c>
    </x:row>
    <x:row r="17">
      <x:c r="A17" s="14" t="str">
        <x:v>TTM报告归母</x:v>
      </x:c>
      <x:c r="B17" s="31" t="n">
        <x:f>'Historical'!G14</x:f>
        <x:v>16467.434999999998</x:v>
      </x:c>
      <x:c r="C17" s="14" t="str">
        <x:v>报表口径</x:v>
      </x:c>
    </x:row>
    <x:row r="18">
      <x:c r="A18" s="14" t="str">
        <x:v>TTM扣非归母</x:v>
      </x:c>
      <x:c r="B18" s="31" t="n">
        <x:f>'Historical'!G15</x:f>
        <x:v>15575.5</x:v>
      </x:c>
      <x:c r="C18" s="14" t="str">
        <x:v>周期盈利锚</x:v>
      </x:c>
    </x:row>
    <x:row r="19">
      <x:c r="A19" s="14" t="str">
        <x:v>TTM报告P/E</x:v>
      </x:c>
      <x:c r="B19" s="32" t="n">
        <x:f>'Valuation'!B9</x:f>
        <x:v>14.666272309312289</x:v>
      </x:c>
      <x:c r="C19" s="14" t="str">
        <x:v>报表口径</x:v>
      </x:c>
    </x:row>
    <x:row r="20">
      <x:c r="A20" s="14" t="str">
        <x:v>TTM扣非P/E</x:v>
      </x:c>
      <x:c r="B20" s="32" t="n">
        <x:f>'Valuation'!B10</x:f>
        <x:v>15.506141148087778</x:v>
      </x:c>
      <x:c r="C20" s="14" t="str">
        <x:v>核心估值校验</x:v>
      </x:c>
    </x:row>
    <x:row r="21">
      <x:c r="A21" s="14" t="str">
        <x:v>2026H1综合毛利率</x:v>
      </x:c>
      <x:c r="B21" s="33" t="n">
        <x:f>'Historical'!F8</x:f>
        <x:v>0.17084190916976466</x:v>
      </x:c>
      <x:c r="C21" s="14" t="str">
        <x:v>同比+3.24pct</x:v>
      </x:c>
    </x:row>
    <x:row r="22">
      <x:c r="A22" s="14" t="str">
        <x:v>2026H1石化毛利率</x:v>
      </x:c>
      <x:c r="B22" s="33" t="n">
        <x:f>'Segments'!E12</x:f>
        <x:v>0.0680386819059582</x:v>
      </x:c>
      <x:c r="C22" s="14" t="str">
        <x:v>由负转正</x:v>
      </x:c>
    </x:row>
    <x:row r="23">
      <x:c r="A23" s="14" t="str">
        <x:v>研究口径净负债</x:v>
      </x:c>
      <x:c r="B23" s="31" t="n">
        <x:f>'Cash &amp; Debt'!B15</x:f>
        <x:v>98003.707</x:v>
      </x:c>
      <x:c r="C23" s="14" t="str">
        <x:v>含租赁与短期融资票据</x:v>
      </x:c>
    </x:row>
    <x:row r="24">
      <x:c r="A24" s="14" t="str">
        <x:v>TTM简化自由现金流</x:v>
      </x:c>
      <x:c r="B24" s="31" t="n">
        <x:f>'Historical'!G19</x:f>
        <x:v>9940.045999999998</x:v>
      </x:c>
      <x:c r="C24" s="14" t="str">
        <x:v>未计非现金购建资产</x:v>
      </x:c>
    </x:row>
    <x:row r="25">
      <x:c r="A25" s="14" t="str">
        <x:v>历史现金股息率</x:v>
      </x:c>
      <x:c r="B25" s="33" t="n">
        <x:f>'Valuation'!B13</x:f>
        <x:v>0.026701231367465973</x:v>
      </x:c>
      <x:c r="C25" s="14" t="str">
        <x:v>1.25+0.81元/股</x:v>
      </x:c>
    </x:row>
    <x:row r="26">
      <x:c r="A26" s="14" t="str">
        <x:v>Bear价值</x:v>
      </x:c>
      <x:c r="B26" s="34" t="n">
        <x:f>'Valuation'!H18</x:f>
        <x:v>51.98570582294107</x:v>
      </x:c>
      <x:c r="C26" s="14" t="str">
        <x:v>价差与回报承压</x:v>
      </x:c>
    </x:row>
    <x:row r="27">
      <x:c r="A27" s="14" t="str">
        <x:v>Base价值</x:v>
      </x:c>
      <x:c r="B27" s="34" t="n">
        <x:f>'Valuation'!H19</x:f>
        <x:v>95.46254381092416</x:v>
      </x:c>
      <x:c r="C27" s="14" t="str">
        <x:v>修复延续、杠杆下降</x:v>
      </x:c>
    </x:row>
    <x:row r="28">
      <x:c r="A28" s="16" t="str">
        <x:v>Bull价值</x:v>
      </x:c>
      <x:c r="B28" s="35" t="n">
        <x:f>'Valuation'!H20</x:f>
        <x:v>148.51402770062992</x:v>
      </x:c>
      <x:c r="C28" s="16" t="str">
        <x:v>多产品链景气共振</x:v>
      </x:c>
    </x:row>
    <x:row r="30">
      <x:c r="A30" s="19" t="str">
        <x:v>研究结论</x:v>
      </x:c>
      <x:c r="B30" s="20" t="str">
        <x:v>研究结论</x:v>
      </x:c>
      <x:c r="C30" s="20" t="str">
        <x:v>研究结论</x:v>
      </x:c>
      <x:c r="D30" s="20" t="str">
        <x:v>研究结论</x:v>
      </x:c>
      <x:c r="E30" s="20" t="str">
        <x:v>研究结论</x:v>
      </x:c>
      <x:c r="F30" s="20" t="str">
        <x:v>研究结论</x:v>
      </x:c>
      <x:c r="G30" s="20" t="str">
        <x:v>研究结论</x:v>
      </x:c>
      <x:c r="H30" s="21" t="str">
        <x:v>研究结论</x:v>
      </x:c>
    </x:row>
    <x:row r="31">
      <x:c r="A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1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2">
      <x:c r="A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2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3">
      <x:c r="A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3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4">
      <x:c r="A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4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5">
      <x:c r="A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5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6">
      <x:c r="A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6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7">
      <x:c r="A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7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8">
      <x:c r="A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8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39">
      <x:c r="A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39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  <x:row r="40">
      <x:c r="A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B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C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D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E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F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G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  <x:c r="H40" s="38" t="str">
        <x:v>2026H1收入增长31.3%、扣非归母增长55.0%，聚氨酯毛利率27.05%，石化由-0.37%修复至6.80%，精细化学品及新材料升至16.28%，改善具有多板块来源。77.15元对应TTM扣非P/E约15.5倍、P/B约2.13倍。Base按2027E扣非归母200亿元、15倍P/E及2.2倍P/B加权，价值95.46元。主要制约是短期借款翻倍、研究口径净负债约980亿元，以及H1另有约125.41亿元债务购建固定资产；应以利润修复和降杠杆同时兑现作为上调估值条件。</x:v>
      </x:c>
    </x:row>
  </x:sheetData>
  <x:mergeCells>
    <x:mergeCell ref="A1:H1"/>
    <x:mergeCell ref="A30:H30"/>
    <x:mergeCell ref="A31:H40"/>
  </x:mergeCells>
  <x:pageMargins left="0.7" right="0.7" top="0.75" bottom="0.75" header="0.3" footer="0.3"/>
  <x:drawing xmlns:r="http://schemas.openxmlformats.org/officeDocument/2006/relationships" r:id="Ra9e3999f326b42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30" customHeight="1">
      <x:c r="A1" s="3" t="str">
        <x:v>历史财务、正常化盈利与现金流</x:v>
      </x:c>
      <x:c r="B1" s="3" t="str">
        <x:v>历史财务、正常化盈利与现金流</x:v>
      </x:c>
      <x:c r="C1" s="3" t="str">
        <x:v>历史财务、正常化盈利与现金流</x:v>
      </x:c>
      <x:c r="D1" s="3" t="str">
        <x:v>历史财务、正常化盈利与现金流</x:v>
      </x:c>
      <x:c r="E1" s="3" t="str">
        <x:v>历史财务、正常化盈利与现金流</x:v>
      </x:c>
      <x:c r="F1" s="3" t="str">
        <x:v>历史财务、正常化盈利与现金流</x:v>
      </x:c>
      <x:c r="G1" s="3" t="str">
        <x:v>历史财务、正常化盈利与现金流</x:v>
      </x:c>
    </x:row>
    <x:row r="3">
      <x:c r="A3" s="41" t="str">
        <x:v>指标（RMB mn）</x:v>
      </x:c>
      <x:c r="B3" s="41" t="str">
        <x:v>2023A</x:v>
      </x:c>
      <x:c r="C3" s="41" t="str">
        <x:v>2024A</x:v>
      </x:c>
      <x:c r="D3" s="41" t="str">
        <x:v>2025A</x:v>
      </x:c>
      <x:c r="E3" s="41" t="str">
        <x:v>2025H1</x:v>
      </x:c>
      <x:c r="F3" s="41" t="str">
        <x:v>2026H1</x:v>
      </x:c>
      <x:c r="G3" s="41" t="str">
        <x:v>TTM</x:v>
      </x:c>
    </x:row>
    <x:row r="4">
      <x:c r="A4" s="11" t="str">
        <x:v>营业收入</x:v>
      </x:c>
      <x:c r="B4" s="61" t="n">
        <x:v>175360.936</x:v>
      </x:c>
      <x:c r="C4" s="61" t="n">
        <x:v>182069.119</x:v>
      </x:c>
      <x:c r="D4" s="61" t="n">
        <x:v>203234.574</x:v>
      </x:c>
      <x:c r="E4" s="61" t="n">
        <x:v>90901.437</x:v>
      </x:c>
      <x:c r="F4" s="61" t="n">
        <x:v>119315.864</x:v>
      </x:c>
      <x:c r="G4" s="61" t="n">
        <x:f>D4-E4+F4</x:f>
        <x:v>231649.001</x:v>
      </x:c>
    </x:row>
    <x:row r="5">
      <x:c r="A5" s="14" t="str">
        <x:v>同比增长</x:v>
      </x:c>
      <x:c r="B5" s="62"/>
      <x:c r="C5" s="62" t="n">
        <x:v>0.0383</x:v>
      </x:c>
      <x:c r="D5" s="62" t="n">
        <x:v>0.1162</x:v>
      </x:c>
      <x:c r="E5" s="62"/>
      <x:c r="F5" s="62" t="n">
        <x:v>0.3126</x:v>
      </x:c>
      <x:c r="G5" s="62" t="n">
        <x:f>G4/C4-1</x:f>
        <x:v>0.27231351627510203</x:v>
      </x:c>
    </x:row>
    <x:row r="6">
      <x:c r="A6" s="14" t="str">
        <x:v>营业成本</x:v>
      </x:c>
      <x:c r="B6" s="63"/>
      <x:c r="C6" s="63"/>
      <x:c r="D6" s="63" t="n">
        <x:v>175569.585</x:v>
      </x:c>
      <x:c r="E6" s="63" t="n">
        <x:v>78319.546</x:v>
      </x:c>
      <x:c r="F6" s="63" t="n">
        <x:v>98931.714</x:v>
      </x:c>
      <x:c r="G6" s="63" t="n">
        <x:f>D6-E6+F6</x:f>
        <x:v>196181.753</x:v>
      </x:c>
    </x:row>
    <x:row r="7">
      <x:c r="A7" s="64" t="str">
        <x:v>毛利润</x:v>
      </x:c>
      <x:c r="B7" s="65"/>
      <x:c r="C7" s="65"/>
      <x:c r="D7" s="65" t="n">
        <x:f>D4-D6</x:f>
        <x:v>27664.989</x:v>
      </x:c>
      <x:c r="E7" s="65" t="n">
        <x:f>E4-E6</x:f>
        <x:v>12581.891000000003</x:v>
      </x:c>
      <x:c r="F7" s="65" t="n">
        <x:f>F4-F6</x:f>
        <x:v>20384.149999999994</x:v>
      </x:c>
      <x:c r="G7" s="65" t="n">
        <x:f>D7-E7+F7</x:f>
        <x:v>35467.24799999999</x:v>
      </x:c>
    </x:row>
    <x:row r="8">
      <x:c r="A8" s="64" t="str">
        <x:v>综合毛利率</x:v>
      </x:c>
      <x:c r="B8" s="66"/>
      <x:c r="C8" s="66"/>
      <x:c r="D8" s="66" t="n">
        <x:f>D7/D4</x:f>
        <x:v>0.13612343832796875</x:v>
      </x:c>
      <x:c r="E8" s="66" t="n">
        <x:f>E7/E4</x:f>
        <x:v>0.13841245435976993</x:v>
      </x:c>
      <x:c r="F8" s="66" t="n">
        <x:f>F7/F4</x:f>
        <x:v>0.17084190916976466</x:v>
      </x:c>
      <x:c r="G8" s="66" t="n">
        <x:f>G7/G4</x:f>
        <x:v>0.15310770971121085</x:v>
      </x:c>
    </x:row>
    <x:row r="9">
      <x:c r="A9" s="14" t="str">
        <x:v>销售费用</x:v>
      </x:c>
      <x:c r="B9" s="63"/>
      <x:c r="C9" s="63"/>
      <x:c r="D9" s="63" t="n">
        <x:v>1630.471</x:v>
      </x:c>
      <x:c r="E9" s="63" t="n">
        <x:v>779.178</x:v>
      </x:c>
      <x:c r="F9" s="63" t="n">
        <x:v>834.976</x:v>
      </x:c>
      <x:c r="G9" s="63" t="n">
        <x:f>D9-E9+F9</x:f>
        <x:v>1686.269</x:v>
      </x:c>
    </x:row>
    <x:row r="10">
      <x:c r="A10" s="14" t="str">
        <x:v>管理费用</x:v>
      </x:c>
      <x:c r="B10" s="63"/>
      <x:c r="C10" s="63"/>
      <x:c r="D10" s="63" t="n">
        <x:v>2801.987</x:v>
      </x:c>
      <x:c r="E10" s="63" t="n">
        <x:v>1177.522</x:v>
      </x:c>
      <x:c r="F10" s="63" t="n">
        <x:v>1397.937</x:v>
      </x:c>
      <x:c r="G10" s="63" t="n">
        <x:f>D10-E10+F10</x:f>
        <x:v>3022.402</x:v>
      </x:c>
    </x:row>
    <x:row r="11">
      <x:c r="A11" s="14" t="str">
        <x:v>研发费用</x:v>
      </x:c>
      <x:c r="B11" s="63"/>
      <x:c r="C11" s="63"/>
      <x:c r="D11" s="63" t="n">
        <x:v>4865.229</x:v>
      </x:c>
      <x:c r="E11" s="63" t="n">
        <x:v>2290.837</x:v>
      </x:c>
      <x:c r="F11" s="63" t="n">
        <x:v>2304.588</x:v>
      </x:c>
      <x:c r="G11" s="63" t="n">
        <x:f>D11-E11+F11</x:f>
        <x:v>4878.9800000000005</x:v>
      </x:c>
    </x:row>
    <x:row r="12">
      <x:c r="A12" s="14" t="str">
        <x:v>财务费用</x:v>
      </x:c>
      <x:c r="B12" s="63"/>
      <x:c r="C12" s="63"/>
      <x:c r="D12" s="63" t="n">
        <x:v>2079.997</x:v>
      </x:c>
      <x:c r="E12" s="63" t="n">
        <x:v>598.042</x:v>
      </x:c>
      <x:c r="F12" s="63" t="n">
        <x:v>1425.144</x:v>
      </x:c>
      <x:c r="G12" s="63" t="n">
        <x:f>D12-E12+F12</x:f>
        <x:v>2907.099</x:v>
      </x:c>
    </x:row>
    <x:row r="13">
      <x:c r="A13" s="14" t="str">
        <x:v>利润总额</x:v>
      </x:c>
      <x:c r="B13" s="63"/>
      <x:c r="C13" s="63"/>
      <x:c r="D13" s="63" t="n">
        <x:v>16268.157</x:v>
      </x:c>
      <x:c r="E13" s="63" t="n">
        <x:v>7528.444</x:v>
      </x:c>
      <x:c r="F13" s="63" t="n">
        <x:v>13967.551</x:v>
      </x:c>
      <x:c r="G13" s="63" t="n">
        <x:f>D13-E13+F13</x:f>
        <x:v>22707.264</x:v>
      </x:c>
    </x:row>
    <x:row r="14">
      <x:c r="A14" s="67" t="str">
        <x:v>报告归母净利润</x:v>
      </x:c>
      <x:c r="B14" s="68" t="n">
        <x:v>16815.756</x:v>
      </x:c>
      <x:c r="C14" s="68" t="n">
        <x:v>13033.067</x:v>
      </x:c>
      <x:c r="D14" s="68" t="n">
        <x:v>12527.201</x:v>
      </x:c>
      <x:c r="E14" s="68" t="n">
        <x:v>6122.73</x:v>
      </x:c>
      <x:c r="F14" s="68" t="n">
        <x:v>10062.964</x:v>
      </x:c>
      <x:c r="G14" s="68" t="n">
        <x:f>D14-E14+F14</x:f>
        <x:v>16467.434999999998</x:v>
      </x:c>
    </x:row>
    <x:row r="15">
      <x:c r="A15" s="67" t="str">
        <x:v>扣非归母净利润</x:v>
      </x:c>
      <x:c r="B15" s="68" t="n">
        <x:v>16438.842</x:v>
      </x:c>
      <x:c r="C15" s="68" t="n">
        <x:v>13358.862</x:v>
      </x:c>
      <x:c r="D15" s="68" t="n">
        <x:v>12143.676</x:v>
      </x:c>
      <x:c r="E15" s="68" t="n">
        <x:v>6244.47</x:v>
      </x:c>
      <x:c r="F15" s="68" t="n">
        <x:v>9676.294</x:v>
      </x:c>
      <x:c r="G15" s="68" t="n">
        <x:f>D15-E15+F15</x:f>
        <x:v>15575.5</x:v>
      </x:c>
    </x:row>
    <x:row r="16">
      <x:c r="A16" s="67" t="str">
        <x:v>经营活动现金流</x:v>
      </x:c>
      <x:c r="B16" s="68" t="n">
        <x:v>26796.753</x:v>
      </x:c>
      <x:c r="C16" s="68" t="n">
        <x:v>30053.435</x:v>
      </x:c>
      <x:c r="D16" s="68" t="n">
        <x:v>33105.189</x:v>
      </x:c>
      <x:c r="E16" s="68" t="n">
        <x:v>10528.104</x:v>
      </x:c>
      <x:c r="F16" s="68" t="n">
        <x:v>11784.141</x:v>
      </x:c>
      <x:c r="G16" s="68" t="n">
        <x:f>D16-E16+F16</x:f>
        <x:v>34361.225999999995</x:v>
      </x:c>
    </x:row>
    <x:row r="17">
      <x:c r="A17" s="67" t="str">
        <x:v>CFO/扣非归母</x:v>
      </x:c>
      <x:c r="B17" s="69"/>
      <x:c r="C17" s="69"/>
      <x:c r="D17" s="69" t="n">
        <x:f>D16/D15</x:f>
        <x:v>2.7261258452547645</x:v>
      </x:c>
      <x:c r="E17" s="69" t="n">
        <x:f>E16/E15</x:f>
        <x:v>1.6859884025385659</x:v>
      </x:c>
      <x:c r="F17" s="69" t="n">
        <x:f>F16/F15</x:f>
        <x:v>1.2178361881108615</x:v>
      </x:c>
      <x:c r="G17" s="69" t="n">
        <x:f>G16/G15</x:f>
        <x:v>2.2061074122821096</x:v>
      </x:c>
    </x:row>
    <x:row r="18">
      <x:c r="A18" s="70" t="str">
        <x:v>现金资本开支</x:v>
      </x:c>
      <x:c r="B18" s="71"/>
      <x:c r="C18" s="71" t="n">
        <x:v>35830.125</x:v>
      </x:c>
      <x:c r="D18" s="71" t="n">
        <x:v>30711.201</x:v>
      </x:c>
      <x:c r="E18" s="71" t="n">
        <x:v>17029.912</x:v>
      </x:c>
      <x:c r="F18" s="71" t="n">
        <x:v>10739.891</x:v>
      </x:c>
      <x:c r="G18" s="71" t="n">
        <x:f>D18-E18+F18</x:f>
        <x:v>24421.18</x:v>
      </x:c>
    </x:row>
    <x:row r="19">
      <x:c r="A19" s="70" t="str">
        <x:v>简化自由现金流</x:v>
      </x:c>
      <x:c r="B19" s="71"/>
      <x:c r="C19" s="71" t="n">
        <x:f>C16-C18</x:f>
        <x:v>-5776.689999999999</x:v>
      </x:c>
      <x:c r="D19" s="71" t="n">
        <x:f>D16-D18</x:f>
        <x:v>2393.9879999999976</x:v>
      </x:c>
      <x:c r="E19" s="71" t="n">
        <x:f>E16-E18</x:f>
        <x:v>-6501.808000000001</x:v>
      </x:c>
      <x:c r="F19" s="71" t="n">
        <x:f>F16-F18</x:f>
        <x:v>1044.25</x:v>
      </x:c>
      <x:c r="G19" s="71" t="n">
        <x:f>D19-E19+F19</x:f>
        <x:v>9940.045999999998</x:v>
      </x:c>
    </x:row>
    <x:row r="20">
      <x:c r="A20" s="14" t="str">
        <x:v>固定资产</x:v>
      </x:c>
      <x:c r="B20" s="63"/>
      <x:c r="C20" s="63" t="n">
        <x:v>118828.413</x:v>
      </x:c>
      <x:c r="D20" s="63" t="n">
        <x:v>156906.244</x:v>
      </x:c>
      <x:c r="E20" s="63" t="n">
        <x:v>156906.244</x:v>
      </x:c>
      <x:c r="F20" s="63" t="n">
        <x:v>157685.273</x:v>
      </x:c>
      <x:c r="G20" s="63" t="n">
        <x:v>157685.273</x:v>
      </x:c>
    </x:row>
    <x:row r="21">
      <x:c r="A21" s="14" t="str">
        <x:v>在建工程</x:v>
      </x:c>
      <x:c r="B21" s="63"/>
      <x:c r="C21" s="63" t="n">
        <x:v>63158.547</x:v>
      </x:c>
      <x:c r="D21" s="63" t="n">
        <x:v>34624.735</x:v>
      </x:c>
      <x:c r="E21" s="63" t="n">
        <x:v>34624.735</x:v>
      </x:c>
      <x:c r="F21" s="63" t="n">
        <x:v>33460.461</x:v>
      </x:c>
      <x:c r="G21" s="63" t="n">
        <x:v>33460.461</x:v>
      </x:c>
    </x:row>
    <x:row r="22">
      <x:c r="A22" s="14" t="str">
        <x:v>归母净资产</x:v>
      </x:c>
      <x:c r="B22" s="63"/>
      <x:c r="C22" s="63" t="n">
        <x:v>94625.896</x:v>
      </x:c>
      <x:c r="D22" s="63" t="n">
        <x:v>108305.459</x:v>
      </x:c>
      <x:c r="E22" s="63" t="n">
        <x:v>108305.459</x:v>
      </x:c>
      <x:c r="F22" s="63" t="n">
        <x:v>113596.225</x:v>
      </x:c>
      <x:c r="G22" s="63" t="n">
        <x:v>113596.225</x:v>
      </x:c>
    </x:row>
    <x:row r="23">
      <x:c r="A23" s="16" t="str">
        <x:v>ROE</x:v>
      </x:c>
      <x:c r="B23" s="72"/>
      <x:c r="C23" s="72" t="n">
        <x:v>0.1429</x:v>
      </x:c>
      <x:c r="D23" s="72" t="n">
        <x:v>0.1244</x:v>
      </x:c>
      <x:c r="E23" s="72" t="n">
        <x:v>0.0624</x:v>
      </x:c>
      <x:c r="F23" s="72" t="n">
        <x:v>0.0896</x:v>
      </x:c>
      <x:c r="G23" s="72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 ht="30" customHeight="1">
      <x:c r="A1" s="3" t="str">
        <x:v>分部盈利、产销量与产品价格</x:v>
      </x:c>
      <x:c r="B1" s="3" t="str">
        <x:v>分部盈利、产销量与产品价格</x:v>
      </x:c>
      <x:c r="C1" s="3" t="str">
        <x:v>分部盈利、产销量与产品价格</x:v>
      </x:c>
      <x:c r="D1" s="3" t="str">
        <x:v>分部盈利、产销量与产品价格</x:v>
      </x:c>
      <x:c r="E1" s="3" t="str">
        <x:v>分部盈利、产销量与产品价格</x:v>
      </x:c>
      <x:c r="F1" s="3" t="str">
        <x:v>分部盈利、产销量与产品价格</x:v>
      </x:c>
      <x:c r="G1" s="3" t="str">
        <x:v>分部盈利、产销量与产品价格</x:v>
      </x:c>
    </x:row>
    <x:row r="3">
      <x:c r="A3" s="19" t="str">
        <x:v>2025A主营分部</x:v>
      </x:c>
      <x:c r="B3" s="20" t="str">
        <x:v>收入</x:v>
      </x:c>
      <x:c r="C3" s="20" t="str">
        <x:v>成本</x:v>
      </x:c>
      <x:c r="D3" s="20" t="str">
        <x:v>毛利润</x:v>
      </x:c>
      <x:c r="E3" s="20" t="str">
        <x:v>毛利率</x:v>
      </x:c>
      <x:c r="F3" s="20" t="str">
        <x:v>产能/年</x:v>
      </x:c>
      <x:c r="G3" s="21" t="str">
        <x:v>利用率</x:v>
      </x:c>
    </x:row>
    <x:row r="4">
      <x:c r="A4" s="11" t="str">
        <x:v>聚氨酯</x:v>
      </x:c>
      <x:c r="B4" s="77" t="n">
        <x:v>75058.224</x:v>
      </x:c>
      <x:c r="C4" s="77" t="n">
        <x:v>54880.846</x:v>
      </x:c>
      <x:c r="D4" s="77" t="n">
        <x:f>B4-C4</x:f>
        <x:v>20177.378000000004</x:v>
      </x:c>
      <x:c r="E4" s="78" t="n">
        <x:f>D4/B4</x:f>
        <x:v>0.2688230139844503</x:v>
      </x:c>
      <x:c r="F4" s="79" t="n">
        <x:v>759</x:v>
      </x:c>
      <x:c r="G4" s="80" t="n">
        <x:v>0.85</x:v>
      </x:c>
    </x:row>
    <x:row r="5">
      <x:c r="A5" s="14" t="str">
        <x:v>石化</x:v>
      </x:c>
      <x:c r="B5" s="31" t="n">
        <x:v>84203.81</x:v>
      </x:c>
      <x:c r="C5" s="31" t="n">
        <x:v>83718.342</x:v>
      </x:c>
      <x:c r="D5" s="31" t="n">
        <x:f>B5-C5</x:f>
        <x:v>485.4679999999935</x:v>
      </x:c>
      <x:c r="E5" s="33" t="n">
        <x:f>D5/B5</x:f>
        <x:v>0.005765392326071629</x:v>
      </x:c>
      <x:c r="F5" s="81" t="n">
        <x:v>747</x:v>
      </x:c>
      <x:c r="G5" s="82" t="n">
        <x:v>0.91</x:v>
      </x:c>
    </x:row>
    <x:row r="6">
      <x:c r="A6" s="14" t="str">
        <x:v>精细化学品及新材料</x:v>
      </x:c>
      <x:c r="B6" s="31" t="n">
        <x:v>33189.13</x:v>
      </x:c>
      <x:c r="C6" s="31" t="n">
        <x:v>29695.758</x:v>
      </x:c>
      <x:c r="D6" s="31" t="n">
        <x:f>B6-C6</x:f>
        <x:v>3493.3719999999958</x:v>
      </x:c>
      <x:c r="E6" s="33" t="n">
        <x:f>D6/B6</x:f>
        <x:v>0.10525651018872734</x:v>
      </x:c>
      <x:c r="F6" s="81" t="n">
        <x:v>76</x:v>
      </x:c>
      <x:c r="G6" s="82" t="n">
        <x:v>0.84</x:v>
      </x:c>
    </x:row>
    <x:row r="7">
      <x:c r="A7" s="16" t="str">
        <x:v>其他</x:v>
      </x:c>
      <x:c r="B7" s="83" t="n">
        <x:v>26217.909</x:v>
      </x:c>
      <x:c r="C7" s="83" t="n">
        <x:v>22937.677</x:v>
      </x:c>
      <x:c r="D7" s="83" t="n">
        <x:f>B7-C7</x:f>
        <x:v>3280.232</x:v>
      </x:c>
      <x:c r="E7" s="84" t="n">
        <x:f>D7/B7</x:f>
        <x:v>0.1251141729113485</x:v>
      </x:c>
      <x:c r="F7" s="85"/>
      <x:c r="G7" s="86"/>
    </x:row>
    <x:row r="10">
      <x:c r="A10" s="19" t="str">
        <x:v>2026H1主营分部</x:v>
      </x:c>
      <x:c r="B10" s="20" t="str">
        <x:v>收入</x:v>
      </x:c>
      <x:c r="C10" s="20" t="str">
        <x:v>成本</x:v>
      </x:c>
      <x:c r="D10" s="20" t="str">
        <x:v>同比收入</x:v>
      </x:c>
      <x:c r="E10" s="20" t="str">
        <x:v>毛利率</x:v>
      </x:c>
      <x:c r="F10" s="20" t="str">
        <x:v>毛利润(亿元)</x:v>
      </x:c>
      <x:c r="G10" s="21" t="str">
        <x:v>判断</x:v>
      </x:c>
    </x:row>
    <x:row r="11">
      <x:c r="A11" s="11" t="str">
        <x:v>聚氨酯</x:v>
      </x:c>
      <x:c r="B11" s="77" t="n">
        <x:v>44956.594</x:v>
      </x:c>
      <x:c r="C11" s="77" t="n">
        <x:v>32795.889</x:v>
      </x:c>
      <x:c r="D11" s="78" t="n">
        <x:v>0.2187</x:v>
      </x:c>
      <x:c r="E11" s="78" t="n">
        <x:f>(B11-C11)/B11</x:f>
        <x:v>0.270498806026097</x:v>
      </x:c>
      <x:c r="F11" s="95" t="n">
        <x:f>(B11-C11)/100</x:f>
        <x:v>121.60704999999994</x:v>
      </x:c>
      <x:c r="G11" s="11" t="str">
        <x:v>利润底盘稳健</x:v>
      </x:c>
    </x:row>
    <x:row r="12">
      <x:c r="A12" s="67" t="str">
        <x:v>石化</x:v>
      </x:c>
      <x:c r="B12" s="96" t="n">
        <x:v>47737.565</x:v>
      </x:c>
      <x:c r="C12" s="96" t="n">
        <x:v>44489.564</x:v>
      </x:c>
      <x:c r="D12" s="97" t="n">
        <x:v>0.3665</x:v>
      </x:c>
      <x:c r="E12" s="97" t="n">
        <x:f>(B12-C12)/B12</x:f>
        <x:v>0.0680386819059582</x:v>
      </x:c>
      <x:c r="F12" s="98" t="n">
        <x:f>(B12-C12)/100</x:f>
        <x:v>32.480010000000036</x:v>
      </x:c>
      <x:c r="G12" s="67" t="str">
        <x:v>由亏转盈，边际改善最大</x:v>
      </x:c>
    </x:row>
    <x:row r="13">
      <x:c r="A13" s="67" t="str">
        <x:v>精细化学品及新材料</x:v>
      </x:c>
      <x:c r="B13" s="96" t="n">
        <x:v>22547.699</x:v>
      </x:c>
      <x:c r="C13" s="96" t="n">
        <x:v>18877.831</x:v>
      </x:c>
      <x:c r="D13" s="97" t="n">
        <x:v>0.4427</x:v>
      </x:c>
      <x:c r="E13" s="97" t="n">
        <x:f>(B13-C13)/B13</x:f>
        <x:v>0.16276020005411648</x:v>
      </x:c>
      <x:c r="F13" s="98" t="n">
        <x:f>(B13-C13)/100</x:f>
        <x:v>36.698680000000024</x:v>
      </x:c>
      <x:c r="G13" s="67" t="str">
        <x:v>放量与结构升级</x:v>
      </x:c>
    </x:row>
    <x:row r="14">
      <x:c r="A14" s="16" t="str">
        <x:v>其他</x:v>
      </x:c>
      <x:c r="B14" s="83" t="n">
        <x:v>13047.356</x:v>
      </x:c>
      <x:c r="C14" s="83" t="n">
        <x:v>12005.912</x:v>
      </x:c>
      <x:c r="D14" s="84" t="n">
        <x:v>0.1513</x:v>
      </x:c>
      <x:c r="E14" s="84" t="n">
        <x:f>(B14-C14)/B14</x:f>
        <x:v>0.07982030995398605</x:v>
      </x:c>
      <x:c r="F14" s="99" t="n">
        <x:f>(B14-C14)/100</x:f>
        <x:v>10.414439999999995</x:v>
      </x:c>
      <x:c r="G14" s="16" t="str">
        <x:v>贸易与配套、利润率低</x:v>
      </x:c>
    </x:row>
    <x:row r="17">
      <x:c r="A17" s="19" t="str">
        <x:v>H1市场均价</x:v>
      </x:c>
      <x:c r="B17" s="20" t="str">
        <x:v>价格</x:v>
      </x:c>
      <x:c r="C17" s="20" t="str">
        <x:v>单位</x:v>
      </x:c>
      <x:c r="D17" s="20" t="str">
        <x:v>同比</x:v>
      </x:c>
      <x:c r="E17" s="21" t="str">
        <x:v>含义</x:v>
      </x:c>
    </x:row>
    <x:row r="18">
      <x:c r="A18" s="11" t="str">
        <x:v>纯MDI</x:v>
      </x:c>
      <x:c r="B18" s="102" t="n">
        <x:v>21600</x:v>
      </x:c>
      <x:c r="C18" s="11" t="str">
        <x:v>元/吨</x:v>
      </x:c>
      <x:c r="D18" s="11"/>
      <x:c r="E18" s="11" t="str">
        <x:v>先升后降</x:v>
      </x:c>
    </x:row>
    <x:row r="19">
      <x:c r="A19" s="14" t="str">
        <x:v>聚合MDI</x:v>
      </x:c>
      <x:c r="B19" s="103" t="n">
        <x:v>16500</x:v>
      </x:c>
      <x:c r="C19" s="14" t="str">
        <x:v>元/吨</x:v>
      </x:c>
      <x:c r="D19" s="14"/>
      <x:c r="E19" s="14" t="str">
        <x:v>出口与供给扰动支撑</x:v>
      </x:c>
    </x:row>
    <x:row r="20">
      <x:c r="A20" s="14" t="str">
        <x:v>TDI</x:v>
      </x:c>
      <x:c r="B20" s="103" t="n">
        <x:v>16300</x:v>
      </x:c>
      <x:c r="C20" s="14" t="str">
        <x:v>元/吨</x:v>
      </x:c>
      <x:c r="D20" s="14"/>
      <x:c r="E20" s="14" t="str">
        <x:v>供给端波动大</x:v>
      </x:c>
    </x:row>
    <x:row r="21">
      <x:c r="A21" s="16" t="str">
        <x:v>软泡聚醚</x:v>
      </x:c>
      <x:c r="B21" s="104" t="n">
        <x:v>9900</x:v>
      </x:c>
      <x:c r="C21" s="16" t="str">
        <x:v>元/吨</x:v>
      </x:c>
      <x:c r="D21" s="16"/>
      <x:c r="E21" s="16" t="str">
        <x:v>家居需求偏弱</x:v>
      </x:c>
    </x:row>
    <x:row r="24">
      <x:c r="A24" s="19" t="str">
        <x:v>产销量（万吨）</x:v>
      </x:c>
      <x:c r="B24" s="20" t="str">
        <x:v>聚氨酯产量</x:v>
      </x:c>
      <x:c r="C24" s="20" t="str">
        <x:v>聚氨酯销量</x:v>
      </x:c>
      <x:c r="D24" s="20" t="str">
        <x:v>石化产量</x:v>
      </x:c>
      <x:c r="E24" s="20" t="str">
        <x:v>石化销量</x:v>
      </x:c>
      <x:c r="F24" s="21" t="str">
        <x:v>新材料产量/销量</x:v>
      </x:c>
    </x:row>
    <x:row r="25">
      <x:c r="A25" s="8" t="str">
        <x:v>2026H1</x:v>
      </x:c>
      <x:c r="B25" s="8" t="n">
        <x:v>340</x:v>
      </x:c>
      <x:c r="C25" s="8" t="n">
        <x:v>326</x:v>
      </x:c>
      <x:c r="D25" s="8" t="n">
        <x:v>370</x:v>
      </x:c>
      <x:c r="E25" s="8" t="n">
        <x:v>339</x:v>
      </x:c>
      <x:c r="F25" s="8" t="str">
        <x:v>163 / 148</x:v>
      </x:c>
    </x:row>
    <x:row r="28">
      <x:c r="A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B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C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D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E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F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G28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</x:row>
    <x:row r="29">
      <x:c r="A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B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C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D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E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F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G29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</x:row>
    <x:row r="30">
      <x:c r="A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B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C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D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E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F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G30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</x:row>
    <x:row r="31">
      <x:c r="A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B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C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D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E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F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G31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</x:row>
    <x:row r="32">
      <x:c r="A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B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C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D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E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F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G32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</x:row>
    <x:row r="33">
      <x:c r="A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B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C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D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E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F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  <x:c r="G33" s="38" t="str">
        <x:v>观察：2026H1石化毛利率由上年同期-0.37%升至6.80%，毛利润同比增加约33.78亿元，是集团最大边际改善；精细化学品及新材料毛利率由9.55%升至16.28%。聚氨酯仍贡献约121.61亿元毛利润，是估值底盘。三者改善的可持续性需分别用价差、装置负荷和新增项目ROIC验证。</x:v>
      </x:c>
    </x:row>
  </x:sheetData>
  <x:mergeCells>
    <x:mergeCell ref="A1:G1"/>
    <x:mergeCell ref="A28:G3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0" hidden="0" customWidth="1"/>
    <x:col min="3" max="3" width="31" hidden="0" customWidth="1"/>
    <x:col min="4" max="4" width="31" hidden="0" customWidth="1"/>
    <x:col min="5" max="5" width="31" hidden="0" customWidth="1"/>
  </x:cols>
  <x:sheetData>
    <x:row r="1" ht="30" customHeight="1">
      <x:c r="A1" s="3" t="str">
        <x:v>现金、债务、营运资本与分红</x:v>
      </x:c>
      <x:c r="B1" s="3" t="str">
        <x:v>现金、债务、营运资本与分红</x:v>
      </x:c>
      <x:c r="C1" s="3" t="str">
        <x:v>现金、债务、营运资本与分红</x:v>
      </x:c>
      <x:c r="D1" s="3" t="str">
        <x:v>现金、债务、营运资本与分红</x:v>
      </x:c>
      <x:c r="E1" s="3" t="str">
        <x:v>现金、债务、营运资本与分红</x:v>
      </x:c>
      <x:c r="F1" s="3" t="str">
        <x:v>现金、债务、营运资本与分红</x:v>
      </x:c>
    </x:row>
    <x:row r="3">
      <x:c r="A3" s="19" t="str">
        <x:v>2026H1现金与债务（RMB mn）</x:v>
      </x:c>
      <x:c r="B3" s="20" t="str">
        <x:v>数值</x:v>
      </x:c>
      <x:c r="C3" s="21" t="str">
        <x:v>说明</x:v>
      </x:c>
    </x:row>
    <x:row r="4">
      <x:c r="A4" s="11" t="str">
        <x:v>货币资金</x:v>
      </x:c>
      <x:c r="B4" s="77" t="n">
        <x:v>44405.629</x:v>
      </x:c>
      <x:c r="C4" s="11" t="str">
        <x:v>其中受限3599.369</x:v>
      </x:c>
    </x:row>
    <x:row r="5">
      <x:c r="A5" s="14" t="str">
        <x:v>交易性金融资产</x:v>
      </x:c>
      <x:c r="B5" s="31" t="n">
        <x:v>2008.341</x:v>
      </x:c>
      <x:c r="C5" s="14" t="str">
        <x:v>结构性存款等</x:v>
      </x:c>
    </x:row>
    <x:row r="6">
      <x:c r="A6" s="14" t="str">
        <x:v>受限货币资金</x:v>
      </x:c>
      <x:c r="B6" s="31" t="n">
        <x:v>3599.369</x:v>
      </x:c>
      <x:c r="C6" s="14" t="str">
        <x:v>从货币资金扣除</x:v>
      </x:c>
    </x:row>
    <x:row r="7">
      <x:c r="A7" s="14" t="str">
        <x:v>可用现金类</x:v>
      </x:c>
      <x:c r="B7" s="31" t="n">
        <x:f>B4-B6+B5</x:f>
        <x:v>42814.601</x:v>
      </x:c>
      <x:c r="C7" s="14" t="str">
        <x:v>货币资金-受限+交易性金融资产</x:v>
      </x:c>
    </x:row>
    <x:row r="8">
      <x:c r="A8" s="14" t="str">
        <x:v>短期借款</x:v>
      </x:c>
      <x:c r="B8" s="31" t="n">
        <x:v>60486.962</x:v>
      </x:c>
      <x:c r="C8" s="14" t="str">
        <x:v>较年初+117.7%</x:v>
      </x:c>
    </x:row>
    <x:row r="9">
      <x:c r="A9" s="14" t="str">
        <x:v>一年内到期非流动负债</x:v>
      </x:c>
      <x:c r="B9" s="31" t="n">
        <x:v>14372.944</x:v>
      </x:c>
      <x:c r="C9" s="14" t="str">
        <x:v>贷款、租赁、债券等</x:v>
      </x:c>
    </x:row>
    <x:row r="10">
      <x:c r="A10" s="14" t="str">
        <x:v>长期借款</x:v>
      </x:c>
      <x:c r="B10" s="31" t="n">
        <x:v>43208.214</x:v>
      </x:c>
      <x:c r="C10" s="14" t="str">
        <x:v>项目融资</x:v>
      </x:c>
    </x:row>
    <x:row r="11">
      <x:c r="A11" s="14" t="str">
        <x:v>应付债券</x:v>
      </x:c>
      <x:c r="B11" s="31" t="n">
        <x:v>9950</x:v>
      </x:c>
      <x:c r="C11" s="14" t="str">
        <x:v>公司债等</x:v>
      </x:c>
    </x:row>
    <x:row r="12">
      <x:c r="A12" s="14" t="str">
        <x:v>租赁负债</x:v>
      </x:c>
      <x:c r="B12" s="31" t="n">
        <x:v>10155.209</x:v>
      </x:c>
      <x:c r="C12" s="14" t="str">
        <x:v>长期部分</x:v>
      </x:c>
    </x:row>
    <x:row r="13">
      <x:c r="A13" s="14" t="str">
        <x:v>短期融资票据</x:v>
      </x:c>
      <x:c r="B13" s="31" t="n">
        <x:v>2644.979</x:v>
      </x:c>
      <x:c r="C13" s="14" t="str">
        <x:v>其他流动负债近似</x:v>
      </x:c>
    </x:row>
    <x:row r="14">
      <x:c r="A14" s="14" t="str">
        <x:v>融资债务合计</x:v>
      </x:c>
      <x:c r="B14" s="31" t="n">
        <x:f>SUM(B8:B13)</x:f>
        <x:v>140818.308</x:v>
      </x:c>
      <x:c r="C14" s="14" t="str">
        <x:v>六项合计</x:v>
      </x:c>
    </x:row>
    <x:row r="15">
      <x:c r="A15" s="115" t="str">
        <x:v>研究口径净负债</x:v>
      </x:c>
      <x:c r="B15" s="116" t="n">
        <x:f>B14-B7</x:f>
        <x:v>98003.707</x:v>
      </x:c>
      <x:c r="C15" s="115" t="str">
        <x:v>融资债务-可用现金类</x:v>
      </x:c>
    </x:row>
    <x:row r="16">
      <x:c r="A16" s="115" t="str">
        <x:v>净负债/归母净资产</x:v>
      </x:c>
      <x:c r="B16" s="117" t="n">
        <x:f>B15/'Historical'!G22</x:f>
        <x:v>0.862737357689483</x:v>
      </x:c>
      <x:c r="C16" s="115" t="str">
        <x:v>杠杆约束</x:v>
      </x:c>
    </x:row>
    <x:row r="17">
      <x:c r="A17" s="14" t="str">
        <x:v>资产负债率</x:v>
      </x:c>
      <x:c r="B17" s="33" t="n">
        <x:v>0.6428</x:v>
      </x:c>
      <x:c r="C17" s="14" t="str">
        <x:v>报告口径</x:v>
      </x:c>
    </x:row>
    <x:row r="18">
      <x:c r="A18" s="14" t="str">
        <x:v>流动比率</x:v>
      </x:c>
      <x:c r="B18" s="118" t="n">
        <x:v>0.723</x:v>
      </x:c>
      <x:c r="C18" s="14" t="str">
        <x:v>流动资产/流动负债</x:v>
      </x:c>
    </x:row>
    <x:row r="19">
      <x:c r="A19" s="14" t="str">
        <x:v>固定资产+在建工程</x:v>
      </x:c>
      <x:c r="B19" s="31" t="n">
        <x:f>'Historical'!F20+'Historical'!F21</x:f>
        <x:v>191145.734</x:v>
      </x:c>
      <x:c r="C19" s="14" t="str">
        <x:v>重资产底盘</x:v>
      </x:c>
    </x:row>
    <x:row r="20">
      <x:c r="A20" s="16" t="str">
        <x:v>净负债/TTM扣非归母</x:v>
      </x:c>
      <x:c r="B20" s="119" t="n">
        <x:f>B15/'Historical'!G15</x:f>
        <x:v>6.292170845237712</x:v>
      </x:c>
      <x:c r="C20" s="16" t="str">
        <x:v>非标准近似倍数</x:v>
      </x:c>
    </x:row>
    <x:row r="23">
      <x:c r="A23" s="19" t="str">
        <x:v>营运资本（RMB mn）</x:v>
      </x:c>
      <x:c r="B23" s="20" t="str">
        <x:v>2025A</x:v>
      </x:c>
      <x:c r="C23" s="20" t="str">
        <x:v>2026H1</x:v>
      </x:c>
      <x:c r="D23" s="20" t="str">
        <x:v>变化</x:v>
      </x:c>
      <x:c r="E23" s="21" t="str">
        <x:v>观察</x:v>
      </x:c>
    </x:row>
    <x:row r="24">
      <x:c r="A24" s="11" t="str">
        <x:v>应收账款</x:v>
      </x:c>
      <x:c r="B24" s="77" t="n">
        <x:v>15872.973</x:v>
      </x:c>
      <x:c r="C24" s="77" t="n">
        <x:v>19604.997</x:v>
      </x:c>
      <x:c r="D24" s="77" t="n">
        <x:f>C24-B24</x:f>
        <x:v>3732.0239999999994</x:v>
      </x:c>
      <x:c r="E24" s="11" t="str">
        <x:v>销量与信用减值同步上升</x:v>
      </x:c>
    </x:row>
    <x:row r="25">
      <x:c r="A25" s="14" t="str">
        <x:v>存货</x:v>
      </x:c>
      <x:c r="B25" s="31" t="n">
        <x:v>26014.205</x:v>
      </x:c>
      <x:c r="C25" s="31" t="n">
        <x:v>32935.652</x:v>
      </x:c>
      <x:c r="D25" s="31" t="n">
        <x:f>C25-B25</x:f>
        <x:v>6921.447</x:v>
      </x:c>
      <x:c r="E25" s="14" t="str">
        <x:v>增加69.21亿元</x:v>
      </x:c>
    </x:row>
    <x:row r="26">
      <x:c r="A26" s="14" t="str">
        <x:v>合同负债</x:v>
      </x:c>
      <x:c r="B26" s="31" t="n">
        <x:v>5723.203</x:v>
      </x:c>
      <x:c r="C26" s="31" t="n">
        <x:v>6766.64</x:v>
      </x:c>
      <x:c r="D26" s="31" t="n">
        <x:f>C26-B26</x:f>
        <x:v>1043.437</x:v>
      </x:c>
      <x:c r="E26" s="14" t="str">
        <x:v>预收增加</x:v>
      </x:c>
    </x:row>
    <x:row r="27">
      <x:c r="A27" s="16" t="str">
        <x:v>应付账款</x:v>
      </x:c>
      <x:c r="B27" s="83" t="n">
        <x:v>24547.758</x:v>
      </x:c>
      <x:c r="C27" s="83" t="n">
        <x:v>24427.481</x:v>
      </x:c>
      <x:c r="D27" s="83" t="n">
        <x:f>C27-B27</x:f>
        <x:v>-120.27700000000186</x:v>
      </x:c>
      <x:c r="E27" s="16" t="str">
        <x:v>大体稳定</x:v>
      </x:c>
    </x:row>
    <x:row r="30">
      <x:c r="A30" s="19" t="str">
        <x:v>资本回报</x:v>
      </x:c>
      <x:c r="B30" s="20" t="str">
        <x:v>数值</x:v>
      </x:c>
      <x:c r="C30" s="20" t="str">
        <x:v>单位</x:v>
      </x:c>
      <x:c r="D30" s="20" t="str">
        <x:v>状态</x:v>
      </x:c>
      <x:c r="E30" s="21" t="str">
        <x:v>观察</x:v>
      </x:c>
    </x:row>
    <x:row r="31">
      <x:c r="A31" s="11" t="str">
        <x:v>2025 DPS</x:v>
      </x:c>
      <x:c r="B31" s="122" t="n">
        <x:v>1.25</x:v>
      </x:c>
      <x:c r="C31" s="11" t="str">
        <x:v>RMB/股</x:v>
      </x:c>
      <x:c r="D31" s="11" t="str">
        <x:v>已实施</x:v>
      </x:c>
      <x:c r="E31" s="11" t="str">
        <x:v>现金39.13亿元</x:v>
      </x:c>
    </x:row>
    <x:row r="32">
      <x:c r="A32" s="14" t="str">
        <x:v>2025回购注销</x:v>
      </x:c>
      <x:c r="B32" s="123" t="n">
        <x:v>500</x:v>
      </x:c>
      <x:c r="C32" s="14" t="str">
        <x:v>RMB mn</x:v>
      </x:c>
      <x:c r="D32" s="14" t="str">
        <x:v>已完成</x:v>
      </x:c>
      <x:c r="E32" s="14" t="str">
        <x:v>注销927.5万股</x:v>
      </x:c>
    </x:row>
    <x:row r="33">
      <x:c r="A33" s="14" t="str">
        <x:v>2026H1 DPS</x:v>
      </x:c>
      <x:c r="B33" s="123" t="n">
        <x:v>0.81</x:v>
      </x:c>
      <x:c r="C33" s="14" t="str">
        <x:v>RMB/股</x:v>
      </x:c>
      <x:c r="D33" s="14" t="str">
        <x:v>2026-09-11支付</x:v>
      </x:c>
      <x:c r="E33" s="14" t="str">
        <x:v>现金25.36亿元</x:v>
      </x:c>
    </x:row>
    <x:row r="34">
      <x:c r="A34" s="14" t="str">
        <x:v>最近两次DPS</x:v>
      </x:c>
      <x:c r="B34" s="123" t="n">
        <x:f>B31+B33</x:f>
        <x:v>2.06</x:v>
      </x:c>
      <x:c r="C34" s="14" t="str">
        <x:v>RMB/股</x:v>
      </x:c>
      <x:c r="D34" s="14" t="str">
        <x:v>历史口径</x:v>
      </x:c>
      <x:c r="E34" s="14" t="str">
        <x:v>不与除息后价格重复</x:v>
      </x:c>
    </x:row>
    <x:row r="35">
      <x:c r="A35" s="16" t="str">
        <x:v>历史现金股息率</x:v>
      </x:c>
      <x:c r="B35" s="84" t="n">
        <x:f>B34/'Valuation'!B4</x:f>
        <x:v>0.026701231367465973</x:v>
      </x:c>
      <x:c r="C35" s="16" t="str">
        <x:v>%</x:v>
      </x:c>
      <x:c r="D35" s="16" t="str">
        <x:v>按77.15元含息价</x:v>
      </x:c>
      <x:c r="E35" s="16" t="str">
        <x:v>仅交叉验证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0" customHeight="1">
      <x:c r="A1" s="3" t="str">
        <x:v>资本开支、资产回报与项目里程碑</x:v>
      </x:c>
      <x:c r="B1" s="3" t="str">
        <x:v>资本开支、资产回报与项目里程碑</x:v>
      </x:c>
      <x:c r="C1" s="3" t="str">
        <x:v>资本开支、资产回报与项目里程碑</x:v>
      </x:c>
      <x:c r="D1" s="3" t="str">
        <x:v>资本开支、资产回报与项目里程碑</x:v>
      </x:c>
      <x:c r="E1" s="3" t="str">
        <x:v>资本开支、资产回报与项目里程碑</x:v>
      </x:c>
      <x:c r="F1" s="3" t="str">
        <x:v>资本开支、资产回报与项目里程碑</x:v>
      </x:c>
    </x:row>
    <x:row r="3">
      <x:c r="A3" s="19" t="str">
        <x:v>指标（RMB mn）</x:v>
      </x:c>
      <x:c r="B3" s="20" t="str">
        <x:v>2024A</x:v>
      </x:c>
      <x:c r="C3" s="20" t="str">
        <x:v>2025A</x:v>
      </x:c>
      <x:c r="D3" s="20" t="str">
        <x:v>2025H1</x:v>
      </x:c>
      <x:c r="E3" s="20" t="str">
        <x:v>2026H1</x:v>
      </x:c>
      <x:c r="F3" s="21" t="str">
        <x:v>TTM</x:v>
      </x:c>
    </x:row>
    <x:row r="4">
      <x:c r="A4" s="11" t="str">
        <x:v>经营现金流</x:v>
      </x:c>
      <x:c r="B4" s="77" t="n">
        <x:v>30053.435</x:v>
      </x:c>
      <x:c r="C4" s="77" t="n">
        <x:v>33105.189</x:v>
      </x:c>
      <x:c r="D4" s="77" t="n">
        <x:v>10528.104</x:v>
      </x:c>
      <x:c r="E4" s="77" t="n">
        <x:v>11784.141</x:v>
      </x:c>
      <x:c r="F4" s="77" t="n">
        <x:f>C4-D4+E4</x:f>
        <x:v>34361.225999999995</x:v>
      </x:c>
    </x:row>
    <x:row r="5">
      <x:c r="A5" s="14" t="str">
        <x:v>现金资本开支</x:v>
      </x:c>
      <x:c r="B5" s="31" t="n">
        <x:v>35830.125</x:v>
      </x:c>
      <x:c r="C5" s="31" t="n">
        <x:v>30711.201</x:v>
      </x:c>
      <x:c r="D5" s="31" t="n">
        <x:v>17029.912</x:v>
      </x:c>
      <x:c r="E5" s="31" t="n">
        <x:v>10739.891</x:v>
      </x:c>
      <x:c r="F5" s="31" t="n">
        <x:f>C5-D5+E5</x:f>
        <x:v>24421.18</x:v>
      </x:c>
    </x:row>
    <x:row r="6">
      <x:c r="A6" s="64" t="str">
        <x:v>简化自由现金流</x:v>
      </x:c>
      <x:c r="B6" s="128" t="n">
        <x:f>B4-B5</x:f>
        <x:v>-5776.689999999999</x:v>
      </x:c>
      <x:c r="C6" s="128" t="n">
        <x:f>C4-C5</x:f>
        <x:v>2393.9879999999976</x:v>
      </x:c>
      <x:c r="D6" s="128" t="n">
        <x:f>D4-D5</x:f>
        <x:v>-6501.808000000001</x:v>
      </x:c>
      <x:c r="E6" s="128" t="n">
        <x:f>E4-E5</x:f>
        <x:v>1044.25</x:v>
      </x:c>
      <x:c r="F6" s="128" t="n">
        <x:f>C6-D6+E6</x:f>
        <x:v>9940.045999999998</x:v>
      </x:c>
    </x:row>
    <x:row r="7">
      <x:c r="A7" s="64" t="str">
        <x:v>现金资本开支/经营现金流</x:v>
      </x:c>
      <x:c r="B7" s="129" t="n">
        <x:f>B5/B4</x:f>
        <x:v>1.1922139682202717</x:v>
      </x:c>
      <x:c r="C7" s="129" t="n">
        <x:f>C5/C4</x:f>
        <x:v>0.9276854151172496</x:v>
      </x:c>
      <x:c r="D7" s="129" t="n">
        <x:f>D5/D4</x:f>
        <x:v>1.6175668477439054</x:v>
      </x:c>
      <x:c r="E7" s="129" t="n">
        <x:f>E5/E4</x:f>
        <x:v>0.9113851404188053</x:v>
      </x:c>
      <x:c r="F7" s="129" t="n">
        <x:f>F5/F4</x:f>
        <x:v>0.71071911112834</x:v>
      </x:c>
    </x:row>
    <x:row r="8">
      <x:c r="A8" s="64" t="str">
        <x:v>债务购建固定资产</x:v>
      </x:c>
      <x:c r="B8" s="128"/>
      <x:c r="C8" s="128"/>
      <x:c r="D8" s="128"/>
      <x:c r="E8" s="128" t="n">
        <x:v>12541</x:v>
      </x:c>
      <x:c r="F8" s="128"/>
    </x:row>
    <x:row r="9">
      <x:c r="A9" s="14" t="str">
        <x:v>固定资产</x:v>
      </x:c>
      <x:c r="B9" s="31" t="n">
        <x:v>118828.413</x:v>
      </x:c>
      <x:c r="C9" s="31" t="n">
        <x:v>156906.244</x:v>
      </x:c>
      <x:c r="D9" s="31" t="n">
        <x:v>156906.244</x:v>
      </x:c>
      <x:c r="E9" s="31" t="n">
        <x:v>157685.273</x:v>
      </x:c>
      <x:c r="F9" s="31" t="n">
        <x:v>157685.273</x:v>
      </x:c>
    </x:row>
    <x:row r="10">
      <x:c r="A10" s="14" t="str">
        <x:v>在建工程</x:v>
      </x:c>
      <x:c r="B10" s="31" t="n">
        <x:v>63158.547</x:v>
      </x:c>
      <x:c r="C10" s="31" t="n">
        <x:v>34624.735</x:v>
      </x:c>
      <x:c r="D10" s="31" t="n">
        <x:v>34624.735</x:v>
      </x:c>
      <x:c r="E10" s="31" t="n">
        <x:v>33460.461</x:v>
      </x:c>
      <x:c r="F10" s="31" t="n">
        <x:v>33460.461</x:v>
      </x:c>
    </x:row>
    <x:row r="11">
      <x:c r="A11" s="16" t="str">
        <x:v>固定资产+在建工程</x:v>
      </x:c>
      <x:c r="B11" s="83" t="n">
        <x:f>B9+B10</x:f>
        <x:v>181986.96</x:v>
      </x:c>
      <x:c r="C11" s="83" t="n">
        <x:f>C9+C10</x:f>
        <x:v>191530.979</x:v>
      </x:c>
      <x:c r="D11" s="83" t="n">
        <x:f>D9+D10</x:f>
        <x:v>191530.979</x:v>
      </x:c>
      <x:c r="E11" s="83" t="n">
        <x:f>E9+E10</x:f>
        <x:v>191145.734</x:v>
      </x:c>
      <x:c r="F11" s="83" t="n">
        <x:v>191145.734</x:v>
      </x:c>
    </x:row>
    <x:row r="14">
      <x:c r="A14" s="19" t="str">
        <x:v>回报指标</x:v>
      </x:c>
      <x:c r="B14" s="20" t="str">
        <x:v>2023A</x:v>
      </x:c>
      <x:c r="C14" s="20" t="str">
        <x:v>2024A</x:v>
      </x:c>
      <x:c r="D14" s="20" t="str">
        <x:v>2025A</x:v>
      </x:c>
      <x:c r="E14" s="20" t="str">
        <x:v>2026H1</x:v>
      </x:c>
      <x:c r="F14" s="21" t="str">
        <x:v>判断</x:v>
      </x:c>
    </x:row>
    <x:row r="15">
      <x:c r="A15" s="11" t="str">
        <x:v>ROE</x:v>
      </x:c>
      <x:c r="B15" s="78" t="n">
        <x:v>0.2042</x:v>
      </x:c>
      <x:c r="C15" s="78" t="n">
        <x:v>0.1429</x:v>
      </x:c>
      <x:c r="D15" s="78" t="n">
        <x:v>0.1244</x:v>
      </x:c>
      <x:c r="E15" s="78" t="n">
        <x:v>0.0896</x:v>
      </x:c>
      <x:c r="F15" s="11" t="str">
        <x:v>H1未年化；回报率随扩产下行</x:v>
      </x:c>
    </x:row>
    <x:row r="16">
      <x:c r="A16" s="14" t="str">
        <x:v>研发费用率</x:v>
      </x:c>
      <x:c r="B16" s="33"/>
      <x:c r="C16" s="33" t="n">
        <x:v>0.025</x:v>
      </x:c>
      <x:c r="D16" s="33" t="n">
        <x:v>0.0239</x:v>
      </x:c>
      <x:c r="E16" s="33" t="n">
        <x:v>0.0193</x:v>
      </x:c>
      <x:c r="F16" s="14" t="str">
        <x:v>收入放量快于研发</x:v>
      </x:c>
    </x:row>
    <x:row r="17">
      <x:c r="A17" s="14" t="str">
        <x:v>CFO/扣非归母</x:v>
      </x:c>
      <x:c r="B17" s="118" t="n">
        <x:v>1.63</x:v>
      </x:c>
      <x:c r="C17" s="118" t="n">
        <x:v>2.25</x:v>
      </x:c>
      <x:c r="D17" s="118" t="n">
        <x:v>2.73</x:v>
      </x:c>
      <x:c r="E17" s="118" t="n">
        <x:v>1.22</x:v>
      </x:c>
      <x:c r="F17" s="14" t="str">
        <x:v>现金含金量总体好</x:v>
      </x:c>
    </x:row>
    <x:row r="18">
      <x:c r="A18" s="16" t="str">
        <x:v>简化FCF/扣非归母</x:v>
      </x:c>
      <x:c r="B18" s="84"/>
      <x:c r="C18" s="84" t="n">
        <x:v>-0.43</x:v>
      </x:c>
      <x:c r="D18" s="84" t="n">
        <x:v>0.2</x:v>
      </x:c>
      <x:c r="E18" s="84" t="n">
        <x:v>0.11</x:v>
      </x:c>
      <x:c r="F18" s="16" t="str">
        <x:v>资本开支仍吞噬大部分现金</x:v>
      </x:c>
    </x:row>
    <x:row r="21">
      <x:c r="A21" s="19" t="str">
        <x:v>项目/事项</x:v>
      </x:c>
      <x:c r="B21" s="20" t="str">
        <x:v>时间</x:v>
      </x:c>
      <x:c r="C21" s="20" t="str">
        <x:v>新增能力</x:v>
      </x:c>
      <x:c r="D21" s="20" t="str">
        <x:v>当前阶段</x:v>
      </x:c>
      <x:c r="E21" s="20" t="str">
        <x:v>主要价值</x:v>
      </x:c>
      <x:c r="F21" s="21" t="str">
        <x:v>主要风险</x:v>
      </x:c>
    </x:row>
    <x:row r="22">
      <x:c r="A22" s="11" t="str">
        <x:v>蓬莱聚醚项目</x:v>
      </x:c>
      <x:c r="B22" s="11" t="str">
        <x:v>2025-01</x:v>
      </x:c>
      <x:c r="C22" s="11" t="str">
        <x:v>73万吨/年</x:v>
      </x:c>
      <x:c r="D22" s="11" t="str">
        <x:v>投产爬坡</x:v>
      </x:c>
      <x:c r="E22" s="11" t="str">
        <x:v>聚氨酯一体化</x:v>
      </x:c>
      <x:c r="F22" s="11" t="str">
        <x:v>需求与开工率</x:v>
      </x:c>
    </x:row>
    <x:row r="23">
      <x:c r="A23" s="14" t="str">
        <x:v>烟台乙烯二期</x:v>
      </x:c>
      <x:c r="B23" s="14" t="str">
        <x:v>2025-04</x:v>
      </x:c>
      <x:c r="C23" s="14" t="str">
        <x:v>120万吨/年乙烯</x:v>
      </x:c>
      <x:c r="D23" s="14" t="str">
        <x:v>投产爬坡</x:v>
      </x:c>
      <x:c r="E23" s="14" t="str">
        <x:v>规模与原料协同</x:v>
      </x:c>
      <x:c r="F23" s="14" t="str">
        <x:v>石化价差</x:v>
      </x:c>
    </x:row>
    <x:row r="24">
      <x:c r="A24" s="14" t="str">
        <x:v>福建TDI二期</x:v>
      </x:c>
      <x:c r="B24" s="14" t="str">
        <x:v>2025-08</x:v>
      </x:c>
      <x:c r="C24" s="14" t="str">
        <x:v>36万吨/年</x:v>
      </x:c>
      <x:c r="D24" s="14" t="str">
        <x:v>投产爬坡</x:v>
      </x:c>
      <x:c r="E24" s="14" t="str">
        <x:v>TDI规模优势</x:v>
      </x:c>
      <x:c r="F24" s="14" t="str">
        <x:v>新增供给压力</x:v>
      </x:c>
    </x:row>
    <x:row r="25">
      <x:c r="A25" s="14" t="str">
        <x:v>乙烯一期原料多元化</x:v>
      </x:c>
      <x:c r="B25" s="14" t="str">
        <x:v>2026-01</x:v>
      </x:c>
      <x:c r="C25" s="14" t="str">
        <x:v>乙烷/丙烷路线</x:v>
      </x:c>
      <x:c r="D25" s="14" t="str">
        <x:v>完成</x:v>
      </x:c>
      <x:c r="E25" s="14" t="str">
        <x:v>降低单一路线成本</x:v>
      </x:c>
      <x:c r="F25" s="14" t="str">
        <x:v>原料价差波动</x:v>
      </x:c>
    </x:row>
    <x:row r="26">
      <x:c r="A26" s="16" t="str">
        <x:v>海阳电池材料</x:v>
      </x:c>
      <x:c r="B26" s="16" t="str">
        <x:v>2026起</x:v>
      </x:c>
      <x:c r="C26" s="16" t="str">
        <x:v>正负极与相关材料</x:v>
      </x:c>
      <x:c r="D26" s="16" t="str">
        <x:v>建设/认证</x:v>
      </x:c>
      <x:c r="E26" s="16" t="str">
        <x:v>第二增长曲线</x:v>
      </x:c>
      <x:c r="F26" s="16" t="str">
        <x:v>低利润、减值与资本占用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 t="str">
        <x:v>估值输入、情景与敏感性</x:v>
      </x:c>
      <x:c r="B1" s="3" t="str">
        <x:v>估值输入、情景与敏感性</x:v>
      </x:c>
      <x:c r="C1" s="3" t="str">
        <x:v>估值输入、情景与敏感性</x:v>
      </x:c>
      <x:c r="D1" s="3" t="str">
        <x:v>估值输入、情景与敏感性</x:v>
      </x:c>
      <x:c r="E1" s="3" t="str">
        <x:v>估值输入、情景与敏感性</x:v>
      </x:c>
      <x:c r="F1" s="3" t="str">
        <x:v>估值输入、情景与敏感性</x:v>
      </x:c>
      <x:c r="G1" s="3" t="str">
        <x:v>估值输入、情景与敏感性</x:v>
      </x:c>
      <x:c r="H1" s="3" t="str">
        <x:v>估值输入、情景与敏感性</x:v>
      </x:c>
    </x:row>
    <x:row r="3">
      <x:c r="A3" s="19" t="str">
        <x:v>市场与估值输入</x:v>
      </x:c>
      <x:c r="B3" s="20" t="str">
        <x:v>数值</x:v>
      </x:c>
      <x:c r="C3" s="21" t="str">
        <x:v>说明</x:v>
      </x:c>
    </x:row>
    <x:row r="4">
      <x:c r="A4" s="11" t="str">
        <x:v>收盘价</x:v>
      </x:c>
      <x:c r="B4" s="30" t="n">
        <x:v>77.15</x:v>
      </x:c>
      <x:c r="C4" s="11" t="str">
        <x:v>2026-09-10，H1分红除权前</x:v>
      </x:c>
    </x:row>
    <x:row r="5">
      <x:c r="A5" s="14" t="str">
        <x:v>总股本</x:v>
      </x:c>
      <x:c r="B5" s="31" t="n">
        <x:v>3130.471626</x:v>
      </x:c>
      <x:c r="C5" s="14" t="str">
        <x:v>百万股</x:v>
      </x:c>
    </x:row>
    <x:row r="6">
      <x:c r="A6" s="14" t="str">
        <x:v>市值</x:v>
      </x:c>
      <x:c r="B6" s="31" t="n">
        <x:f>B4*B5</x:f>
        <x:v>241515.88594590002</x:v>
      </x:c>
      <x:c r="C6" s="14" t="str">
        <x:v>收盘价×股本</x:v>
      </x:c>
    </x:row>
    <x:row r="7">
      <x:c r="A7" s="14" t="str">
        <x:v>TTM报告归母</x:v>
      </x:c>
      <x:c r="B7" s="31" t="n">
        <x:v>16467.435</x:v>
      </x:c>
      <x:c r="C7" s="14" t="str">
        <x:v>RMB mn</x:v>
      </x:c>
    </x:row>
    <x:row r="8">
      <x:c r="A8" s="14" t="str">
        <x:v>TTM扣非归母</x:v>
      </x:c>
      <x:c r="B8" s="31" t="n">
        <x:v>15575.499</x:v>
      </x:c>
      <x:c r="C8" s="14" t="str">
        <x:v>RMB mn</x:v>
      </x:c>
    </x:row>
    <x:row r="9">
      <x:c r="A9" s="14" t="str">
        <x:v>TTM报告P/E</x:v>
      </x:c>
      <x:c r="B9" s="32" t="n">
        <x:f>B6/B7</x:f>
        <x:v>14.666272309312289</x:v>
      </x:c>
      <x:c r="C9" s="14" t="str">
        <x:v>市值/报告归母</x:v>
      </x:c>
    </x:row>
    <x:row r="10">
      <x:c r="A10" s="14" t="str">
        <x:v>TTM扣非P/E</x:v>
      </x:c>
      <x:c r="B10" s="32" t="n">
        <x:f>B6/B8</x:f>
        <x:v>15.506141148087778</x:v>
      </x:c>
      <x:c r="C10" s="14" t="str">
        <x:v>市值/扣非归母</x:v>
      </x:c>
    </x:row>
    <x:row r="11">
      <x:c r="A11" s="14" t="str">
        <x:v>2026H1归母净资产</x:v>
      </x:c>
      <x:c r="B11" s="31" t="n">
        <x:v>113596.225</x:v>
      </x:c>
      <x:c r="C11" s="14" t="str">
        <x:v>RMB mn</x:v>
      </x:c>
    </x:row>
    <x:row r="12">
      <x:c r="A12" s="14" t="str">
        <x:v>当前P/B</x:v>
      </x:c>
      <x:c r="B12" s="118" t="n">
        <x:f>B6/B11</x:f>
        <x:v>2.1260907741071504</x:v>
      </x:c>
      <x:c r="C12" s="14" t="str">
        <x:v>市值/归母净资产</x:v>
      </x:c>
    </x:row>
    <x:row r="13">
      <x:c r="A13" s="16" t="str">
        <x:v>最近两次DPS收益率</x:v>
      </x:c>
      <x:c r="B13" s="84" t="n">
        <x:f>(1.25+0.81)/B4</x:f>
        <x:v>0.026701231367465973</x:v>
      </x:c>
      <x:c r="C13" s="16" t="str">
        <x:v>1.25+0.81元/股</x:v>
      </x:c>
    </x:row>
    <x:row r="16">
      <x:c r="A16" s="19" t="str">
        <x:v>情景</x:v>
      </x:c>
      <x:c r="B16" s="20" t="str">
        <x:v>2027E扣非归母</x:v>
      </x:c>
      <x:c r="C16" s="20" t="str">
        <x:v>P/E</x:v>
      </x:c>
      <x:c r="D16" s="20" t="str">
        <x:v>P/E价值/股</x:v>
      </x:c>
      <x:c r="E16" s="20" t="str">
        <x:v>2027E BVPS</x:v>
      </x:c>
      <x:c r="F16" s="20" t="str">
        <x:v>P/B</x:v>
      </x:c>
      <x:c r="G16" s="20" t="str">
        <x:v>P/B价值/股</x:v>
      </x:c>
      <x:c r="H16" s="20" t="str">
        <x:v>加权价值/股</x:v>
      </x:c>
      <x:c r="I16" s="21" t="str">
        <x:v>相对现价</x:v>
      </x:c>
    </x:row>
    <x:row r="18">
      <x:c r="A18" s="11" t="str">
        <x:v>Bear</x:v>
      </x:c>
      <x:c r="B18" s="142" t="n">
        <x:v>14000</x:v>
      </x:c>
      <x:c r="C18" s="143" t="n">
        <x:v>11</x:v>
      </x:c>
      <x:c r="D18" s="30" t="n">
        <x:f>B18*C18/$B$5</x:f>
        <x:v>49.19386546134439</x:v>
      </x:c>
      <x:c r="E18" s="30" t="n">
        <x:v>39</x:v>
      </x:c>
      <x:c r="F18" s="30" t="n">
        <x:v>1.5</x:v>
      </x:c>
      <x:c r="G18" s="30" t="n">
        <x:f>E18*F18</x:f>
        <x:v>58.5</x:v>
      </x:c>
      <x:c r="H18" s="30" t="n">
        <x:f>D18*70%+G18*30%</x:f>
        <x:v>51.98570582294107</x:v>
      </x:c>
      <x:c r="I18" s="78" t="n">
        <x:f>H18/$B$4-1</x:f>
        <x:v>-0.32617361214593565</x:v>
      </x:c>
    </x:row>
    <x:row r="19">
      <x:c r="A19" s="67" t="str">
        <x:v>Base</x:v>
      </x:c>
      <x:c r="B19" s="144" t="n">
        <x:v>20000</x:v>
      </x:c>
      <x:c r="C19" s="145" t="n">
        <x:v>15</x:v>
      </x:c>
      <x:c r="D19" s="146" t="n">
        <x:f>B19*C19/$B$5</x:f>
        <x:v>95.83220544417738</x:v>
      </x:c>
      <x:c r="E19" s="146" t="n">
        <x:v>43</x:v>
      </x:c>
      <x:c r="F19" s="146" t="n">
        <x:v>2.2</x:v>
      </x:c>
      <x:c r="G19" s="146" t="n">
        <x:f>E19*F19</x:f>
        <x:v>94.60000000000001</x:v>
      </x:c>
      <x:c r="H19" s="146" t="n">
        <x:f>D19*70%+G19*30%</x:f>
        <x:v>95.46254381092416</x:v>
      </x:c>
      <x:c r="I19" s="97" t="n">
        <x:f>H19/$B$4-1</x:f>
        <x:v>0.23736284913705963</x:v>
      </x:c>
    </x:row>
    <x:row r="20">
      <x:c r="A20" s="16" t="str">
        <x:v>Bull</x:v>
      </x:c>
      <x:c r="B20" s="147" t="n">
        <x:v>25000</x:v>
      </x:c>
      <x:c r="C20" s="119" t="n">
        <x:v>19</x:v>
      </x:c>
      <x:c r="D20" s="35" t="n">
        <x:f>B20*C20/$B$5</x:f>
        <x:v>151.73432528661417</x:v>
      </x:c>
      <x:c r="E20" s="35" t="n">
        <x:v>47</x:v>
      </x:c>
      <x:c r="F20" s="35" t="n">
        <x:v>3</x:v>
      </x:c>
      <x:c r="G20" s="35" t="n">
        <x:f>E20*F20</x:f>
        <x:v>141</x:v>
      </x:c>
      <x:c r="H20" s="35" t="n">
        <x:f>D20*70%+G20*30%</x:f>
        <x:v>148.51402770062992</x:v>
      </x:c>
      <x:c r="I20" s="84" t="n">
        <x:f>H20/$B$4-1</x:f>
        <x:v>0.9250035994896944</x:v>
      </x:c>
    </x:row>
    <x:row r="23">
      <x:c r="A23" s="19" t="str">
        <x:v>Base P/E敏感性</x:v>
      </x:c>
      <x:c r="B23" s="20" t="str">
        <x:v>13x</x:v>
      </x:c>
      <x:c r="C23" s="20" t="str">
        <x:v>14x</x:v>
      </x:c>
      <x:c r="D23" s="20" t="str">
        <x:v>15x</x:v>
      </x:c>
      <x:c r="E23" s="20" t="str">
        <x:v>16x</x:v>
      </x:c>
      <x:c r="F23" s="21" t="str">
        <x:v>17x</x:v>
      </x:c>
    </x:row>
    <x:row r="24">
      <x:c r="A24" s="11" t="str">
        <x:v>BVPS 39</x:v>
      </x:c>
      <x:c r="B24" s="30" t="n">
        <x:f>$B$19*13/$B$5*70%+39*$F$19*30%</x:f>
        <x:v>83.87820463613429</x:v>
      </x:c>
      <x:c r="C24" s="30" t="n">
        <x:f>$B$19*14/$B$5*70%+39*$F$19*30%</x:f>
        <x:v>88.35037422352922</x:v>
      </x:c>
      <x:c r="D24" s="30" t="n">
        <x:f>$B$19*15/$B$5*70%+39*$F$19*30%</x:f>
        <x:v>92.82254381092417</x:v>
      </x:c>
      <x:c r="E24" s="30" t="n">
        <x:f>$B$19*16/$B$5*70%+39*$F$19*30%</x:f>
        <x:v>97.29471339831909</x:v>
      </x:c>
      <x:c r="F24" s="30" t="n">
        <x:f>$B$19*17/$B$5*70%+39*$F$19*30%</x:f>
        <x:v>101.76688298571403</x:v>
      </x:c>
    </x:row>
    <x:row r="25">
      <x:c r="A25" s="14" t="str">
        <x:v>BVPS 41</x:v>
      </x:c>
      <x:c r="B25" s="34" t="n">
        <x:f>$B$19*13/$B$5*70%+41*$F$19*30%</x:f>
        <x:v>85.19820463613428</x:v>
      </x:c>
      <x:c r="C25" s="34" t="n">
        <x:f>$B$19*14/$B$5*70%+41*$F$19*30%</x:f>
        <x:v>89.67037422352921</x:v>
      </x:c>
      <x:c r="D25" s="34" t="n">
        <x:f>$B$19*15/$B$5*70%+41*$F$19*30%</x:f>
        <x:v>94.14254381092417</x:v>
      </x:c>
      <x:c r="E25" s="34" t="n">
        <x:f>$B$19*16/$B$5*70%+41*$F$19*30%</x:f>
        <x:v>98.6147133983191</x:v>
      </x:c>
      <x:c r="F25" s="34" t="n">
        <x:f>$B$19*17/$B$5*70%+41*$F$19*30%</x:f>
        <x:v>103.08688298571404</x:v>
      </x:c>
    </x:row>
    <x:row r="26">
      <x:c r="A26" s="14" t="str">
        <x:v>BVPS 43</x:v>
      </x:c>
      <x:c r="B26" s="34" t="n">
        <x:f>$B$19*13/$B$5*70%+43*$F$19*30%</x:f>
        <x:v>86.51820463613427</x:v>
      </x:c>
      <x:c r="C26" s="34" t="n">
        <x:f>$B$19*14/$B$5*70%+43*$F$19*30%</x:f>
        <x:v>90.99037422352922</x:v>
      </x:c>
      <x:c r="D26" s="150" t="n">
        <x:f>$B$19*15/$B$5*70%+43*$F$19*30%</x:f>
        <x:v>95.46254381092416</x:v>
      </x:c>
      <x:c r="E26" s="34" t="n">
        <x:f>$B$19*16/$B$5*70%+43*$F$19*30%</x:f>
        <x:v>99.9347133983191</x:v>
      </x:c>
      <x:c r="F26" s="34" t="n">
        <x:f>$B$19*17/$B$5*70%+43*$F$19*30%</x:f>
        <x:v>104.40688298571405</x:v>
      </x:c>
    </x:row>
    <x:row r="27">
      <x:c r="A27" s="14" t="str">
        <x:v>BVPS 45</x:v>
      </x:c>
      <x:c r="B27" s="34" t="n">
        <x:f>$B$19*13/$B$5*70%+45*$F$19*30%</x:f>
        <x:v>87.83820463613428</x:v>
      </x:c>
      <x:c r="C27" s="34" t="n">
        <x:f>$B$19*14/$B$5*70%+45*$F$19*30%</x:f>
        <x:v>92.31037422352921</x:v>
      </x:c>
      <x:c r="D27" s="34" t="n">
        <x:f>$B$19*15/$B$5*70%+45*$F$19*30%</x:f>
        <x:v>96.78254381092417</x:v>
      </x:c>
      <x:c r="E27" s="34" t="n">
        <x:f>$B$19*16/$B$5*70%+45*$F$19*30%</x:f>
        <x:v>101.2547133983191</x:v>
      </x:c>
      <x:c r="F27" s="34" t="n">
        <x:f>$B$19*17/$B$5*70%+45*$F$19*30%</x:f>
        <x:v>105.72688298571404</x:v>
      </x:c>
    </x:row>
    <x:row r="28">
      <x:c r="A28" s="16" t="str">
        <x:v>BVPS 47</x:v>
      </x:c>
      <x:c r="B28" s="35" t="n">
        <x:f>$B$19*13/$B$5*70%+47*$F$19*30%</x:f>
        <x:v>89.15820463613427</x:v>
      </x:c>
      <x:c r="C28" s="35" t="n">
        <x:f>$B$19*14/$B$5*70%+47*$F$19*30%</x:f>
        <x:v>93.63037422352922</x:v>
      </x:c>
      <x:c r="D28" s="35" t="n">
        <x:f>$B$19*15/$B$5*70%+47*$F$19*30%</x:f>
        <x:v>98.10254381092416</x:v>
      </x:c>
      <x:c r="E28" s="35" t="n">
        <x:f>$B$19*16/$B$5*70%+47*$F$19*30%</x:f>
        <x:v>102.57471339831909</x:v>
      </x:c>
      <x:c r="F28" s="35" t="n">
        <x:f>$B$19*17/$B$5*70%+47*$F$19*30%</x:f>
        <x:v>107.04688298571403</x:v>
      </x:c>
    </x:row>
    <x:row r="31">
      <x:c r="A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1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  <x:row r="32">
      <x:c r="A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2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  <x:row r="33">
      <x:c r="A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3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  <x:row r="34">
      <x:c r="A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4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  <x:row r="35">
      <x:c r="A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5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  <x:row r="36">
      <x:c r="A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6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  <x:row r="37">
      <x:c r="A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B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C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D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E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F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G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  <x:c r="H37" s="38" t="str">
        <x:v>估值说明：P/E权重70%，反映聚氨酯、石化与新材料的正常化盈利；P/B权重30%，约束扩产、折旧和高净负债。Base假设2027E扣非归母200亿元、15倍P/E、BVPS 43元及2.2倍P/B。净负债不再单独从权益价值扣减，以免与倍数折价重复计算。蓝色数字为可编辑情景输入。</x:v>
      </x:c>
    </x:row>
  </x:sheetData>
  <x:mergeCells>
    <x:mergeCell ref="A1:H1"/>
    <x:mergeCell ref="A31:H3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3" t="str">
        <x:v>模型勾稽与错误检查</x:v>
      </x:c>
      <x:c r="B1" s="3" t="str">
        <x:v>模型勾稽与错误检查</x:v>
      </x:c>
      <x:c r="C1" s="3" t="str">
        <x:v>模型勾稽与错误检查</x:v>
      </x:c>
      <x:c r="D1" s="3" t="str">
        <x:v>模型勾稽与错误检查</x:v>
      </x:c>
      <x:c r="E1" s="3" t="str">
        <x:v>模型勾稽与错误检查</x:v>
      </x:c>
      <x:c r="F1" s="3" t="str">
        <x:v>模型勾稽与错误检查</x:v>
      </x:c>
    </x:row>
    <x:row r="2">
      <x:c r="A2" s="19" t="str">
        <x:v>检查项</x:v>
      </x:c>
      <x:c r="B2" s="20" t="str">
        <x:v>实际值</x:v>
      </x:c>
      <x:c r="C2" s="20" t="str">
        <x:v>目标值</x:v>
      </x:c>
      <x:c r="D2" s="20" t="str">
        <x:v>差异</x:v>
      </x:c>
      <x:c r="E2" s="20" t="str">
        <x:v>状态</x:v>
      </x:c>
      <x:c r="F2" s="151" t="str">
        <x:f>IF(COUNTIF(E3:E14,"ERROR")=0,"ALL CHECKS OK","CHECK ERRORS")</x:f>
        <x:v>ALL CHECKS OK</x:v>
      </x:c>
    </x:row>
    <x:row r="3">
      <x:c r="A3" s="11" t="str">
        <x:v>2025毛利润勾稽</x:v>
      </x:c>
      <x:c r="B3" s="154" t="n">
        <x:f>'Historical'!D7</x:f>
        <x:v>27664.989</x:v>
      </x:c>
      <x:c r="C3" s="154" t="n">
        <x:f>'Historical'!D4-'Historical'!D6</x:f>
        <x:v>27664.989</x:v>
      </x:c>
      <x:c r="D3" s="154" t="n">
        <x:f>B3-C3</x:f>
        <x:v>0</x:v>
      </x:c>
      <x:c r="E3" s="11" t="str">
        <x:f>IF(ABS(D3)&lt;0.01,"OK","ERROR")</x:f>
        <x:v>OK</x:v>
      </x:c>
      <x:c r="F3" s="11"/>
    </x:row>
    <x:row r="4">
      <x:c r="A4" s="14" t="str">
        <x:v>2026H1毛利润勾稽</x:v>
      </x:c>
      <x:c r="B4" s="155" t="n">
        <x:f>'Historical'!F7</x:f>
        <x:v>20384.149999999994</x:v>
      </x:c>
      <x:c r="C4" s="155" t="n">
        <x:f>'Historical'!F4-'Historical'!F6</x:f>
        <x:v>20384.149999999994</x:v>
      </x:c>
      <x:c r="D4" s="155" t="n">
        <x:f>B4-C4</x:f>
        <x:v>0</x:v>
      </x:c>
      <x:c r="E4" s="14" t="str">
        <x:f>IF(ABS(D4)&lt;0.01,"OK","ERROR")</x:f>
        <x:v>OK</x:v>
      </x:c>
      <x:c r="F4" s="14"/>
    </x:row>
    <x:row r="5">
      <x:c r="A5" s="14" t="str">
        <x:v>TTM收入公式</x:v>
      </x:c>
      <x:c r="B5" s="155" t="n">
        <x:f>'Historical'!G4</x:f>
        <x:v>231649.001</x:v>
      </x:c>
      <x:c r="C5" s="155" t="n">
        <x:f>'Historical'!D4-'Historical'!E4+'Historical'!F4</x:f>
        <x:v>231649.001</x:v>
      </x:c>
      <x:c r="D5" s="155" t="n">
        <x:f>B5-C5</x:f>
        <x:v>0</x:v>
      </x:c>
      <x:c r="E5" s="14" t="str">
        <x:f>IF(ABS(D5)&lt;0.01,"OK","ERROR")</x:f>
        <x:v>OK</x:v>
      </x:c>
      <x:c r="F5" s="14"/>
    </x:row>
    <x:row r="6">
      <x:c r="A6" s="14" t="str">
        <x:v>TTM报告归母公式</x:v>
      </x:c>
      <x:c r="B6" s="155" t="n">
        <x:f>'Historical'!G14</x:f>
        <x:v>16467.434999999998</x:v>
      </x:c>
      <x:c r="C6" s="155" t="n">
        <x:f>'Historical'!D14-'Historical'!E14+'Historical'!F14</x:f>
        <x:v>16467.434999999998</x:v>
      </x:c>
      <x:c r="D6" s="155" t="n">
        <x:f>B6-C6</x:f>
        <x:v>0</x:v>
      </x:c>
      <x:c r="E6" s="14" t="str">
        <x:f>IF(ABS(D6)&lt;0.01,"OK","ERROR")</x:f>
        <x:v>OK</x:v>
      </x:c>
      <x:c r="F6" s="14"/>
    </x:row>
    <x:row r="7">
      <x:c r="A7" s="14" t="str">
        <x:v>TTM扣非公式</x:v>
      </x:c>
      <x:c r="B7" s="155" t="n">
        <x:f>'Historical'!G15</x:f>
        <x:v>15575.5</x:v>
      </x:c>
      <x:c r="C7" s="155" t="n">
        <x:f>'Historical'!D15-'Historical'!E15+'Historical'!F15</x:f>
        <x:v>15575.5</x:v>
      </x:c>
      <x:c r="D7" s="155" t="n">
        <x:f>B7-C7</x:f>
        <x:v>0</x:v>
      </x:c>
      <x:c r="E7" s="14" t="str">
        <x:f>IF(ABS(D7)&lt;0.01,"OK","ERROR")</x:f>
        <x:v>OK</x:v>
      </x:c>
      <x:c r="F7" s="14"/>
    </x:row>
    <x:row r="8">
      <x:c r="A8" s="14" t="str">
        <x:v>TTM CFO公式</x:v>
      </x:c>
      <x:c r="B8" s="155" t="n">
        <x:f>'Historical'!G16</x:f>
        <x:v>34361.225999999995</x:v>
      </x:c>
      <x:c r="C8" s="155" t="n">
        <x:f>'Historical'!D16-'Historical'!E16+'Historical'!F16</x:f>
        <x:v>34361.225999999995</x:v>
      </x:c>
      <x:c r="D8" s="155" t="n">
        <x:f>B8-C8</x:f>
        <x:v>0</x:v>
      </x:c>
      <x:c r="E8" s="14" t="str">
        <x:f>IF(ABS(D8)&lt;0.01,"OK","ERROR")</x:f>
        <x:v>OK</x:v>
      </x:c>
      <x:c r="F8" s="14"/>
    </x:row>
    <x:row r="9">
      <x:c r="A9" s="14" t="str">
        <x:v>TTM Capex公式</x:v>
      </x:c>
      <x:c r="B9" s="155" t="n">
        <x:f>'Historical'!G18</x:f>
        <x:v>24421.18</x:v>
      </x:c>
      <x:c r="C9" s="155" t="n">
        <x:f>'Historical'!D18-'Historical'!E18+'Historical'!F18</x:f>
        <x:v>24421.18</x:v>
      </x:c>
      <x:c r="D9" s="155" t="n">
        <x:f>B9-C9</x:f>
        <x:v>0</x:v>
      </x:c>
      <x:c r="E9" s="14" t="str">
        <x:f>IF(ABS(D9)&lt;0.01,"OK","ERROR")</x:f>
        <x:v>OK</x:v>
      </x:c>
      <x:c r="F9" s="14"/>
    </x:row>
    <x:row r="10">
      <x:c r="A10" s="14" t="str">
        <x:v>净负债公式</x:v>
      </x:c>
      <x:c r="B10" s="155" t="n">
        <x:f>'Cash &amp; Debt'!B15</x:f>
        <x:v>98003.707</x:v>
      </x:c>
      <x:c r="C10" s="155" t="n">
        <x:f>'Cash &amp; Debt'!B14-'Cash &amp; Debt'!B7</x:f>
        <x:v>98003.707</x:v>
      </x:c>
      <x:c r="D10" s="155" t="n">
        <x:f>B10-C10</x:f>
        <x:v>0</x:v>
      </x:c>
      <x:c r="E10" s="14" t="str">
        <x:f>IF(ABS(D10)&lt;0.01,"OK","ERROR")</x:f>
        <x:v>OK</x:v>
      </x:c>
      <x:c r="F10" s="14"/>
    </x:row>
    <x:row r="11">
      <x:c r="A11" s="14" t="str">
        <x:v>Base价值公式</x:v>
      </x:c>
      <x:c r="B11" s="155" t="n">
        <x:f>'Valuation'!H19</x:f>
        <x:v>95.46254381092416</x:v>
      </x:c>
      <x:c r="C11" s="155" t="n">
        <x:f>'Valuation'!D19*70%+'Valuation'!G19*30%</x:f>
        <x:v>95.46254381092416</x:v>
      </x:c>
      <x:c r="D11" s="155" t="n">
        <x:f>B11-C11</x:f>
        <x:v>0</x:v>
      </x:c>
      <x:c r="E11" s="14" t="str">
        <x:f>IF(ABS(D11)&lt;0.01,"OK","ERROR")</x:f>
        <x:v>OK</x:v>
      </x:c>
      <x:c r="F11" s="14"/>
    </x:row>
    <x:row r="12">
      <x:c r="A12" s="14" t="str">
        <x:v>Bear&lt;Base</x:v>
      </x:c>
      <x:c r="B12" s="155" t="n">
        <x:f>'Valuation'!H18</x:f>
        <x:v>51.98570582294107</x:v>
      </x:c>
      <x:c r="C12" s="155" t="n">
        <x:f>'Valuation'!H19</x:f>
        <x:v>95.46254381092416</x:v>
      </x:c>
      <x:c r="D12" s="155" t="n">
        <x:f>IF(B12&lt;C12,0,1)</x:f>
        <x:v>0</x:v>
      </x:c>
      <x:c r="E12" s="14" t="str">
        <x:f>IF(ABS(D12)&lt;0.01,"OK","ERROR")</x:f>
        <x:v>OK</x:v>
      </x:c>
      <x:c r="F12" s="14"/>
    </x:row>
    <x:row r="13">
      <x:c r="A13" s="14" t="str">
        <x:v>Base&lt;Bull</x:v>
      </x:c>
      <x:c r="B13" s="155" t="n">
        <x:f>'Valuation'!H19</x:f>
        <x:v>95.46254381092416</x:v>
      </x:c>
      <x:c r="C13" s="155" t="n">
        <x:f>'Valuation'!H20</x:f>
        <x:v>148.51402770062992</x:v>
      </x:c>
      <x:c r="D13" s="155" t="n">
        <x:f>IF(B13&lt;C13,0,1)</x:f>
        <x:v>0</x:v>
      </x:c>
      <x:c r="E13" s="14" t="str">
        <x:f>IF(ABS(D13)&lt;0.01,"OK","ERROR")</x:f>
        <x:v>OK</x:v>
      </x:c>
      <x:c r="F13" s="14"/>
    </x:row>
    <x:row r="14">
      <x:c r="A14" s="16" t="str">
        <x:v>市值公式</x:v>
      </x:c>
      <x:c r="B14" s="156" t="n">
        <x:f>'Valuation'!B6</x:f>
        <x:v>241515.88594590002</x:v>
      </x:c>
      <x:c r="C14" s="156" t="n">
        <x:f>'Valuation'!B4*'Valuation'!B5</x:f>
        <x:v>241515.88594590002</x:v>
      </x:c>
      <x:c r="D14" s="156" t="n">
        <x:f>B14-C14</x:f>
        <x:v>0</x:v>
      </x:c>
      <x:c r="E14" s="16" t="str">
        <x:f>IF(ABS(D14)&lt;0.01,"OK","ERROR")</x:f>
        <x:v>OK</x:v>
      </x:c>
      <x:c r="F14" s="16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31" hidden="0" customWidth="1"/>
    <x:col min="4" max="4" width="51" hidden="0" customWidth="1"/>
    <x:col min="5" max="5" width="25" hidden="0" customWidth="1"/>
    <x:col min="6" max="6" width="25" hidden="0" customWidth="1"/>
  </x:cols>
  <x:sheetData>
    <x:row r="1" ht="30" customHeight="1">
      <x:c r="A1" s="3" t="str">
        <x:v>来源、口径与审计轨迹</x:v>
      </x:c>
      <x:c r="B1" s="3" t="str">
        <x:v>来源、口径与审计轨迹</x:v>
      </x:c>
      <x:c r="C1" s="3" t="str">
        <x:v>来源、口径与审计轨迹</x:v>
      </x:c>
      <x:c r="D1" s="3" t="str">
        <x:v>来源、口径与审计轨迹</x:v>
      </x:c>
      <x:c r="E1" s="3" t="str">
        <x:v>来源、口径与审计轨迹</x:v>
      </x:c>
      <x:c r="F1" s="3" t="str">
        <x:v>来源、口径与审计轨迹</x:v>
      </x:c>
    </x:row>
    <x:row r="3">
      <x:c r="A3" s="19" t="str">
        <x:v>来源</x:v>
      </x:c>
      <x:c r="B3" s="20" t="str">
        <x:v>日期</x:v>
      </x:c>
      <x:c r="C3" s="20" t="str">
        <x:v>关键用途</x:v>
      </x:c>
      <x:c r="D3" s="20" t="str">
        <x:v>本地文件/链接</x:v>
      </x:c>
      <x:c r="E3" s="20" t="str">
        <x:v>质量</x:v>
      </x:c>
      <x:c r="F3" s="21" t="str">
        <x:v>复核</x:v>
      </x:c>
    </x:row>
    <x:row r="4">
      <x:c r="A4" s="11" t="str">
        <x:v>2025年年度报告</x:v>
      </x:c>
      <x:c r="B4" s="11" t="str">
        <x:v>2026-04-21</x:v>
      </x:c>
      <x:c r="C4" s="11" t="str">
        <x:v>历史财务、分部、资本开支、治理</x:v>
      </x:c>
      <x:c r="D4" s="11" t="str">
        <x:v>source-documents/2025-annual-report.pdf</x:v>
      </x:c>
      <x:c r="E4" s="11" t="str">
        <x:v>审计；安永标准无保留</x:v>
      </x:c>
      <x:c r="F4" s="11" t="str">
        <x:v>PDF文本+关键页视觉</x:v>
      </x:c>
    </x:row>
    <x:row r="5">
      <x:c r="A5" s="14" t="str">
        <x:v>2026年一季报</x:v>
      </x:c>
      <x:c r="B5" s="14" t="str">
        <x:v>2026-04-21</x:v>
      </x:c>
      <x:c r="C5" s="14" t="str">
        <x:v>Q1及单季推导</x:v>
      </x:c>
      <x:c r="D5" s="14" t="str">
        <x:v>source-documents/2026-Q1-report.pdf</x:v>
      </x:c>
      <x:c r="E5" s="14" t="str">
        <x:v>未经审计</x:v>
      </x:c>
      <x:c r="F5" s="14" t="str">
        <x:v>PDF文本</x:v>
      </x:c>
    </x:row>
    <x:row r="6">
      <x:c r="A6" s="14" t="str">
        <x:v>2026年半年报</x:v>
      </x:c>
      <x:c r="B6" s="14" t="str">
        <x:v>2026-08-25</x:v>
      </x:c>
      <x:c r="C6" s="14" t="str">
        <x:v>H1财务、分部、债务、产销量</x:v>
      </x:c>
      <x:c r="D6" s="14" t="str">
        <x:v>source-documents/2026-H1-report.pdf</x:v>
      </x:c>
      <x:c r="E6" s="14" t="str">
        <x:v>未经审计</x:v>
      </x:c>
      <x:c r="F6" s="14" t="str">
        <x:v>PDF文本+关键页视觉</x:v>
      </x:c>
    </x:row>
    <x:row r="7">
      <x:c r="A7" s="14" t="str">
        <x:v>H1经营数据</x:v>
      </x:c>
      <x:c r="B7" s="14" t="str">
        <x:v>2026-08-25</x:v>
      </x:c>
      <x:c r="C7" s="14" t="str">
        <x:v>产品与原料均价</x:v>
      </x:c>
      <x:c r="D7" s="14" t="str">
        <x:v>source-documents/2026-H1-operating-data.pdf</x:v>
      </x:c>
      <x:c r="E7" s="14" t="str">
        <x:v>公司正式公告</x:v>
      </x:c>
      <x:c r="F7" s="14" t="str">
        <x:v>全页复核</x:v>
      </x:c>
    </x:row>
    <x:row r="8">
      <x:c r="A8" s="14" t="str">
        <x:v>H1分红预案</x:v>
      </x:c>
      <x:c r="B8" s="14" t="str">
        <x:v>2026-08-25</x:v>
      </x:c>
      <x:c r="C8" s="14" t="str">
        <x:v>每股0.81元</x:v>
      </x:c>
      <x:c r="D8" s="14" t="str">
        <x:v>source-documents/2026-H1-dividend-plan.pdf</x:v>
      </x:c>
      <x:c r="E8" s="14" t="str">
        <x:v>公司正式公告</x:v>
      </x:c>
      <x:c r="F8" s="14" t="str">
        <x:v>全页复核</x:v>
      </x:c>
    </x:row>
    <x:row r="9">
      <x:c r="A9" s="14" t="str">
        <x:v>H1分红实施</x:v>
      </x:c>
      <x:c r="B9" s="14" t="str">
        <x:v>2026-09-07</x:v>
      </x:c>
      <x:c r="C9" s="14" t="str">
        <x:v>登记、除息、支付日</x:v>
      </x:c>
      <x:c r="D9" s="14" t="str">
        <x:v>source-documents/2026-H1-dividend-implementation.pdf</x:v>
      </x:c>
      <x:c r="E9" s="14" t="str">
        <x:v>公司正式公告</x:v>
      </x:c>
      <x:c r="F9" s="14" t="str">
        <x:v>全页复核</x:v>
      </x:c>
    </x:row>
    <x:row r="10">
      <x:c r="A10" s="14" t="str">
        <x:v>万华官网年报入口</x:v>
      </x:c>
      <x:c r="B10" s="14" t="str">
        <x:v>2026-06-05</x:v>
      </x:c>
      <x:c r="C10" s="14" t="str">
        <x:v>官方报告入口</x:v>
      </x:c>
      <x:c r="D10" s="14" t="str">
        <x:v>https://en.whchem.com/column/97/</x:v>
      </x:c>
      <x:c r="E10" s="14" t="str">
        <x:v>公司官网</x:v>
      </x:c>
      <x:c r="F10" s="14" t="str">
        <x:v>网页核对</x:v>
      </x:c>
    </x:row>
    <x:row r="11">
      <x:c r="A11" s="14" t="str">
        <x:v>行情数据页</x:v>
      </x:c>
      <x:c r="B11" s="14" t="str">
        <x:v>2026-09-10</x:v>
      </x:c>
      <x:c r="C11" s="14" t="str">
        <x:v>收盘价77.15元</x:v>
      </x:c>
      <x:c r="D11" s="14" t="str">
        <x:v>https://data.agoer.com/cms/Index/detail?id=600309</x:v>
      </x:c>
      <x:c r="E11" s="14" t="str">
        <x:v>二级行情源</x:v>
      </x:c>
      <x:c r="F11" s="14" t="str">
        <x:v>Yahoo交叉核对</x:v>
      </x:c>
    </x:row>
    <x:row r="12">
      <x:c r="A12" s="16" t="str">
        <x:v>研究模型口径</x:v>
      </x:c>
      <x:c r="B12" s="16" t="str">
        <x:v>2026-09-11</x:v>
      </x:c>
      <x:c r="C12" s="16" t="str">
        <x:v>TTM、净负债、估值</x:v>
      </x:c>
      <x:c r="D12" s="16" t="str">
        <x:v>source-index.md</x:v>
      </x:c>
      <x:c r="E12" s="16" t="str">
        <x:v>分析口径</x:v>
      </x:c>
      <x:c r="F12" s="16" t="str">
        <x:v>12项勾稽</x:v>
      </x:c>
    </x:row>
    <x:row r="15">
      <x:c r="A15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B15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C15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D15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E15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F15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</x:row>
    <x:row r="16">
      <x:c r="A16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B16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C16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D16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E16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F16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</x:row>
    <x:row r="17">
      <x:c r="A17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B17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C17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D17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E17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F17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</x:row>
    <x:row r="18">
      <x:c r="A18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B18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C18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D18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E18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F18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</x:row>
    <x:row r="19">
      <x:c r="A19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B19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C19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D19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E19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F19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</x:row>
    <x:row r="20">
      <x:c r="A20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B20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C20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D20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E20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  <x:c r="F20" s="38" t="str">
        <x:v>关键口径：TTM=2025A-2025H1+2026H1；净负债含短期借款、一年内到期非流动负债、长期借款、债券、租赁和短期融资票据，扣除可用现金与交易性金融资产；自由现金流仅扣现金购建长期资产，未扣H1约125.41亿元债务购建固定资产。市场价为9月10日H1分红登记日含息价。</x:v>
      </x:c>
    </x:row>
  </x:sheetData>
  <x:mergeCells>
    <x:mergeCell ref="A1:F1"/>
    <x:mergeCell ref="A15:F20"/>
  </x:mergeCells>
  <x:pageMargins left="0.7" right="0.7" top="0.75" bottom="0.75" header="0.3" footer="0.3"/>
</x:worksheet>
</file>
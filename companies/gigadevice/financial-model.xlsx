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ce6729c8f642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f1111c30c6af47f3"/>
    <x:sheet xmlns:r="http://schemas.openxmlformats.org/officeDocument/2006/relationships" name="Historical" sheetId="2" r:id="R06d92b7cc6554c6a"/>
    <x:sheet xmlns:r="http://schemas.openxmlformats.org/officeDocument/2006/relationships" name="Segments" sheetId="3" r:id="R4630783be0ae4549"/>
    <x:sheet xmlns:r="http://schemas.openxmlformats.org/officeDocument/2006/relationships" name="Assumptions" sheetId="4" r:id="R1b4505f5a3484329"/>
    <x:sheet xmlns:r="http://schemas.openxmlformats.org/officeDocument/2006/relationships" name="Valuation" sheetId="5" r:id="R601de9a854584b2c"/>
    <x:sheet xmlns:r="http://schemas.openxmlformats.org/officeDocument/2006/relationships" name="Checks" sheetId="6" r:id="Rad3ff96d68454dd2"/>
    <x:sheet xmlns:r="http://schemas.openxmlformats.org/officeDocument/2006/relationships" name="Sources Audit" sheetId="7" r:id="R2e105b2f9a40463a"/>
  </x:sheets>
</x:workbook>
</file>

<file path=xl/comments1.xml><?xml version="1.0" encoding="utf-8"?>
<x:comments xmlns:x="http://schemas.openxmlformats.org/spreadsheetml/2006/main">
  <x:authors>
    <x:author>tc={C262A138-99C2-4FED-8825-96CD013BCFA9}</x:author>
    <x:author>tc={DBD7C6EF-0FCA-4A9C-B745-A8C67E46ED82}</x:author>
    <x:author>tc={D56B4595-2B9F-41B0-9929-5A5EAB3BF5B9}</x:author>
    <x:author>tc={D9D01099-B0D0-4DF6-9570-866FF62D4D98}</x:author>
    <x:author>tc={B5308409-B76C-4531-9E6F-546C75900338}</x:author>
    <x:author>tc={D77E09CC-2C08-4184-900F-77ABB1D875B1}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M1: 2026-09-01 A-share close RMB393.00.</x:t>
        </x:r>
      </x:text>
    </x:comment>
    <x:comment ref="B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M2: total shares after 2,226,393 option shares were issued on 2026-09-01.</x:t>
        </x:r>
      </x:text>
    </x:comment>
    <x:comment ref="B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S6: 1,662,300 A shares repurchased as of 2026-08-31; intended for cancellation.</x:t>
        </x:r>
      </x:text>
    </x:comment>
    <x:comment ref="C15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assumption: base 2026E recurring attributable profit RMB10.0bn; not consensus or company guidance.</x:t>
        </x:r>
      </x:text>
    </x:comment>
    <x:comment ref="C16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assumption: 30x base P/E reflects product-platform quality but discounts cyclical peak risk.</x:t>
        </x:r>
      </x:text>
    </x:comment>
    <x:comment ref="C17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assumption: RMB14bn of financial investments included versus roughly RMB16.02bn carrying value at 2026H1.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yyyy-mm-dd"/>
    <x:numFmt numFmtId="201" formatCode="&quot;RMB &quot;0.00"/>
    <x:numFmt numFmtId="202" formatCode="0.00&quot; m&quot;"/>
    <x:numFmt numFmtId="203" formatCode="0.00&quot; bn&quot;"/>
    <x:numFmt numFmtId="204" formatCode="0.0%"/>
    <x:numFmt numFmtId="205" formatCode="0.0%;[Red](0.0%);-"/>
    <x:numFmt numFmtId="206" formatCode="0.0x"/>
    <x:numFmt numFmtId="207" formatCode="0.000&quot; m&quot;"/>
    <x:numFmt numFmtId="208" formatCode="0.0&quot; bn&quot;"/>
    <x:numFmt numFmtId="209" formatCode="&quot;RMB &quot;0"/>
    <x:numFmt numFmtId="210" formatCode="0.0000"/>
    <x:numFmt numFmtId="211" formatCode="0.000"/>
    <x:numFmt numFmtId="212" formatCode="0.000&quot; bn&quot;"/>
  </x:numFmts>
  <x:fonts count="1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8000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  <x:font>
      <x:b/>
      <x:sz val="11"/>
      <x:color rgb="FFFFFFFF"/>
      <x:name val="Carlito"/>
    </x:font>
    <x:font>
      <x:i/>
      <x:sz val="11"/>
      <x:name val="Carlito"/>
    </x:font>
    <x:font>
      <x:i/>
      <x:sz val="11"/>
      <x:color rgb="FF000000"/>
      <x:name val="Carlito"/>
    </x:font>
    <x:font>
      <x:sz val="11"/>
      <x:color rgb="FF0000FF"/>
      <x:name val="Carlito"/>
    </x:font>
    <x:font>
      <x:sz val="11"/>
      <x:color rgb="FF0563C1"/>
      <x:name val="Carlito"/>
    </x:font>
    <x:font>
      <x:sz val="10"/>
      <x:color rgb="FF0000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EEF5FB"/>
      </x:patternFill>
    </x:fill>
  </x:fills>
  <x:borders count="10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right style="thin">
        <x:color rgb="FFB4C7E7"/>
      </x:right>
    </x:border>
    <x:border>
      <x:left style="thin">
        <x:color rgb="FFB4C7E7"/>
      </x:left>
      <x:right style="thin">
        <x:color rgb="FFB4C7E7"/>
      </x:right>
    </x:border>
    <x:border>
      <x:left style="thin">
        <x:color rgb="FFB4C7E7"/>
      </x:left>
    </x:border>
  </x:borders>
  <x:cellStyleXfs count="1">
    <x:xf numFmtId="0" fontId="0" fillId="0" borderId="0"/>
  </x:cellStyleXfs>
  <x:cellXfs count="17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1" xfId="0" applyNumberFormat="1" applyFont="1" applyFill="1" applyBorder="1"/>
    <x:xf numFmtId="0" fontId="4" fillId="0" borderId="2" xfId="0" applyNumberFormat="1" applyFont="1" applyFill="1" applyBorder="1"/>
    <x:xf numFmtId="200" fontId="5" fillId="0" borderId="2" xfId="0" applyNumberFormat="1" applyFont="1" applyFill="1" applyBorder="1"/>
    <x:xf numFmtId="0" fontId="5" fillId="0" borderId="2" xfId="0" applyNumberFormat="1" applyFont="1" applyFill="1" applyBorder="1"/>
    <x:xf numFmtId="0" fontId="4" fillId="0" borderId="3" xfId="0" applyNumberFormat="1" applyFont="1" applyFill="1" applyBorder="1"/>
    <x:xf numFmtId="0" fontId="5" fillId="0" borderId="3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4" xfId="0" applyNumberFormat="1" applyFont="1" applyFill="1" applyBorder="1"/>
    <x:xf numFmtId="0" fontId="6" fillId="3" borderId="5" xfId="0" applyNumberFormat="1" applyFont="1" applyFill="1" applyBorder="1"/>
    <x:xf numFmtId="0" fontId="6" fillId="3" borderId="6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203" fontId="2" fillId="0" borderId="0" xfId="0" applyNumberFormat="1" applyFont="1" applyFill="1" applyBorder="1"/>
    <x:xf numFmtId="204" fontId="2" fillId="0" borderId="0" xfId="0" applyNumberFormat="1" applyFont="1" applyFill="1" applyBorder="1"/>
    <x:xf numFmtId="205" fontId="2" fillId="0" borderId="0" xfId="0" applyNumberFormat="1" applyFont="1" applyFill="1" applyBorder="1"/>
    <x:xf numFmtId="206" fontId="2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204" fontId="4" fillId="0" borderId="0" xfId="0" applyNumberFormat="1" applyFont="1" applyFill="1" applyBorder="1"/>
    <x:xf numFmtId="205" fontId="4" fillId="0" borderId="0" xfId="0" applyNumberFormat="1" applyFont="1" applyFill="1" applyBorder="1"/>
    <x:xf numFmtId="206" fontId="4" fillId="0" borderId="0" xfId="0" applyNumberFormat="1" applyFont="1" applyFill="1" applyBorder="1"/>
    <x:xf numFmtId="201" fontId="4" fillId="0" borderId="1" xfId="0" applyNumberFormat="1" applyFont="1" applyFill="1" applyBorder="1"/>
    <x:xf numFmtId="202" fontId="4" fillId="0" borderId="2" xfId="0" applyNumberFormat="1" applyFont="1" applyFill="1" applyBorder="1"/>
    <x:xf numFmtId="203" fontId="4" fillId="0" borderId="2" xfId="0" applyNumberFormat="1" applyFont="1" applyFill="1" applyBorder="1"/>
    <x:xf numFmtId="204" fontId="4" fillId="0" borderId="2" xfId="0" applyNumberFormat="1" applyFont="1" applyFill="1" applyBorder="1"/>
    <x:xf numFmtId="201" fontId="4" fillId="0" borderId="2" xfId="0" applyNumberFormat="1" applyFont="1" applyFill="1" applyBorder="1"/>
    <x:xf numFmtId="205" fontId="4" fillId="0" borderId="2" xfId="0" applyNumberFormat="1" applyFont="1" applyFill="1" applyBorder="1"/>
    <x:xf numFmtId="206" fontId="4" fillId="0" borderId="3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205" fontId="0" fillId="4" borderId="0" xfId="0" applyNumberFormat="1" applyFont="1" applyFill="1" applyBorder="1"/>
    <x:xf numFmtId="203" fontId="0" fillId="4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203" fontId="5" fillId="0" borderId="0" xfId="0" applyNumberFormat="1" applyFont="1" applyFill="1" applyBorder="1"/>
    <x:xf numFmtId="0" fontId="5" fillId="4" borderId="0" xfId="0" applyNumberFormat="1" applyFont="1" applyFill="1" applyBorder="1"/>
    <x:xf numFmtId="205" fontId="5" fillId="4" borderId="0" xfId="0" applyNumberFormat="1" applyFont="1" applyFill="1" applyBorder="1"/>
    <x:xf numFmtId="203" fontId="5" fillId="4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203" fontId="5" fillId="0" borderId="1" xfId="0" applyNumberFormat="1" applyFont="1" applyFill="1" applyBorder="1"/>
    <x:xf numFmtId="203" fontId="5" fillId="0" borderId="2" xfId="0" applyNumberFormat="1" applyFont="1" applyFill="1" applyBorder="1"/>
    <x:xf numFmtId="0" fontId="5" fillId="4" borderId="2" xfId="0" applyNumberFormat="1" applyFont="1" applyFill="1" applyBorder="1"/>
    <x:xf numFmtId="205" fontId="5" fillId="4" borderId="2" xfId="0" applyNumberFormat="1" applyFont="1" applyFill="1" applyBorder="1"/>
    <x:xf numFmtId="203" fontId="5" fillId="4" borderId="2" xfId="0" applyNumberFormat="1" applyFont="1" applyFill="1" applyBorder="1"/>
    <x:xf numFmtId="0" fontId="8" fillId="6" borderId="3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203" fontId="0" fillId="7" borderId="0" xfId="0" applyNumberFormat="1" applyFont="1" applyFill="1" applyBorder="1"/>
    <x:xf numFmtId="204" fontId="0" fillId="7" borderId="0" xfId="0" applyNumberFormat="1" applyFont="1" applyFill="1" applyBorder="1"/>
    <x:xf numFmtId="205" fontId="0" fillId="7" borderId="0" xfId="0" applyNumberFormat="1" applyFont="1" applyFill="1" applyBorder="1"/>
    <x:xf numFmtId="0" fontId="3" fillId="7" borderId="0" xfId="0" applyNumberFormat="1" applyFont="1" applyFill="1" applyBorder="1"/>
    <x:xf numFmtId="203" fontId="3" fillId="7" borderId="0" xfId="0" applyNumberFormat="1" applyFont="1" applyFill="1" applyBorder="1"/>
    <x:xf numFmtId="204" fontId="3" fillId="7" borderId="0" xfId="0" applyNumberFormat="1" applyFont="1" applyFill="1" applyBorder="1"/>
    <x:xf numFmtId="205" fontId="3" fillId="7" borderId="0" xfId="0" applyNumberFormat="1" applyFont="1" applyFill="1" applyBorder="1"/>
    <x:xf numFmtId="204" fontId="5" fillId="0" borderId="0" xfId="0" applyNumberFormat="1" applyFont="1" applyFill="1" applyBorder="1"/>
    <x:xf numFmtId="205" fontId="5" fillId="0" borderId="0" xfId="0" applyNumberFormat="1" applyFont="1" applyFill="1" applyBorder="1"/>
    <x:xf numFmtId="0" fontId="4" fillId="7" borderId="0" xfId="0" applyNumberFormat="1" applyFont="1" applyFill="1" applyBorder="1"/>
    <x:xf numFmtId="203" fontId="4" fillId="7" borderId="0" xfId="0" applyNumberFormat="1" applyFont="1" applyFill="1" applyBorder="1"/>
    <x:xf numFmtId="204" fontId="4" fillId="7" borderId="0" xfId="0" applyNumberFormat="1" applyFont="1" applyFill="1" applyBorder="1"/>
    <x:xf numFmtId="205" fontId="4" fillId="7" borderId="0" xfId="0" applyNumberFormat="1" applyFont="1" applyFill="1" applyBorder="1"/>
    <x:xf numFmtId="204" fontId="5" fillId="0" borderId="1" xfId="0" applyNumberFormat="1" applyFont="1" applyFill="1" applyBorder="1"/>
    <x:xf numFmtId="205" fontId="5" fillId="0" borderId="1" xfId="0" applyNumberFormat="1" applyFont="1" applyFill="1" applyBorder="1"/>
    <x:xf numFmtId="204" fontId="5" fillId="0" borderId="2" xfId="0" applyNumberFormat="1" applyFont="1" applyFill="1" applyBorder="1"/>
    <x:xf numFmtId="205" fontId="5" fillId="0" borderId="2" xfId="0" applyNumberFormat="1" applyFont="1" applyFill="1" applyBorder="1"/>
    <x:xf numFmtId="0" fontId="4" fillId="7" borderId="3" xfId="0" applyNumberFormat="1" applyFont="1" applyFill="1" applyBorder="1"/>
    <x:xf numFmtId="203" fontId="4" fillId="7" borderId="3" xfId="0" applyNumberFormat="1" applyFont="1" applyFill="1" applyBorder="1"/>
    <x:xf numFmtId="204" fontId="4" fillId="7" borderId="3" xfId="0" applyNumberFormat="1" applyFont="1" applyFill="1" applyBorder="1"/>
    <x:xf numFmtId="205" fontId="4" fillId="7" borderId="3" xfId="0" applyNumberFormat="1" applyFont="1" applyFill="1" applyBorder="1"/>
    <x:xf numFmtId="203" fontId="5" fillId="0" borderId="3" xfId="0" applyNumberFormat="1" applyFont="1" applyFill="1" applyBorder="1"/>
    <x:xf numFmtId="204" fontId="5" fillId="0" borderId="3" xfId="0" applyNumberFormat="1" applyFont="1" applyFill="1" applyBorder="1"/>
    <x:xf numFmtId="205" fontId="5" fillId="0" borderId="3" xfId="0" applyNumberFormat="1" applyFont="1" applyFill="1" applyBorder="1"/>
    <x:xf numFmtId="207" fontId="0" fillId="0" borderId="0" xfId="0" applyNumberFormat="1" applyFont="1" applyFill="1" applyBorder="1"/>
    <x:xf numFmtId="201" fontId="9" fillId="0" borderId="0" xfId="0" applyNumberFormat="1" applyFont="1" applyFill="1" applyBorder="1"/>
    <x:xf numFmtId="207" fontId="9" fillId="0" borderId="0" xfId="0" applyNumberFormat="1" applyFont="1" applyFill="1" applyBorder="1"/>
    <x:xf numFmtId="201" fontId="5" fillId="0" borderId="0" xfId="0" applyNumberFormat="1" applyFont="1" applyFill="1" applyBorder="1"/>
    <x:xf numFmtId="207" fontId="5" fillId="0" borderId="0" xfId="0" applyNumberFormat="1" applyFont="1" applyFill="1" applyBorder="1"/>
    <x:xf numFmtId="201" fontId="5" fillId="0" borderId="1" xfId="0" applyNumberFormat="1" applyFont="1" applyFill="1" applyBorder="1"/>
    <x:xf numFmtId="207" fontId="5" fillId="0" borderId="2" xfId="0" applyNumberFormat="1" applyFont="1" applyFill="1" applyBorder="1"/>
    <x:xf numFmtId="208" fontId="0" fillId="0" borderId="0" xfId="0" applyNumberFormat="1" applyFont="1" applyFill="1" applyBorder="1"/>
    <x:xf numFmtId="208" fontId="9" fillId="0" borderId="0" xfId="0" applyNumberFormat="1" applyFont="1" applyFill="1" applyBorder="1"/>
    <x:xf numFmtId="206" fontId="9" fillId="0" borderId="0" xfId="0" applyNumberFormat="1" applyFont="1" applyFill="1" applyBorder="1"/>
    <x:xf numFmtId="0" fontId="9" fillId="0" borderId="0" xfId="0" applyNumberFormat="1" applyFont="1" applyFill="1" applyBorder="1"/>
    <x:xf numFmtId="208" fontId="5" fillId="0" borderId="0" xfId="0" applyNumberFormat="1" applyFont="1" applyFill="1" applyBorder="1"/>
    <x:xf numFmtId="206" fontId="5" fillId="0" borderId="0" xfId="0" applyNumberFormat="1" applyFont="1" applyFill="1" applyBorder="1"/>
    <x:xf numFmtId="208" fontId="5" fillId="0" borderId="1" xfId="0" applyNumberFormat="1" applyFont="1" applyFill="1" applyBorder="1"/>
    <x:xf numFmtId="206" fontId="5" fillId="0" borderId="2" xfId="0" applyNumberFormat="1" applyFont="1" applyFill="1" applyBorder="1"/>
    <x:xf numFmtId="208" fontId="5" fillId="0" borderId="2" xfId="0" applyNumberFormat="1" applyFont="1" applyFill="1" applyBorder="1"/>
    <x:xf numFmtId="208" fontId="0" fillId="7" borderId="0" xfId="0" applyNumberFormat="1" applyFont="1" applyFill="1" applyBorder="1"/>
    <x:xf numFmtId="206" fontId="0" fillId="7" borderId="0" xfId="0" applyNumberFormat="1" applyFont="1" applyFill="1" applyBorder="1"/>
    <x:xf numFmtId="201" fontId="0" fillId="7" borderId="0" xfId="0" applyNumberFormat="1" applyFont="1" applyFill="1" applyBorder="1"/>
    <x:xf numFmtId="201" fontId="3" fillId="0" borderId="0" xfId="0" applyNumberFormat="1" applyFont="1" applyFill="1" applyBorder="1"/>
    <x:xf numFmtId="201" fontId="3" fillId="7" borderId="0" xfId="0" applyNumberFormat="1" applyFont="1" applyFill="1" applyBorder="1"/>
    <x:xf numFmtId="0" fontId="5" fillId="7" borderId="0" xfId="0" applyNumberFormat="1" applyFont="1" applyFill="1" applyBorder="1"/>
    <x:xf numFmtId="208" fontId="5" fillId="7" borderId="0" xfId="0" applyNumberFormat="1" applyFont="1" applyFill="1" applyBorder="1"/>
    <x:xf numFmtId="206" fontId="5" fillId="7" borderId="0" xfId="0" applyNumberFormat="1" applyFont="1" applyFill="1" applyBorder="1"/>
    <x:xf numFmtId="201" fontId="4" fillId="7" borderId="0" xfId="0" applyNumberFormat="1" applyFont="1" applyFill="1" applyBorder="1"/>
    <x:xf numFmtId="205" fontId="5" fillId="7" borderId="0" xfId="0" applyNumberFormat="1" applyFont="1" applyFill="1" applyBorder="1"/>
    <x:xf numFmtId="206" fontId="5" fillId="0" borderId="1" xfId="0" applyNumberFormat="1" applyFont="1" applyFill="1" applyBorder="1"/>
    <x:xf numFmtId="0" fontId="5" fillId="7" borderId="2" xfId="0" applyNumberFormat="1" applyFont="1" applyFill="1" applyBorder="1"/>
    <x:xf numFmtId="208" fontId="5" fillId="7" borderId="2" xfId="0" applyNumberFormat="1" applyFont="1" applyFill="1" applyBorder="1"/>
    <x:xf numFmtId="206" fontId="5" fillId="7" borderId="2" xfId="0" applyNumberFormat="1" applyFont="1" applyFill="1" applyBorder="1"/>
    <x:xf numFmtId="201" fontId="4" fillId="7" borderId="2" xfId="0" applyNumberFormat="1" applyFont="1" applyFill="1" applyBorder="1"/>
    <x:xf numFmtId="205" fontId="5" fillId="7" borderId="2" xfId="0" applyNumberFormat="1" applyFont="1" applyFill="1" applyBorder="1"/>
    <x:xf numFmtId="208" fontId="5" fillId="0" borderId="3" xfId="0" applyNumberFormat="1" applyFont="1" applyFill="1" applyBorder="1"/>
    <x:xf numFmtId="206" fontId="5" fillId="0" borderId="3" xfId="0" applyNumberFormat="1" applyFont="1" applyFill="1" applyBorder="1"/>
    <x:xf numFmtId="201" fontId="4" fillId="0" borderId="3" xfId="0" applyNumberFormat="1" applyFont="1" applyFill="1" applyBorder="1"/>
    <x:xf numFmtId="209" fontId="0" fillId="0" borderId="0" xfId="0" applyNumberFormat="1" applyFont="1" applyFill="1" applyBorder="1"/>
    <x:xf numFmtId="209" fontId="5" fillId="0" borderId="0" xfId="0" applyNumberFormat="1" applyFont="1" applyFill="1" applyBorder="1"/>
    <x:xf numFmtId="209" fontId="5" fillId="0" borderId="1" xfId="0" applyNumberFormat="1" applyFont="1" applyFill="1" applyBorder="1"/>
    <x:xf numFmtId="209" fontId="5" fillId="0" borderId="2" xfId="0" applyNumberFormat="1" applyFont="1" applyFill="1" applyBorder="1"/>
    <x:xf numFmtId="209" fontId="5" fillId="0" borderId="3" xfId="0" applyNumberFormat="1" applyFont="1" applyFill="1" applyBorder="1"/>
    <x:xf numFmtId="210" fontId="0" fillId="0" borderId="0" xfId="0" applyNumberFormat="1" applyFont="1" applyFill="1" applyBorder="1"/>
    <x:xf numFmtId="210" fontId="5" fillId="0" borderId="0" xfId="0" applyNumberFormat="1" applyFont="1" applyFill="1" applyBorder="1"/>
    <x:xf numFmtId="210" fontId="5" fillId="0" borderId="1" xfId="0" applyNumberFormat="1" applyFont="1" applyFill="1" applyBorder="1"/>
    <x:xf numFmtId="210" fontId="5" fillId="0" borderId="2" xfId="0" applyNumberFormat="1" applyFont="1" applyFill="1" applyBorder="1"/>
    <x:xf numFmtId="210" fontId="5" fillId="0" borderId="3" xfId="0" applyNumberFormat="1" applyFont="1" applyFill="1" applyBorder="1"/>
    <x:xf numFmtId="211" fontId="0" fillId="0" borderId="0" xfId="0" applyNumberFormat="1" applyFont="1" applyFill="1" applyBorder="1"/>
    <x:xf numFmtId="0" fontId="1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11" fontId="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211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211" fontId="5" fillId="0" borderId="1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211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211" fontId="5" fillId="0" borderId="3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vertical="center"/>
    </x:xf>
    <x:xf numFmtId="207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7" fontId="9" fillId="0" borderId="0" xfId="0" applyNumberFormat="1" applyFont="1" applyFill="1" applyBorder="1" applyAlignment="1">
      <x:alignment wrapText="1"/>
    </x:xf>
    <x:xf numFmtId="208" fontId="0" fillId="0" borderId="0" xfId="0" applyNumberFormat="1" applyFont="1" applyFill="1" applyBorder="1" applyAlignment="1">
      <x:alignment wrapText="1"/>
    </x:xf>
    <x:xf numFmtId="212" fontId="0" fillId="0" borderId="0" xfId="0" applyNumberFormat="1" applyFont="1" applyFill="1" applyBorder="1"/>
    <x:xf numFmtId="212" fontId="9" fillId="0" borderId="0" xfId="0" applyNumberFormat="1" applyFont="1" applyFill="1" applyBorder="1"/>
    <x:xf numFmtId="212" fontId="5" fillId="0" borderId="0" xfId="0" applyNumberFormat="1" applyFont="1" applyFill="1" applyBorder="1"/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/>
    <x:xf numFmtId="0" fontId="11" fillId="0" xfId="0" applyNumberFormat="1" applyFont="1" applyFill="1" applyBorder="0"/>
    <x:xf numFmtId="0" fontId="11" fillId="0" xfId="0" applyNumberFormat="1" applyFont="1" applyFill="1" applyBorder="0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b02578a9b643ec" /><Relationship Type="http://schemas.openxmlformats.org/officeDocument/2006/relationships/theme" Target="/xl/theme/theme1.xml" Id="R2b71446e5bee44af" /><Relationship Type="http://schemas.openxmlformats.org/officeDocument/2006/relationships/sharedStrings" Target="/xl/sharedStrings.xml" Id="R780cd66f51da479e" /><Relationship Type="http://schemas.openxmlformats.org/officeDocument/2006/relationships/worksheet" Target="/xl/worksheets/sheet1.xml" Id="Rf1111c30c6af47f3" /><Relationship Type="http://schemas.openxmlformats.org/officeDocument/2006/relationships/worksheet" Target="/xl/worksheets/sheet2.xml" Id="R06d92b7cc6554c6a" /><Relationship Type="http://schemas.openxmlformats.org/officeDocument/2006/relationships/worksheet" Target="/xl/worksheets/sheet3.xml" Id="R4630783be0ae4549" /><Relationship Type="http://schemas.openxmlformats.org/officeDocument/2006/relationships/worksheet" Target="/xl/worksheets/sheet4.xml" Id="R1b4505f5a3484329" /><Relationship Type="http://schemas.openxmlformats.org/officeDocument/2006/relationships/worksheet" Target="/xl/worksheets/sheet5.xml" Id="R601de9a854584b2c" /><Relationship Type="http://schemas.openxmlformats.org/officeDocument/2006/relationships/worksheet" Target="/xl/worksheets/sheet6.xml" Id="Rad3ff96d68454dd2" /><Relationship Type="http://schemas.openxmlformats.org/officeDocument/2006/relationships/worksheet" Target="/xl/worksheets/sheet7.xml" Id="R2e105b2f9a40463a" /><Relationship Type="http://schemas.microsoft.com/office/2017/10/relationships/person" Target="/xl/persons/person.xml" Id="R922188fc82414df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34b689b2d00408a" /><Relationship Type="http://schemas.openxmlformats.org/officeDocument/2006/relationships/chart" Target="/xl/drawings/charts/chart2.xml" Id="Rbeda31a4eb3d4fb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2026H1收入结构（RMB bn）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收入</c:v>
          </c:tx>
          <c:spPr>
            <a:solidFill xmlns:a="http://schemas.openxmlformats.org/drawingml/2006/main">
              <a:srgbClr val="1F4E78"/>
            </a:solidFill>
          </c:spPr>
          <c:cat>
            <c:strRef>
              <c:f>'Segments'!$A$4:$A$7</c:f>
              <c:strCache>
                <c:ptCount val="0"/>
              </c:strCache>
            </c:strRef>
          </c:cat>
          <c:val>
            <c:numRef>
              <c:f>'Segments'!$B$4:$B$7</c:f>
              <c:numCache>
                <c:formatCode>0" bn"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1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&quot; bn&quot;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情景价值与当前股价（RMB/股）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情景价值</c:v>
          </c:tx>
          <c:spPr>
            <a:solidFill xmlns:a="http://schemas.openxmlformats.org/drawingml/2006/main">
              <a:srgbClr val="17365D"/>
            </a:solidFill>
          </c:spPr>
          <c:cat>
            <c:strRef>
              <c:f>'Valuation'!$A$5:$A$7</c:f>
              <c:strCache>
                <c:ptCount val="0"/>
              </c:strCache>
            </c:strRef>
          </c:cat>
          <c:val>
            <c:numRef>
              <c:f>'Valuation'!$F$5:$F$7</c:f>
              <c:numCache>
                <c:formatCode>"RMB "0</c:formatCode>
                <c:ptCount val="0"/>
              </c:numCache>
            </c:numRef>
          </c:val>
        </c:ser>
        <c:ser>
          <c:idx val="1"/>
          <c:order val="1"/>
          <c:tx>
            <c:v>当前股价</c:v>
          </c:tx>
          <c:spPr>
            <a:solidFill xmlns:a="http://schemas.openxmlformats.org/drawingml/2006/main">
              <a:srgbClr val="C9A227"/>
            </a:solidFill>
          </c:spPr>
          <c:cat>
            <c:strRef>
              <c:f>'Valuation'!$A$5:$A$7</c:f>
              <c:strCache>
                <c:ptCount val="0"/>
              </c:strCache>
            </c:strRef>
          </c:cat>
          <c:val>
            <c:numRef>
              <c:f>'Cover'!$J$3:$J$5</c:f>
              <c:numCache>
                <c:formatCode>"RMB "0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7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RMB &quot;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11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34b689b2d00408a"/>
        </a:graphicData>
      </a:graphic>
    </xdr:graphicFrame>
    <xdr:clientData/>
  </xdr:twoCellAnchor>
  <xdr:twoCellAnchor>
    <xdr:from>
      <xdr:col>3</xdr:col>
      <xdr:colOff>0</xdr:colOff>
      <xdr:row>12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da31a4eb3d4fb0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Equity Research" id="{52EFA07C-0CE2-4427-B7D4-C9D2C40632B3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4" dT="2026-09-02T03:47:17.454" personId="{52EFA07C-0CE2-4427-B7D4-C9D2C40632B3}" id="{C262A138-99C2-4FED-8825-96CD013BCFA9}">
    <xltc:text>Source M1: 2026-09-01 A-share close RMB393.00.</xltc:text>
  </xltc:threadedComment>
  <xltc:threadedComment ref="B5" dT="2026-09-02T03:47:17.454" personId="{52EFA07C-0CE2-4427-B7D4-C9D2C40632B3}" id="{DBD7C6EF-0FCA-4A9C-B745-A8C67E46ED82}">
    <xltc:text>Source M2: total shares after 2,226,393 option shares were issued on 2026-09-01.</xltc:text>
  </xltc:threadedComment>
  <xltc:threadedComment ref="B6" dT="2026-09-02T03:47:17.455" personId="{52EFA07C-0CE2-4427-B7D4-C9D2C40632B3}" id="{D56B4595-2B9F-41B0-9929-5A5EAB3BF5B9}">
    <xltc:text>Source S6: 1,662,300 A shares repurchased as of 2026-08-31; intended for cancellation.</xltc:text>
  </xltc:threadedComment>
  <xltc:threadedComment ref="C15" dT="2026-09-02T03:47:17.455" personId="{52EFA07C-0CE2-4427-B7D4-C9D2C40632B3}" id="{D9D01099-B0D0-4DF6-9570-866FF62D4D98}">
    <xltc:text>Analyst assumption: base 2026E recurring attributable profit RMB10.0bn; not consensus or company guidance.</xltc:text>
  </xltc:threadedComment>
  <xltc:threadedComment ref="C16" dT="2026-09-02T03:47:17.455" personId="{52EFA07C-0CE2-4427-B7D4-C9D2C40632B3}" id="{B5308409-B76C-4531-9E6F-546C75900338}">
    <xltc:text>Analyst assumption: 30x base P/E reflects product-platform quality but discounts cyclical peak risk.</xltc:text>
  </xltc:threadedComment>
  <xltc:threadedComment ref="C17" dT="2026-09-02T03:47:17.455" personId="{52EFA07C-0CE2-4427-B7D4-C9D2C40632B3}" id="{D77E09CC-2C08-4184-900F-77ABB1D875B1}">
    <xltc:text>Analyst assumption: RMB14bn of financial investments included versus roughly RMB16.02bn carrying value at 2026H1.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0eaa558b65d4b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1.xml" Id="R36878815390a4ca0" /><Relationship Type="http://schemas.openxmlformats.org/officeDocument/2006/relationships/vmlDrawing" Target="/xl/drawings/vmldrawing.vml" Id="R37f692cff13a4621" /><Relationship Type="http://schemas.microsoft.com/office/2017/10/relationships/threadedComment" Target="/xl/threadedcomments/threadedcomment.xml" Id="R68799d3fe98148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42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0" customHeight="1">
      <x:c r="A1" s="3" t="str">
        <x:v>兆易创新（603986.SH / 03986.HK）基本面与估值模型</x:v>
      </x:c>
      <x:c r="B1" s="3" t="str">
        <x:v>兆易创新（603986.SH / 03986.HK）基本面与估值模型</x:v>
      </x:c>
      <x:c r="C1" s="3" t="str">
        <x:v>兆易创新（603986.SH / 03986.HK）基本面与估值模型</x:v>
      </x:c>
      <x:c r="D1" s="3" t="str">
        <x:v>兆易创新（603986.SH / 03986.HK）基本面与估值模型</x:v>
      </x:c>
      <x:c r="E1" s="3" t="str">
        <x:v>兆易创新（603986.SH / 03986.HK）基本面与估值模型</x:v>
      </x:c>
      <x:c r="F1" s="3" t="str">
        <x:v>兆易创新（603986.SH / 03986.HK）基本面与估值模型</x:v>
      </x:c>
      <x:c r="G1" s="3" t="str">
        <x:v>兆易创新（603986.SH / 03986.HK）基本面与估值模型</x:v>
      </x:c>
      <x:c r="H1" s="3" t="str">
        <x:v>兆易创新（603986.SH / 03986.HK）基本面与估值模型</x:v>
      </x:c>
    </x:row>
    <x:row r="2">
      <x:c r="J2" t="str">
        <x:v>当前价格</x:v>
      </x:c>
    </x:row>
    <x:row r="3">
      <x:c r="A3" s="10" t="str">
        <x:v>公司</x:v>
      </x:c>
      <x:c r="B3" s="11" t="str">
        <x:v>兆易创新科技集团股份有限公司</x:v>
      </x:c>
      <x:c r="J3" t="n">
        <x:f>'Assumptions'!B4</x:f>
        <x:v>326.46</x:v>
      </x:c>
    </x:row>
    <x:row r="4">
      <x:c r="A4" s="12" t="str">
        <x:v>价格基准</x:v>
      </x:c>
      <x:c r="B4" s="13" t="d">
        <x:v>2026-10-09T00:00:00.000Z</x:v>
      </x:c>
      <x:c r="J4" t="n">
        <x:f>'Assumptions'!B4</x:f>
        <x:v>326.46</x:v>
      </x:c>
    </x:row>
    <x:row r="5">
      <x:c r="A5" s="12" t="str">
        <x:v>资料截止</x:v>
      </x:c>
      <x:c r="B5" s="14" t="str">
        <x:v>2026-10-12交易时段</x:v>
      </x:c>
      <x:c r="J5" t="n">
        <x:f>'Assumptions'!B4</x:f>
        <x:v>326.46</x:v>
      </x:c>
    </x:row>
    <x:row r="6">
      <x:c r="A6" s="12" t="str">
        <x:v>报告货币</x:v>
      </x:c>
      <x:c r="B6" s="14" t="str">
        <x:v>人民币十亿元；每股价值为人民币</x:v>
      </x:c>
    </x:row>
    <x:row r="7">
      <x:c r="A7" s="12" t="str">
        <x:v>模型版本</x:v>
      </x:c>
      <x:c r="B7" s="14" t="str">
        <x:v>增量更新 / 2027正常化 v1.1</x:v>
      </x:c>
    </x:row>
    <x:row r="8">
      <x:c r="A8" s="12" t="str">
        <x:v>估值框架</x:v>
      </x:c>
      <x:c r="B8" s="14" t="str">
        <x:v>正常化扣非净利润P/E + 折价金融投资</x:v>
      </x:c>
    </x:row>
    <x:row r="9">
      <x:c r="A9" s="12" t="str">
        <x:v>最新财报</x:v>
      </x:c>
      <x:c r="B9" s="12" t="str">
        <x:v>2026H1；未检索到Q3</x:v>
      </x:c>
    </x:row>
    <x:row r="10">
      <x:c r="A10" s="15" t="str">
        <x:v>当前判断</x:v>
      </x:c>
      <x:c r="B10" s="16" t="str">
        <x:v>中性偏积极；业务质量高，盈利可见度中低</x:v>
      </x:c>
    </x:row>
    <x:row r="12">
      <x:c r="A12" s="19" t="str">
        <x:v>关键输出</x:v>
      </x:c>
      <x:c r="B12" s="20" t="str">
        <x:v>数值</x:v>
      </x:c>
      <x:c r="C12" s="21" t="str">
        <x:v>说明</x:v>
      </x:c>
    </x:row>
    <x:row r="13">
      <x:c r="A13" s="11" t="str">
        <x:v>当前股价</x:v>
      </x:c>
      <x:c r="B13" s="40" t="n">
        <x:f>'Assumptions'!B4</x:f>
        <x:v>326.46</x:v>
      </x:c>
      <x:c r="C13" s="11" t="str">
        <x:v>2026-10-09收盘</x:v>
      </x:c>
    </x:row>
    <x:row r="14">
      <x:c r="A14" s="14" t="str">
        <x:v>保守摊薄股数</x:v>
      </x:c>
      <x:c r="B14" s="41" t="n">
        <x:f>'Assumptions'!B8</x:f>
        <x:v>705.4593269999999</x:v>
      </x:c>
      <x:c r="C14" s="14" t="str">
        <x:v>总股本+已授予H股奖励压力</x:v>
      </x:c>
    </x:row>
    <x:row r="15">
      <x:c r="A15" s="14" t="str">
        <x:v>A价等值市值</x:v>
      </x:c>
      <x:c r="B15" s="42" t="n">
        <x:f>'Assumptions'!B9</x:f>
        <x:v>230.30425189241996</x:v>
      </x:c>
      <x:c r="C15" s="14" t="str">
        <x:v>非真实A+H市值合计</x:v>
      </x:c>
    </x:row>
    <x:row r="16">
      <x:c r="A16" s="14" t="str">
        <x:v>2026H1扣非净利润</x:v>
      </x:c>
      <x:c r="B16" s="42" t="n">
        <x:f>'Historical'!F6</x:f>
        <x:v>4.883033</x:v>
      </x:c>
      <x:c r="C16" s="14" t="str">
        <x:v>核心盈利观察口径</x:v>
      </x:c>
    </x:row>
    <x:row r="17">
      <x:c r="A17" s="14" t="str">
        <x:v>2026H1经营现金流/扣非利润</x:v>
      </x:c>
      <x:c r="B17" s="43" t="n">
        <x:f>'Historical'!F11</x:f>
        <x:v>1.2386443016051703</x:v>
      </x:c>
      <x:c r="C17" s="14" t="str">
        <x:v>单期受营运资本影响</x:v>
      </x:c>
    </x:row>
    <x:row r="18">
      <x:c r="A18" s="14" t="str">
        <x:v>2026H1存储收入占比</x:v>
      </x:c>
      <x:c r="B18" s="43" t="n">
        <x:f>'Segments'!C4</x:f>
        <x:v>0.8497046584310363</x:v>
      </x:c>
      <x:c r="C18" s="14" t="str">
        <x:v>周期暴露显著上升</x:v>
      </x:c>
    </x:row>
    <x:row r="19">
      <x:c r="A19" s="14" t="str">
        <x:v>Bear价值</x:v>
      </x:c>
      <x:c r="B19" s="44" t="n">
        <x:f>'Valuation'!F5</x:f>
        <x:v>201.28729547578865</x:v>
      </x:c>
      <x:c r="C19" s="14" t="str">
        <x:v>2027毛利回归</x:v>
      </x:c>
    </x:row>
    <x:row r="20">
      <x:c r="A20" s="14" t="str">
        <x:v>Base价值</x:v>
      </x:c>
      <x:c r="B20" s="44" t="n">
        <x:f>'Valuation'!F6</x:f>
        <x:v>381.31184847174046</x:v>
      </x:c>
      <x:c r="C20" s="14" t="str">
        <x:v>2027部分高景气延续</x:v>
      </x:c>
    </x:row>
    <x:row r="21">
      <x:c r="A21" s="14" t="str">
        <x:v>Bull价值</x:v>
      </x:c>
      <x:c r="B21" s="44" t="n">
        <x:f>'Valuation'!F7</x:f>
        <x:v>642.1348228910723</x:v>
      </x:c>
      <x:c r="C21" s="14" t="str">
        <x:v>2027紧供给及新品持续</x:v>
      </x:c>
    </x:row>
    <x:row r="22">
      <x:c r="A22" s="14" t="str">
        <x:v>Base相对现价</x:v>
      </x:c>
      <x:c r="B22" s="45" t="n">
        <x:f>'Valuation'!G6</x:f>
        <x:v>0.16802012029571922</x:v>
      </x:c>
      <x:c r="C22" s="14" t="str">
        <x:v>情景差异，不是收益保证</x:v>
      </x:c>
    </x:row>
    <x:row r="23">
      <x:c r="A23" s="16" t="str">
        <x:v>基准隐含核心P/E</x:v>
      </x:c>
      <x:c r="B23" s="46" t="n">
        <x:f>('Assumptions'!B9-'Assumptions'!B24)/'Assumptions'!B22</x:f>
        <x:v>25.447559046167054</x:v>
      </x:c>
      <x:c r="C23" s="16" t="str">
        <x:v>当前市值扣基准投资价值</x:v>
      </x:c>
    </x:row>
    <x:row r="26">
      <x:c r="A26" s="19" t="str">
        <x:v>研究结论</x:v>
      </x:c>
      <x:c r="B26" s="20" t="str">
        <x:v>研究结论</x:v>
      </x:c>
      <x:c r="C26" s="20" t="str">
        <x:v>研究结论</x:v>
      </x:c>
      <x:c r="D26" s="20" t="str">
        <x:v>研究结论</x:v>
      </x:c>
      <x:c r="E26" s="20" t="str">
        <x:v>研究结论</x:v>
      </x:c>
      <x:c r="F26" s="20" t="str">
        <x:v>研究结论</x:v>
      </x:c>
      <x:c r="G26" s="20" t="str">
        <x:v>研究结论</x:v>
      </x:c>
      <x:c r="H26" s="21" t="str">
        <x:v>研究结论</x:v>
      </x:c>
    </x:row>
    <x:row r="27" ht="24" customHeight="1">
      <x:c r="A27" s="49" t="str">
        <x:v>2026H1收入115.66亿元、扣非利润48.83亿元，存储占收入85%、毛利率67.57%。代工涨价与大额投资收益要求保守正常化：主估值移至2027，利润60/85/115亿元，计入已授予H股奖励压力股本，未提前扣减拟注销回购。参考价326.46元，Base约381.31元、空间16.8%；结论中性偏积极。采购预算不等于订单，现金流需关注19.46亿元经营性应付增加。</x:v>
      </x:c>
      <x:c r="B27" s="49" t="str">
        <x:v>2026H1收入115.66亿元、扣非净利润48.83亿元，存储器收入同比增长245%、毛利率升至67.57%，盈利拐点极强。但归母净利润还包含19.74亿元非经常损益，且存储器占收入约85%，静态P/E会同时放大投资收益和周期峰值。模型用正常化扣非利润加折价金融投资估值：Bear/Base/Bull为249.18/447.10/645.02元。393元对应基准上行13.8%，安全边际有限，结论为中性观察；首要跟踪存储ASP、毛利率、库存与现金转换。</x:v>
      </x:c>
      <x:c r="C27" s="49" t="str">
        <x:v>2026H1收入115.66亿元、扣非净利润48.83亿元，存储器收入同比增长245%、毛利率升至67.57%，盈利拐点极强。但归母净利润还包含19.74亿元非经常损益，且存储器占收入约85%，静态P/E会同时放大投资收益和周期峰值。模型用正常化扣非利润加折价金融投资估值：Bear/Base/Bull为249.18/447.10/645.02元。393元对应基准上行13.8%，安全边际有限，结论为中性观察；首要跟踪存储ASP、毛利率、库存与现金转换。</x:v>
      </x:c>
      <x:c r="D27" s="49" t="str">
        <x:v>2026H1收入115.66亿元、扣非净利润48.83亿元，存储器收入同比增长245%、毛利率升至67.57%，盈利拐点极强。但归母净利润还包含19.74亿元非经常损益，且存储器占收入约85%，静态P/E会同时放大投资收益和周期峰值。模型用正常化扣非利润加折价金融投资估值：Bear/Base/Bull为249.18/447.10/645.02元。393元对应基准上行13.8%，安全边际有限，结论为中性观察；首要跟踪存储ASP、毛利率、库存与现金转换。</x:v>
      </x:c>
      <x:c r="E27" s="49" t="str">
        <x:v>2026H1收入115.66亿元、扣非净利润48.83亿元，存储器收入同比增长245%、毛利率升至67.57%，盈利拐点极强。但归母净利润还包含19.74亿元非经常损益，且存储器占收入约85%，静态P/E会同时放大投资收益和周期峰值。模型用正常化扣非利润加折价金融投资估值：Bear/Base/Bull为249.18/447.10/645.02元。393元对应基准上行13.8%，安全边际有限，结论为中性观察；首要跟踪存储ASP、毛利率、库存与现金转换。</x:v>
      </x:c>
      <x:c r="F27" s="49" t="str">
        <x:v>2026H1收入115.66亿元、扣非净利润48.83亿元，存储器收入同比增长245%、毛利率升至67.57%，盈利拐点极强。但归母净利润还包含19.74亿元非经常损益，且存储器占收入约85%，静态P/E会同时放大投资收益和周期峰值。模型用正常化扣非利润加折价金融投资估值：Bear/Base/Bull为249.18/447.10/645.02元。393元对应基准上行13.8%，安全边际有限，结论为中性观察；首要跟踪存储ASP、毛利率、库存与现金转换。</x:v>
      </x:c>
      <x:c r="G27" s="49" t="str">
        <x:v>2026H1收入115.66亿元、扣非净利润48.83亿元，存储器收入同比增长245%、毛利率升至67.57%，盈利拐点极强。但归母净利润还包含19.74亿元非经常损益，且存储器占收入约85%，静态P/E会同时放大投资收益和周期峰值。模型用正常化扣非利润加折价金融投资估值：Bear/Base/Bull为249.18/447.10/645.02元。393元对应基准上行13.8%，安全边际有限，结论为中性观察；首要跟踪存储ASP、毛利率、库存与现金转换。</x:v>
      </x:c>
      <x:c r="H27" s="49" t="str">
        <x:v>2026H1收入115.66亿元、扣非净利润48.83亿元，存储器收入同比增长245%、毛利率升至67.57%，盈利拐点极强。但归母净利润还包含19.74亿元非经常损益，且存储器占收入约85%，静态P/E会同时放大投资收益和周期峰值。模型用正常化扣非利润加折价金融投资估值：Bear/Base/Bull为249.18/447.10/645.02元。393元对应基准上行13.8%，安全边际有限，结论为中性观察；首要跟踪存储ASP、毛利率、库存与现金转换。</x:v>
      </x:c>
    </x:row>
    <x:row r="28" ht="24" customHeight="1">
      <x:c r="A28" s="49" t="str">
        <x:v>2026H1收入115.66亿元、扣非净利润48.83亿元，存储器收入同比增长245%、毛利率升至67.57%，盈利拐点极强。但归母净利润还包含19.74亿元非经常损益，且存储器占收入约85%，静态P/E会同时放大投资收益和周期峰值。模型用正常化扣非利润加折价金融投资估值：Bear/Base/Bull为249.18/447.10/645.02元。393元对应基准上行13.8%，安全边际有限，结论为中性观察；首要跟踪存储ASP、毛利率、库存与现金转换。</x:v>
      </x:c>
      <x:c r="B28" s="49" t="str">
        <x:v>2026H1收入115.66亿元、扣非净利润48.83亿元，存储器收入同比增长245%、毛利率升至67.57%，盈利拐点极强。但归母净利润还包含19.74亿元非经常损益，且存储器占收入约85%，静态P/E会同时放大投资收益和周期峰值。模型用正常化扣非利润加折价金融投资估值：Bear/Base/Bull为249.18/447.10/645.02元。393元对应基准上行13.8%，安全边际有限，结论为中性观察；首要跟踪存储ASP、毛利率、库存与现金转换。</x:v>
      </x:c>
      <x:c r="C28" s="49" t="str">
        <x:v>2026H1收入115.66亿元、扣非净利润48.83亿元，存储器收入同比增长245%、毛利率升至67.57%，盈利拐点极强。但归母净利润还包含19.74亿元非经常损益，且存储器占收入约85%，静态P/E会同时放大投资收益和周期峰值。模型用正常化扣非利润加折价金融投资估值：Bear/Base/Bull为249.18/447.10/645.02元。393元对应基准上行13.8%，安全边际有限，结论为中性观察；首要跟踪存储ASP、毛利率、库存与现金转换。</x:v>
      </x:c>
      <x:c r="D28" s="49" t="str">
        <x:v>2026H1收入115.66亿元、扣非净利润48.83亿元，存储器收入同比增长245%、毛利率升至67.57%，盈利拐点极强。但归母净利润还包含19.74亿元非经常损益，且存储器占收入约85%，静态P/E会同时放大投资收益和周期峰值。模型用正常化扣非利润加折价金融投资估值：Bear/Base/Bull为249.18/447.10/645.02元。393元对应基准上行13.8%，安全边际有限，结论为中性观察；首要跟踪存储ASP、毛利率、库存与现金转换。</x:v>
      </x:c>
      <x:c r="E28" s="49" t="str">
        <x:v>2026H1收入115.66亿元、扣非净利润48.83亿元，存储器收入同比增长245%、毛利率升至67.57%，盈利拐点极强。但归母净利润还包含19.74亿元非经常损益，且存储器占收入约85%，静态P/E会同时放大投资收益和周期峰值。模型用正常化扣非利润加折价金融投资估值：Bear/Base/Bull为249.18/447.10/645.02元。393元对应基准上行13.8%，安全边际有限，结论为中性观察；首要跟踪存储ASP、毛利率、库存与现金转换。</x:v>
      </x:c>
      <x:c r="F28" s="49" t="str">
        <x:v>2026H1收入115.66亿元、扣非净利润48.83亿元，存储器收入同比增长245%、毛利率升至67.57%，盈利拐点极强。但归母净利润还包含19.74亿元非经常损益，且存储器占收入约85%，静态P/E会同时放大投资收益和周期峰值。模型用正常化扣非利润加折价金融投资估值：Bear/Base/Bull为249.18/447.10/645.02元。393元对应基准上行13.8%，安全边际有限，结论为中性观察；首要跟踪存储ASP、毛利率、库存与现金转换。</x:v>
      </x:c>
      <x:c r="G28" s="49" t="str">
        <x:v>2026H1收入115.66亿元、扣非净利润48.83亿元，存储器收入同比增长245%、毛利率升至67.57%，盈利拐点极强。但归母净利润还包含19.74亿元非经常损益，且存储器占收入约85%，静态P/E会同时放大投资收益和周期峰值。模型用正常化扣非利润加折价金融投资估值：Bear/Base/Bull为249.18/447.10/645.02元。393元对应基准上行13.8%，安全边际有限，结论为中性观察；首要跟踪存储ASP、毛利率、库存与现金转换。</x:v>
      </x:c>
      <x:c r="H28" s="49" t="str">
        <x:v>2026H1收入115.66亿元、扣非净利润48.83亿元，存储器收入同比增长245%、毛利率升至67.57%，盈利拐点极强。但归母净利润还包含19.74亿元非经常损益，且存储器占收入约85%，静态P/E会同时放大投资收益和周期峰值。模型用正常化扣非利润加折价金融投资估值：Bear/Base/Bull为249.18/447.10/645.02元。393元对应基准上行13.8%，安全边际有限，结论为中性观察；首要跟踪存储ASP、毛利率、库存与现金转换。</x:v>
      </x:c>
    </x:row>
    <x:row r="29" ht="24" customHeight="1">
      <x:c r="A29" s="49" t="str">
        <x:v>2026H1收入115.66亿元、扣非净利润48.83亿元，存储器收入同比增长245%、毛利率升至67.57%，盈利拐点极强。但归母净利润还包含19.74亿元非经常损益，且存储器占收入约85%，静态P/E会同时放大投资收益和周期峰值。模型用正常化扣非利润加折价金融投资估值：Bear/Base/Bull为249.18/447.10/645.02元。393元对应基准上行13.8%，安全边际有限，结论为中性观察；首要跟踪存储ASP、毛利率、库存与现金转换。</x:v>
      </x:c>
      <x:c r="B29" s="49" t="str">
        <x:v>2026H1收入115.66亿元、扣非净利润48.83亿元，存储器收入同比增长245%、毛利率升至67.57%，盈利拐点极强。但归母净利润还包含19.74亿元非经常损益，且存储器占收入约85%，静态P/E会同时放大投资收益和周期峰值。模型用正常化扣非利润加折价金融投资估值：Bear/Base/Bull为249.18/447.10/645.02元。393元对应基准上行13.8%，安全边际有限，结论为中性观察；首要跟踪存储ASP、毛利率、库存与现金转换。</x:v>
      </x:c>
      <x:c r="C29" s="49" t="str">
        <x:v>2026H1收入115.66亿元、扣非净利润48.83亿元，存储器收入同比增长245%、毛利率升至67.57%，盈利拐点极强。但归母净利润还包含19.74亿元非经常损益，且存储器占收入约85%，静态P/E会同时放大投资收益和周期峰值。模型用正常化扣非利润加折价金融投资估值：Bear/Base/Bull为249.18/447.10/645.02元。393元对应基准上行13.8%，安全边际有限，结论为中性观察；首要跟踪存储ASP、毛利率、库存与现金转换。</x:v>
      </x:c>
      <x:c r="D29" s="49" t="str">
        <x:v>2026H1收入115.66亿元、扣非净利润48.83亿元，存储器收入同比增长245%、毛利率升至67.57%，盈利拐点极强。但归母净利润还包含19.74亿元非经常损益，且存储器占收入约85%，静态P/E会同时放大投资收益和周期峰值。模型用正常化扣非利润加折价金融投资估值：Bear/Base/Bull为249.18/447.10/645.02元。393元对应基准上行13.8%，安全边际有限，结论为中性观察；首要跟踪存储ASP、毛利率、库存与现金转换。</x:v>
      </x:c>
      <x:c r="E29" s="49" t="str">
        <x:v>2026H1收入115.66亿元、扣非净利润48.83亿元，存储器收入同比增长245%、毛利率升至67.57%，盈利拐点极强。但归母净利润还包含19.74亿元非经常损益，且存储器占收入约85%，静态P/E会同时放大投资收益和周期峰值。模型用正常化扣非利润加折价金融投资估值：Bear/Base/Bull为249.18/447.10/645.02元。393元对应基准上行13.8%，安全边际有限，结论为中性观察；首要跟踪存储ASP、毛利率、库存与现金转换。</x:v>
      </x:c>
      <x:c r="F29" s="49" t="str">
        <x:v>2026H1收入115.66亿元、扣非净利润48.83亿元，存储器收入同比增长245%、毛利率升至67.57%，盈利拐点极强。但归母净利润还包含19.74亿元非经常损益，且存储器占收入约85%，静态P/E会同时放大投资收益和周期峰值。模型用正常化扣非利润加折价金融投资估值：Bear/Base/Bull为249.18/447.10/645.02元。393元对应基准上行13.8%，安全边际有限，结论为中性观察；首要跟踪存储ASP、毛利率、库存与现金转换。</x:v>
      </x:c>
      <x:c r="G29" s="49" t="str">
        <x:v>2026H1收入115.66亿元、扣非净利润48.83亿元，存储器收入同比增长245%、毛利率升至67.57%，盈利拐点极强。但归母净利润还包含19.74亿元非经常损益，且存储器占收入约85%，静态P/E会同时放大投资收益和周期峰值。模型用正常化扣非利润加折价金融投资估值：Bear/Base/Bull为249.18/447.10/645.02元。393元对应基准上行13.8%，安全边际有限，结论为中性观察；首要跟踪存储ASP、毛利率、库存与现金转换。</x:v>
      </x:c>
      <x:c r="H29" s="49" t="str">
        <x:v>2026H1收入115.66亿元、扣非净利润48.83亿元，存储器收入同比增长245%、毛利率升至67.57%，盈利拐点极强。但归母净利润还包含19.74亿元非经常损益，且存储器占收入约85%，静态P/E会同时放大投资收益和周期峰值。模型用正常化扣非利润加折价金融投资估值：Bear/Base/Bull为249.18/447.10/645.02元。393元对应基准上行13.8%，安全边际有限，结论为中性观察；首要跟踪存储ASP、毛利率、库存与现金转换。</x:v>
      </x:c>
    </x:row>
    <x:row r="30" ht="24" customHeight="1">
      <x:c r="A30" s="49" t="str">
        <x:v>2026H1收入115.66亿元、扣非净利润48.83亿元，存储器收入同比增长245%、毛利率升至67.57%，盈利拐点极强。但归母净利润还包含19.74亿元非经常损益，且存储器占收入约85%，静态P/E会同时放大投资收益和周期峰值。模型用正常化扣非利润加折价金融投资估值：Bear/Base/Bull为249.18/447.10/645.02元。393元对应基准上行13.8%，安全边际有限，结论为中性观察；首要跟踪存储ASP、毛利率、库存与现金转换。</x:v>
      </x:c>
      <x:c r="B30" s="49" t="str">
        <x:v>2026H1收入115.66亿元、扣非净利润48.83亿元，存储器收入同比增长245%、毛利率升至67.57%，盈利拐点极强。但归母净利润还包含19.74亿元非经常损益，且存储器占收入约85%，静态P/E会同时放大投资收益和周期峰值。模型用正常化扣非利润加折价金融投资估值：Bear/Base/Bull为249.18/447.10/645.02元。393元对应基准上行13.8%，安全边际有限，结论为中性观察；首要跟踪存储ASP、毛利率、库存与现金转换。</x:v>
      </x:c>
      <x:c r="C30" s="49" t="str">
        <x:v>2026H1收入115.66亿元、扣非净利润48.83亿元，存储器收入同比增长245%、毛利率升至67.57%，盈利拐点极强。但归母净利润还包含19.74亿元非经常损益，且存储器占收入约85%，静态P/E会同时放大投资收益和周期峰值。模型用正常化扣非利润加折价金融投资估值：Bear/Base/Bull为249.18/447.10/645.02元。393元对应基准上行13.8%，安全边际有限，结论为中性观察；首要跟踪存储ASP、毛利率、库存与现金转换。</x:v>
      </x:c>
      <x:c r="D30" s="49" t="str">
        <x:v>2026H1收入115.66亿元、扣非净利润48.83亿元，存储器收入同比增长245%、毛利率升至67.57%，盈利拐点极强。但归母净利润还包含19.74亿元非经常损益，且存储器占收入约85%，静态P/E会同时放大投资收益和周期峰值。模型用正常化扣非利润加折价金融投资估值：Bear/Base/Bull为249.18/447.10/645.02元。393元对应基准上行13.8%，安全边际有限，结论为中性观察；首要跟踪存储ASP、毛利率、库存与现金转换。</x:v>
      </x:c>
      <x:c r="E30" s="49" t="str">
        <x:v>2026H1收入115.66亿元、扣非净利润48.83亿元，存储器收入同比增长245%、毛利率升至67.57%，盈利拐点极强。但归母净利润还包含19.74亿元非经常损益，且存储器占收入约85%，静态P/E会同时放大投资收益和周期峰值。模型用正常化扣非利润加折价金融投资估值：Bear/Base/Bull为249.18/447.10/645.02元。393元对应基准上行13.8%，安全边际有限，结论为中性观察；首要跟踪存储ASP、毛利率、库存与现金转换。</x:v>
      </x:c>
      <x:c r="F30" s="49" t="str">
        <x:v>2026H1收入115.66亿元、扣非净利润48.83亿元，存储器收入同比增长245%、毛利率升至67.57%，盈利拐点极强。但归母净利润还包含19.74亿元非经常损益，且存储器占收入约85%，静态P/E会同时放大投资收益和周期峰值。模型用正常化扣非利润加折价金融投资估值：Bear/Base/Bull为249.18/447.10/645.02元。393元对应基准上行13.8%，安全边际有限，结论为中性观察；首要跟踪存储ASP、毛利率、库存与现金转换。</x:v>
      </x:c>
      <x:c r="G30" s="49" t="str">
        <x:v>2026H1收入115.66亿元、扣非净利润48.83亿元，存储器收入同比增长245%、毛利率升至67.57%，盈利拐点极强。但归母净利润还包含19.74亿元非经常损益，且存储器占收入约85%，静态P/E会同时放大投资收益和周期峰值。模型用正常化扣非利润加折价金融投资估值：Bear/Base/Bull为249.18/447.10/645.02元。393元对应基准上行13.8%，安全边际有限，结论为中性观察；首要跟踪存储ASP、毛利率、库存与现金转换。</x:v>
      </x:c>
      <x:c r="H30" s="49" t="str">
        <x:v>2026H1收入115.66亿元、扣非净利润48.83亿元，存储器收入同比增长245%、毛利率升至67.57%，盈利拐点极强。但归母净利润还包含19.74亿元非经常损益，且存储器占收入约85%，静态P/E会同时放大投资收益和周期峰值。模型用正常化扣非利润加折价金融投资估值：Bear/Base/Bull为249.18/447.10/645.02元。393元对应基准上行13.8%，安全边际有限，结论为中性观察；首要跟踪存储ASP、毛利率、库存与现金转换。</x:v>
      </x:c>
    </x:row>
    <x:row r="31" ht="24" customHeight="1">
      <x:c r="A31" s="49" t="str">
        <x:v>2026H1收入115.66亿元、扣非净利润48.83亿元，存储器收入同比增长245%、毛利率升至67.57%，盈利拐点极强。但归母净利润还包含19.74亿元非经常损益，且存储器占收入约85%，静态P/E会同时放大投资收益和周期峰值。模型用正常化扣非利润加折价金融投资估值：Bear/Base/Bull为249.18/447.10/645.02元。393元对应基准上行13.8%，安全边际有限，结论为中性观察；首要跟踪存储ASP、毛利率、库存与现金转换。</x:v>
      </x:c>
      <x:c r="B31" s="49" t="str">
        <x:v>2026H1收入115.66亿元、扣非净利润48.83亿元，存储器收入同比增长245%、毛利率升至67.57%，盈利拐点极强。但归母净利润还包含19.74亿元非经常损益，且存储器占收入约85%，静态P/E会同时放大投资收益和周期峰值。模型用正常化扣非利润加折价金融投资估值：Bear/Base/Bull为249.18/447.10/645.02元。393元对应基准上行13.8%，安全边际有限，结论为中性观察；首要跟踪存储ASP、毛利率、库存与现金转换。</x:v>
      </x:c>
      <x:c r="C31" s="49" t="str">
        <x:v>2026H1收入115.66亿元、扣非净利润48.83亿元，存储器收入同比增长245%、毛利率升至67.57%，盈利拐点极强。但归母净利润还包含19.74亿元非经常损益，且存储器占收入约85%，静态P/E会同时放大投资收益和周期峰值。模型用正常化扣非利润加折价金融投资估值：Bear/Base/Bull为249.18/447.10/645.02元。393元对应基准上行13.8%，安全边际有限，结论为中性观察；首要跟踪存储ASP、毛利率、库存与现金转换。</x:v>
      </x:c>
      <x:c r="D31" s="49" t="str">
        <x:v>2026H1收入115.66亿元、扣非净利润48.83亿元，存储器收入同比增长245%、毛利率升至67.57%，盈利拐点极强。但归母净利润还包含19.74亿元非经常损益，且存储器占收入约85%，静态P/E会同时放大投资收益和周期峰值。模型用正常化扣非利润加折价金融投资估值：Bear/Base/Bull为249.18/447.10/645.02元。393元对应基准上行13.8%，安全边际有限，结论为中性观察；首要跟踪存储ASP、毛利率、库存与现金转换。</x:v>
      </x:c>
      <x:c r="E31" s="49" t="str">
        <x:v>2026H1收入115.66亿元、扣非净利润48.83亿元，存储器收入同比增长245%、毛利率升至67.57%，盈利拐点极强。但归母净利润还包含19.74亿元非经常损益，且存储器占收入约85%，静态P/E会同时放大投资收益和周期峰值。模型用正常化扣非利润加折价金融投资估值：Bear/Base/Bull为249.18/447.10/645.02元。393元对应基准上行13.8%，安全边际有限，结论为中性观察；首要跟踪存储ASP、毛利率、库存与现金转换。</x:v>
      </x:c>
      <x:c r="F31" s="49" t="str">
        <x:v>2026H1收入115.66亿元、扣非净利润48.83亿元，存储器收入同比增长245%、毛利率升至67.57%，盈利拐点极强。但归母净利润还包含19.74亿元非经常损益，且存储器占收入约85%，静态P/E会同时放大投资收益和周期峰值。模型用正常化扣非利润加折价金融投资估值：Bear/Base/Bull为249.18/447.10/645.02元。393元对应基准上行13.8%，安全边际有限，结论为中性观察；首要跟踪存储ASP、毛利率、库存与现金转换。</x:v>
      </x:c>
      <x:c r="G31" s="49" t="str">
        <x:v>2026H1收入115.66亿元、扣非净利润48.83亿元，存储器收入同比增长245%、毛利率升至67.57%，盈利拐点极强。但归母净利润还包含19.74亿元非经常损益，且存储器占收入约85%，静态P/E会同时放大投资收益和周期峰值。模型用正常化扣非利润加折价金融投资估值：Bear/Base/Bull为249.18/447.10/645.02元。393元对应基准上行13.8%，安全边际有限，结论为中性观察；首要跟踪存储ASP、毛利率、库存与现金转换。</x:v>
      </x:c>
      <x:c r="H31" s="49" t="str">
        <x:v>2026H1收入115.66亿元、扣非净利润48.83亿元，存储器收入同比增长245%、毛利率升至67.57%，盈利拐点极强。但归母净利润还包含19.74亿元非经常损益，且存储器占收入约85%，静态P/E会同时放大投资收益和周期峰值。模型用正常化扣非利润加折价金融投资估值：Bear/Base/Bull为249.18/447.10/645.02元。393元对应基准上行13.8%，安全边际有限，结论为中性观察；首要跟踪存储ASP、毛利率、库存与现金转换。</x:v>
      </x:c>
    </x:row>
    <x:row r="32" ht="24" customHeight="1">
      <x:c r="A32" s="49" t="str">
        <x:v>2026H1收入115.66亿元、扣非净利润48.83亿元，存储器收入同比增长245%、毛利率升至67.57%，盈利拐点极强。但归母净利润还包含19.74亿元非经常损益，且存储器占收入约85%，静态P/E会同时放大投资收益和周期峰值。模型用正常化扣非利润加折价金融投资估值：Bear/Base/Bull为249.18/447.10/645.02元。393元对应基准上行13.8%，安全边际有限，结论为中性观察；首要跟踪存储ASP、毛利率、库存与现金转换。</x:v>
      </x:c>
      <x:c r="B32" s="49" t="str">
        <x:v>2026H1收入115.66亿元、扣非净利润48.83亿元，存储器收入同比增长245%、毛利率升至67.57%，盈利拐点极强。但归母净利润还包含19.74亿元非经常损益，且存储器占收入约85%，静态P/E会同时放大投资收益和周期峰值。模型用正常化扣非利润加折价金融投资估值：Bear/Base/Bull为249.18/447.10/645.02元。393元对应基准上行13.8%，安全边际有限，结论为中性观察；首要跟踪存储ASP、毛利率、库存与现金转换。</x:v>
      </x:c>
      <x:c r="C32" s="49" t="str">
        <x:v>2026H1收入115.66亿元、扣非净利润48.83亿元，存储器收入同比增长245%、毛利率升至67.57%，盈利拐点极强。但归母净利润还包含19.74亿元非经常损益，且存储器占收入约85%，静态P/E会同时放大投资收益和周期峰值。模型用正常化扣非利润加折价金融投资估值：Bear/Base/Bull为249.18/447.10/645.02元。393元对应基准上行13.8%，安全边际有限，结论为中性观察；首要跟踪存储ASP、毛利率、库存与现金转换。</x:v>
      </x:c>
      <x:c r="D32" s="49" t="str">
        <x:v>2026H1收入115.66亿元、扣非净利润48.83亿元，存储器收入同比增长245%、毛利率升至67.57%，盈利拐点极强。但归母净利润还包含19.74亿元非经常损益，且存储器占收入约85%，静态P/E会同时放大投资收益和周期峰值。模型用正常化扣非利润加折价金融投资估值：Bear/Base/Bull为249.18/447.10/645.02元。393元对应基准上行13.8%，安全边际有限，结论为中性观察；首要跟踪存储ASP、毛利率、库存与现金转换。</x:v>
      </x:c>
      <x:c r="E32" s="49" t="str">
        <x:v>2026H1收入115.66亿元、扣非净利润48.83亿元，存储器收入同比增长245%、毛利率升至67.57%，盈利拐点极强。但归母净利润还包含19.74亿元非经常损益，且存储器占收入约85%，静态P/E会同时放大投资收益和周期峰值。模型用正常化扣非利润加折价金融投资估值：Bear/Base/Bull为249.18/447.10/645.02元。393元对应基准上行13.8%，安全边际有限，结论为中性观察；首要跟踪存储ASP、毛利率、库存与现金转换。</x:v>
      </x:c>
      <x:c r="F32" s="49" t="str">
        <x:v>2026H1收入115.66亿元、扣非净利润48.83亿元，存储器收入同比增长245%、毛利率升至67.57%，盈利拐点极强。但归母净利润还包含19.74亿元非经常损益，且存储器占收入约85%，静态P/E会同时放大投资收益和周期峰值。模型用正常化扣非利润加折价金融投资估值：Bear/Base/Bull为249.18/447.10/645.02元。393元对应基准上行13.8%，安全边际有限，结论为中性观察；首要跟踪存储ASP、毛利率、库存与现金转换。</x:v>
      </x:c>
      <x:c r="G32" s="49" t="str">
        <x:v>2026H1收入115.66亿元、扣非净利润48.83亿元，存储器收入同比增长245%、毛利率升至67.57%，盈利拐点极强。但归母净利润还包含19.74亿元非经常损益，且存储器占收入约85%，静态P/E会同时放大投资收益和周期峰值。模型用正常化扣非利润加折价金融投资估值：Bear/Base/Bull为249.18/447.10/645.02元。393元对应基准上行13.8%，安全边际有限，结论为中性观察；首要跟踪存储ASP、毛利率、库存与现金转换。</x:v>
      </x:c>
      <x:c r="H32" s="49" t="str">
        <x:v>2026H1收入115.66亿元、扣非净利润48.83亿元，存储器收入同比增长245%、毛利率升至67.57%，盈利拐点极强。但归母净利润还包含19.74亿元非经常损益，且存储器占收入约85%，静态P/E会同时放大投资收益和周期峰值。模型用正常化扣非利润加折价金融投资估值：Bear/Base/Bull为249.18/447.10/645.02元。393元对应基准上行13.8%，安全边际有限，结论为中性观察；首要跟踪存储ASP、毛利率、库存与现金转换。</x:v>
      </x:c>
    </x:row>
  </x:sheetData>
  <x:mergeCells>
    <x:mergeCell ref="A1:H1"/>
    <x:mergeCell ref="A26:H26"/>
    <x:mergeCell ref="A27:H32"/>
  </x:mergeCells>
  <x:pageMargins left="0.7" right="0.7" top="0.75" bottom="0.75" header="0.3" footer="0.3"/>
  <x:drawing xmlns:r="http://schemas.openxmlformats.org/officeDocument/2006/relationships" r:id="R20eaa558b65d4b5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0" customHeight="1">
      <x:c r="A1" s="3" t="str">
        <x:v>历史财务、季度拆分与盈利质量</x:v>
      </x:c>
      <x:c r="B1" s="3" t="str">
        <x:v>历史财务、季度拆分与盈利质量</x:v>
      </x:c>
      <x:c r="C1" s="3" t="str">
        <x:v>历史财务、季度拆分与盈利质量</x:v>
      </x:c>
      <x:c r="D1" s="3" t="str">
        <x:v>历史财务、季度拆分与盈利质量</x:v>
      </x:c>
      <x:c r="E1" s="3" t="str">
        <x:v>历史财务、季度拆分与盈利质量</x:v>
      </x:c>
      <x:c r="F1" s="3" t="str">
        <x:v>历史财务、季度拆分与盈利质量</x:v>
      </x:c>
      <x:c r="G1" s="3" t="str">
        <x:v>历史财务、季度拆分与盈利质量</x:v>
      </x:c>
    </x:row>
    <x:row r="3">
      <x:c r="A3" s="52" t="str">
        <x:v>指标（RMB bn，除注明外）</x:v>
      </x:c>
      <x:c r="B3" s="53" t="str">
        <x:v>2023A</x:v>
      </x:c>
      <x:c r="C3" s="53" t="str">
        <x:v>2024A</x:v>
      </x:c>
      <x:c r="D3" s="53" t="str">
        <x:v>2025A</x:v>
      </x:c>
      <x:c r="E3" s="53" t="str">
        <x:v>2026Q1</x:v>
      </x:c>
      <x:c r="F3" s="53" t="str">
        <x:v>2026H1</x:v>
      </x:c>
      <x:c r="G3" s="54" t="str">
        <x:v>2026Q2 计算</x:v>
      </x:c>
    </x:row>
    <x:row r="4">
      <x:c r="A4" s="11" t="str">
        <x:v>营业收入</x:v>
      </x:c>
      <x:c r="B4" s="65" t="n">
        <x:v>5.760823</x:v>
      </x:c>
      <x:c r="C4" s="65" t="n">
        <x:v>7.355978</x:v>
      </x:c>
      <x:c r="D4" s="65" t="n">
        <x:v>9.203463</x:v>
      </x:c>
      <x:c r="E4" s="65" t="n">
        <x:v>4.188076</x:v>
      </x:c>
      <x:c r="F4" s="65" t="n">
        <x:v>11.56576</x:v>
      </x:c>
      <x:c r="G4" s="65" t="n">
        <x:f>F4-E4</x:f>
        <x:v>7.3776839999999995</x:v>
      </x:c>
    </x:row>
    <x:row r="5">
      <x:c r="A5" s="14" t="str">
        <x:v>归母净利润</x:v>
      </x:c>
      <x:c r="B5" s="66" t="n">
        <x:v>0.161141</x:v>
      </x:c>
      <x:c r="C5" s="66" t="n">
        <x:v>1.102543</x:v>
      </x:c>
      <x:c r="D5" s="66" t="n">
        <x:v>1.648022</x:v>
      </x:c>
      <x:c r="E5" s="66" t="n">
        <x:v>1.461248</x:v>
      </x:c>
      <x:c r="F5" s="66" t="n">
        <x:v>6.856786</x:v>
      </x:c>
      <x:c r="G5" s="66" t="n">
        <x:f>F5-E5</x:f>
        <x:v>5.395537999999999</x:v>
      </x:c>
    </x:row>
    <x:row r="6">
      <x:c r="A6" s="14" t="str">
        <x:v>扣非归母净利润</x:v>
      </x:c>
      <x:c r="B6" s="66" t="n">
        <x:v>0.027401</x:v>
      </x:c>
      <x:c r="C6" s="66" t="n">
        <x:v>1.030479</x:v>
      </x:c>
      <x:c r="D6" s="66" t="n">
        <x:v>1.469196</x:v>
      </x:c>
      <x:c r="E6" s="66" t="n">
        <x:v>1.410064</x:v>
      </x:c>
      <x:c r="F6" s="66" t="n">
        <x:v>4.883033</x:v>
      </x:c>
      <x:c r="G6" s="66" t="n">
        <x:f>F6-E6</x:f>
        <x:v>3.472969</x:v>
      </x:c>
    </x:row>
    <x:row r="7">
      <x:c r="A7" s="14" t="str">
        <x:v>经营现金流</x:v>
      </x:c>
      <x:c r="B7" s="66" t="n">
        <x:v>1.186749</x:v>
      </x:c>
      <x:c r="C7" s="66" t="n">
        <x:v>2.03223</x:v>
      </x:c>
      <x:c r="D7" s="66" t="n">
        <x:v>2.128504</x:v>
      </x:c>
      <x:c r="E7" s="66" t="n">
        <x:v>1.783057</x:v>
      </x:c>
      <x:c r="F7" s="66" t="n">
        <x:v>6.048341</x:v>
      </x:c>
      <x:c r="G7" s="66" t="n">
        <x:f>F7-E7</x:f>
        <x:v>4.265283999999999</x:v>
      </x:c>
    </x:row>
    <x:row r="8">
      <x:c r="A8" s="67" t="str">
        <x:v>综合毛利率</x:v>
      </x:c>
      <x:c r="B8" s="68"/>
      <x:c r="C8" s="68" t="n">
        <x:v>0.357</x:v>
      </x:c>
      <x:c r="D8" s="68" t="n">
        <x:v>0.391</x:v>
      </x:c>
      <x:c r="E8" s="68"/>
      <x:c r="F8" s="68" t="n">
        <x:f>(F4-4.264244)/F4</x:f>
        <x:v>0.6313044711285726</x:v>
      </x:c>
      <x:c r="G8" s="68" t="n">
        <x:f>(G4-(4.264244-1.534991))/G4</x:f>
        <x:v>0.6300664273503718</x:v>
      </x:c>
    </x:row>
    <x:row r="9">
      <x:c r="A9" s="67" t="str">
        <x:v>归母净利率</x:v>
      </x:c>
      <x:c r="B9" s="68" t="n">
        <x:f>B5/B4</x:f>
        <x:v>0.027971871380183005</x:v>
      </x:c>
      <x:c r="C9" s="68" t="n">
        <x:f>C5/C4</x:f>
        <x:v>0.14988394473175423</x:v>
      </x:c>
      <x:c r="D9" s="68" t="n">
        <x:f>D5/D4</x:f>
        <x:v>0.17906542352590543</x:v>
      </x:c>
      <x:c r="E9" s="68" t="n">
        <x:f>E5/E4</x:f>
        <x:v>0.34890675336359706</x:v>
      </x:c>
      <x:c r="F9" s="68" t="n">
        <x:f>F5/F4</x:f>
        <x:v>0.5928521774617491</x:v>
      </x:c>
      <x:c r="G9" s="68" t="n">
        <x:f>G5/G4</x:f>
        <x:v>0.7313322175360181</x:v>
      </x:c>
    </x:row>
    <x:row r="10">
      <x:c r="A10" s="67" t="str">
        <x:v>扣非净利率</x:v>
      </x:c>
      <x:c r="B10" s="68" t="n">
        <x:f>B6/B4</x:f>
        <x:v>0.004756438446381706</x:v>
      </x:c>
      <x:c r="C10" s="68" t="n">
        <x:f>C6/C4</x:f>
        <x:v>0.14008728682984095</x:v>
      </x:c>
      <x:c r="D10" s="68" t="n">
        <x:f>D6/D4</x:f>
        <x:v>0.15963512864668442</x:v>
      </x:c>
      <x:c r="E10" s="68" t="n">
        <x:f>E6/E4</x:f>
        <x:v>0.3366853896634159</x:v>
      </x:c>
      <x:c r="F10" s="68" t="n">
        <x:f>F6/F4</x:f>
        <x:v>0.4221973307417758</x:v>
      </x:c>
      <x:c r="G10" s="68" t="n">
        <x:f>G6/G4</x:f>
        <x:v>0.4707397334990222</x:v>
      </x:c>
    </x:row>
    <x:row r="11">
      <x:c r="A11" s="67" t="str">
        <x:v>CFO/扣非净利润</x:v>
      </x:c>
      <x:c r="B11" s="68" t="n">
        <x:f>B7/B6</x:f>
        <x:v>43.31042662676545</x:v>
      </x:c>
      <x:c r="C11" s="68" t="n">
        <x:f>C7/C6</x:f>
        <x:v>1.9721217026256725</x:v>
      </x:c>
      <x:c r="D11" s="68" t="n">
        <x:f>D7/D6</x:f>
        <x:v>1.44875428465637</x:v>
      </x:c>
      <x:c r="E11" s="68" t="n">
        <x:f>E7/E6</x:f>
        <x:v>1.2645220358792224</x:v>
      </x:c>
      <x:c r="F11" s="68" t="n">
        <x:f>F7/F6</x:f>
        <x:v>1.2386443016051703</x:v>
      </x:c>
      <x:c r="G11" s="68" t="n">
        <x:f>G7/G6</x:f>
        <x:v>1.2281376539784834</x:v>
      </x:c>
    </x:row>
    <x:row r="12">
      <x:c r="A12" s="67" t="str">
        <x:v>非经常损益</x:v>
      </x:c>
      <x:c r="B12" s="69" t="n">
        <x:f>B5-B6</x:f>
        <x:v>0.13374</x:v>
      </x:c>
      <x:c r="C12" s="69" t="n">
        <x:f>C5-C6</x:f>
        <x:v>0.07206400000000013</x:v>
      </x:c>
      <x:c r="D12" s="69" t="n">
        <x:f>D5-D6</x:f>
        <x:v>0.17882600000000015</x:v>
      </x:c>
      <x:c r="E12" s="69" t="n">
        <x:f>E5-E6</x:f>
        <x:v>0.05118400000000012</x:v>
      </x:c>
      <x:c r="F12" s="69" t="n">
        <x:f>F5-F6</x:f>
        <x:v>1.9737529999999994</x:v>
      </x:c>
      <x:c r="G12" s="69" t="n">
        <x:f>G5-G6</x:f>
        <x:v>1.9225689999999993</x:v>
      </x:c>
    </x:row>
    <x:row r="13">
      <x:c r="A13" s="14" t="str">
        <x:v>研发费用</x:v>
      </x:c>
      <x:c r="B13" s="66"/>
      <x:c r="C13" s="66"/>
      <x:c r="D13" s="66" t="n">
        <x:v>1.116992</x:v>
      </x:c>
      <x:c r="E13" s="66"/>
      <x:c r="F13" s="66" t="n">
        <x:v>0.764817</x:v>
      </x:c>
      <x:c r="G13" s="66"/>
    </x:row>
    <x:row r="14">
      <x:c r="A14" s="14" t="str">
        <x:v>总资产</x:v>
      </x:c>
      <x:c r="B14" s="66"/>
      <x:c r="C14" s="66"/>
      <x:c r="D14" s="66"/>
      <x:c r="E14" s="66"/>
      <x:c r="F14" s="66" t="n">
        <x:v>42.405173</x:v>
      </x:c>
      <x:c r="G14" s="66"/>
    </x:row>
    <x:row r="15">
      <x:c r="A15" s="14" t="str">
        <x:v>归母净资产</x:v>
      </x:c>
      <x:c r="B15" s="66" t="n">
        <x:v>15.199577</x:v>
      </x:c>
      <x:c r="C15" s="66" t="n">
        <x:v>16.498508</x:v>
      </x:c>
      <x:c r="D15" s="66"/>
      <x:c r="E15" s="66"/>
      <x:c r="F15" s="66" t="n">
        <x:v>37.283403</x:v>
      </x:c>
      <x:c r="G15" s="66"/>
    </x:row>
    <x:row r="16">
      <x:c r="A16" s="14" t="str">
        <x:v>期末存货</x:v>
      </x:c>
      <x:c r="B16" s="66"/>
      <x:c r="C16" s="66"/>
      <x:c r="D16" s="66" t="n">
        <x:v>3.065974</x:v>
      </x:c>
      <x:c r="E16" s="66"/>
      <x:c r="F16" s="66" t="n">
        <x:v>4.184225</x:v>
      </x:c>
      <x:c r="G16" s="66"/>
    </x:row>
    <x:row r="17">
      <x:c r="A17" s="70" t="str">
        <x:v>资料口径</x:v>
      </x:c>
      <x:c r="B17" s="70" t="str">
        <x:v>经审计年报</x:v>
      </x:c>
      <x:c r="C17" s="70" t="str">
        <x:v>经审计年报</x:v>
      </x:c>
      <x:c r="D17" s="70" t="str">
        <x:v>经审计年报</x:v>
      </x:c>
      <x:c r="E17" s="70" t="str">
        <x:v>未经审计</x:v>
      </x:c>
      <x:c r="F17" s="70" t="str">
        <x:v>未经审计</x:v>
      </x:c>
      <x:c r="G17" s="70" t="str">
        <x:v>H1-Q1研究计算</x:v>
      </x:c>
    </x:row>
    <x:row r="19" ht="24" customHeight="1">
      <x:c r="A19" s="156" t="str">
        <x:v>2026H1补充现金质量（十亿元人民币；S1 p55/143/147）</x:v>
      </x:c>
      <x:c r="B19" s="156"/>
      <x:c r="C19" s="156"/>
      <x:c r="D19" s="156"/>
      <x:c r="E19" s="156"/>
      <x:c r="F19" s="156"/>
      <x:c r="G19" s="156"/>
    </x:row>
    <x:row r="20" ht="23" customHeight="1">
      <x:c r="A20" t="str">
        <x:v>现金资本开支</x:v>
      </x:c>
      <x:c r="F20" s="162" t="n">
        <x:v>0.94510542708</x:v>
      </x:c>
    </x:row>
    <x:row r="21" ht="23" customHeight="1">
      <x:c r="A21" t="str">
        <x:v>简化自由现金流</x:v>
      </x:c>
      <x:c r="F21" s="163" t="n">
        <x:f>F7-F20</x:f>
        <x:v>5.10323557292</x:v>
      </x:c>
    </x:row>
    <x:row r="22" ht="23" customHeight="1">
      <x:c r="A22" t="str">
        <x:v>经营性应付增加</x:v>
      </x:c>
      <x:c r="F22" s="162" t="n">
        <x:v>1.9464313616</x:v>
      </x:c>
    </x:row>
    <x:row r="23" ht="23" customHeight="1">
      <x:c r="A23" t="str">
        <x:v>经营性应收占款</x:v>
      </x:c>
      <x:c r="F23" s="162" t="n">
        <x:v>0.130666393</x:v>
      </x:c>
    </x:row>
    <x:row r="24" ht="23" customHeight="1">
      <x:c r="A24" t="str">
        <x:v>存货现金占款</x:v>
      </x:c>
      <x:c r="F24" s="162" t="n">
        <x:v>1.20318996434</x:v>
      </x:c>
    </x:row>
    <x:row r="25" ht="23" customHeight="1">
      <x:c r="A25" t="str">
        <x:v>本期资本化研发新增</x:v>
      </x:c>
      <x:c r="F25" s="162" t="n">
        <x:v>0.20089620902</x:v>
      </x:c>
    </x:row>
    <x:row r="27">
      <x:c r="A27" s="167" t="str">
        <x:v>现金流调节表存货占款1.203bn不等于存货净额增加1.118bn；经营性应付增加1.946bn不只含应付账款。CFO/扣非123.9%须结合营运资本和研发资本化观察。</x:v>
      </x:c>
      <x:c r="B27" s="167"/>
      <x:c r="C27" s="167"/>
      <x:c r="D27" s="167"/>
      <x:c r="E27" s="167"/>
      <x:c r="F27" s="167"/>
      <x:c r="G27" s="167"/>
    </x:row>
    <x:row r="28">
      <x:c r="A28" s="167"/>
      <x:c r="B28" s="167"/>
      <x:c r="C28" s="167"/>
      <x:c r="D28" s="167"/>
      <x:c r="E28" s="167"/>
      <x:c r="F28" s="167"/>
      <x:c r="G28" s="167"/>
    </x:row>
    <x:row r="29">
      <x:c r="A29" s="167"/>
      <x:c r="B29" s="167"/>
      <x:c r="C29" s="167"/>
      <x:c r="D29" s="167"/>
      <x:c r="E29" s="167"/>
      <x:c r="F29" s="167"/>
      <x:c r="G29" s="167"/>
    </x:row>
  </x:sheetData>
  <x:mergeCells>
    <x:mergeCell ref="A1:G1"/>
    <x:mergeCell ref="A19:G19"/>
    <x:mergeCell ref="A27:G2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22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30" customHeight="1">
      <x:c r="A1" s="3" t="str">
        <x:v>分产品与地区：周期暴露和利润结构</x:v>
      </x:c>
      <x:c r="B1" s="3" t="str">
        <x:v>分产品与地区：周期暴露和利润结构</x:v>
      </x:c>
      <x:c r="C1" s="3" t="str">
        <x:v>分产品与地区：周期暴露和利润结构</x:v>
      </x:c>
      <x:c r="D1" s="3" t="str">
        <x:v>分产品与地区：周期暴露和利润结构</x:v>
      </x:c>
      <x:c r="E1" s="3" t="str">
        <x:v>分产品与地区：周期暴露和利润结构</x:v>
      </x:c>
      <x:c r="F1" s="3" t="str">
        <x:v>分产品与地区：周期暴露和利润结构</x:v>
      </x:c>
      <x:c r="G1" s="3" t="str">
        <x:v>分产品与地区：周期暴露和利润结构</x:v>
      </x:c>
      <x:c r="H1" s="3" t="str">
        <x:v>分产品与地区：周期暴露和利润结构</x:v>
      </x:c>
      <x:c r="I1" s="3" t="str">
        <x:v>分产品与地区：周期暴露和利润结构</x:v>
      </x:c>
      <x:c r="J1" s="3" t="str">
        <x:v>分产品与地区：周期暴露和利润结构</x:v>
      </x:c>
    </x:row>
    <x:row r="3">
      <x:c r="A3" s="19" t="str">
        <x:v>产品</x:v>
      </x:c>
      <x:c r="B3" s="20" t="str">
        <x:v>2026H1收入</x:v>
      </x:c>
      <x:c r="C3" s="20" t="str">
        <x:v>收入占比</x:v>
      </x:c>
      <x:c r="D3" s="20" t="str">
        <x:v>2026H1成本</x:v>
      </x:c>
      <x:c r="E3" s="20" t="str">
        <x:v>毛利率</x:v>
      </x:c>
      <x:c r="F3" s="21" t="str">
        <x:v>同比收入</x:v>
      </x:c>
      <x:c r="G3" s="19" t="str">
        <x:v>地区</x:v>
      </x:c>
      <x:c r="H3" s="20" t="str">
        <x:v>2026H1收入</x:v>
      </x:c>
      <x:c r="I3" s="20" t="str">
        <x:v>收入占比</x:v>
      </x:c>
      <x:c r="J3" s="21" t="str">
        <x:v>毛利率</x:v>
      </x:c>
    </x:row>
    <x:row r="4">
      <x:c r="A4" s="11" t="str">
        <x:v>存储器</x:v>
      </x:c>
      <x:c r="B4" s="65" t="n">
        <x:v>9.827481</x:v>
      </x:c>
      <x:c r="C4" s="85" t="n">
        <x:f>B4/SUM($B$4:$B$8)</x:f>
        <x:v>0.8497046584310363</x:v>
      </x:c>
      <x:c r="D4" s="65" t="n">
        <x:v>3.186961</x:v>
      </x:c>
      <x:c r="E4" s="86" t="n">
        <x:f>(B4-D4)/B4</x:f>
        <x:v>0.6757092687332593</x:v>
      </x:c>
      <x:c r="F4" s="86" t="n">
        <x:v>2.4544</x:v>
      </x:c>
      <x:c r="G4" s="11" t="str">
        <x:v>中国大陆</x:v>
      </x:c>
      <x:c r="H4" s="65" t="n">
        <x:v>2.903369</x:v>
      </x:c>
      <x:c r="I4" s="85" t="n">
        <x:f>H4/SUM($H$4:$H$6)</x:f>
        <x:v>0.2510313847917141</x:v>
      </x:c>
      <x:c r="J4" s="85" t="n">
        <x:f>(H4-K4)/H4</x:f>
        <x:v>0.5425789832432598</x:v>
      </x:c>
      <x:c r="K4" t="n">
        <x:v>1.328062</x:v>
      </x:c>
    </x:row>
    <x:row r="5">
      <x:c r="A5" s="14" t="str">
        <x:v>MCU</x:v>
      </x:c>
      <x:c r="B5" s="66" t="n">
        <x:v>1.429762</x:v>
      </x:c>
      <x:c r="C5" s="87" t="n">
        <x:f>B5/SUM($B$4:$B$8)</x:f>
        <x:v>0.12362022697857927</x:v>
      </x:c>
      <x:c r="D5" s="66" t="n">
        <x:v>0.879515</x:v>
      </x:c>
      <x:c r="E5" s="88" t="n">
        <x:f>(B5-D5)/B5</x:f>
        <x:v>0.3848521642063504</x:v>
      </x:c>
      <x:c r="F5" s="88" t="n">
        <x:v>0.4907</x:v>
      </x:c>
      <x:c r="G5" s="14" t="str">
        <x:v>中国香港</x:v>
      </x:c>
      <x:c r="H5" s="66" t="n">
        <x:v>6.931323</x:v>
      </x:c>
      <x:c r="I5" s="87" t="n">
        <x:f>H5/SUM($H$4:$H$6)</x:f>
        <x:v>0.5992967518522992</x:v>
      </x:c>
      <x:c r="J5" s="87" t="n">
        <x:f>(H5-K5)/H5</x:f>
        <x:v>0.6661765726398843</x:v>
      </x:c>
      <x:c r="K5" t="n">
        <x:v>2.313838</x:v>
      </x:c>
    </x:row>
    <x:row r="6">
      <x:c r="A6" s="14" t="str">
        <x:v>传感器</x:v>
      </x:c>
      <x:c r="B6" s="66" t="n">
        <x:v>0.100251</x:v>
      </x:c>
      <x:c r="C6" s="87" t="n">
        <x:f>B6/SUM($B$4:$B$8)</x:f>
        <x:v>0.008667912124416198</x:v>
      </x:c>
      <x:c r="D6" s="66" t="n">
        <x:v>0.080606</x:v>
      </x:c>
      <x:c r="E6" s="88" t="n">
        <x:f>(B6-D6)/B6</x:f>
        <x:v>0.19595814505590975</x:v>
      </x:c>
      <x:c r="F6" s="88"/>
      <x:c r="G6" s="16" t="str">
        <x:v>其他地区</x:v>
      </x:c>
      <x:c r="H6" s="93" t="n">
        <x:v>1.731069</x:v>
      </x:c>
      <x:c r="I6" s="94" t="n">
        <x:f>H6/SUM($H$4:$H$6)</x:f>
        <x:v>0.1496718633559867</x:v>
      </x:c>
      <x:c r="J6" s="94" t="n">
        <x:f>(H6-K6)/H6</x:f>
        <x:v>0.6404863122151687</x:v>
      </x:c>
      <x:c r="K6" t="n">
        <x:v>0.622343</x:v>
      </x:c>
    </x:row>
    <x:row r="7">
      <x:c r="A7" s="14" t="str">
        <x:v>模拟芯片</x:v>
      </x:c>
      <x:c r="B7" s="66" t="n">
        <x:v>0.190641</x:v>
      </x:c>
      <x:c r="C7" s="87" t="n">
        <x:f>B7/SUM($B$4:$B$8)</x:f>
        <x:v>0.016483221467225546</x:v>
      </x:c>
      <x:c r="D7" s="66" t="n">
        <x:v>0.113432</x:v>
      </x:c>
      <x:c r="E7" s="88" t="n">
        <x:f>(B7-D7)/B7</x:f>
        <x:v>0.40499682649587443</x:v>
      </x:c>
      <x:c r="F7" s="88"/>
    </x:row>
    <x:row r="8">
      <x:c r="A8" s="14" t="str">
        <x:v>其他</x:v>
      </x:c>
      <x:c r="B8" s="66" t="n">
        <x:v>0.017626</x:v>
      </x:c>
      <x:c r="C8" s="87" t="n">
        <x:f>B8/SUM($B$4:$B$8)</x:f>
        <x:v>0.0015239809987427546</x:v>
      </x:c>
      <x:c r="D8" s="66" t="n">
        <x:v>0.00373</x:v>
      </x:c>
      <x:c r="E8" s="88" t="n">
        <x:f>(B8-D8)/B8</x:f>
        <x:v>0.7883808010892999</x:v>
      </x:c>
      <x:c r="F8" s="88"/>
    </x:row>
    <x:row r="9">
      <x:c r="A9" s="89" t="str">
        <x:v>合计</x:v>
      </x:c>
      <x:c r="B9" s="90" t="n">
        <x:f>SUM(B4:B8)</x:f>
        <x:v>11.565761</x:v>
      </x:c>
      <x:c r="C9" s="91" t="n">
        <x:f>SUM(C4:C8)</x:f>
        <x:v>1</x:v>
      </x:c>
      <x:c r="D9" s="90" t="n">
        <x:f>SUM(D4:D8)</x:f>
        <x:v>4.264244000000001</x:v>
      </x:c>
      <x:c r="E9" s="92" t="n">
        <x:f>(B9-D9)/B9</x:f>
        <x:v>0.6313045030067628</x:v>
      </x:c>
      <x:c r="F9" s="92"/>
    </x:row>
    <x:row r="10">
      <x:c r="G10" s="19" t="str">
        <x:v>资产/运营指标</x:v>
      </x:c>
      <x:c r="H10" s="20" t="str">
        <x:v>2025-12-31</x:v>
      </x:c>
      <x:c r="I10" s="20" t="str">
        <x:v>2026-06-30</x:v>
      </x:c>
      <x:c r="J10" s="21" t="str">
        <x:v>变化</x:v>
      </x:c>
    </x:row>
    <x:row r="11">
      <x:c r="G11" s="11" t="str">
        <x:v>货币资金</x:v>
      </x:c>
      <x:c r="H11" s="65" t="n">
        <x:v>9.18626998261</x:v>
      </x:c>
      <x:c r="I11" s="65" t="n">
        <x:v>16.964598</x:v>
      </x:c>
      <x:c r="J11" s="86" t="n">
        <x:f>IF(H11=0,"",I11/H11-1)</x:f>
        <x:v>0.846734096876611</x:v>
      </x:c>
    </x:row>
    <x:row r="12">
      <x:c r="A12" s="19" t="str">
        <x:v>产品</x:v>
      </x:c>
      <x:c r="B12" s="20" t="str">
        <x:v>2025收入</x:v>
      </x:c>
      <x:c r="C12" s="20" t="str">
        <x:v>收入占比</x:v>
      </x:c>
      <x:c r="D12" s="20" t="str">
        <x:v>2025A毛利率</x:v>
      </x:c>
      <x:c r="E12" s="21" t="str">
        <x:v>备注</x:v>
      </x:c>
      <x:c r="G12" s="14" t="str">
        <x:v>存货</x:v>
      </x:c>
      <x:c r="H12" s="66" t="n">
        <x:v>3.065974</x:v>
      </x:c>
      <x:c r="I12" s="66" t="n">
        <x:v>4.184225</x:v>
      </x:c>
      <x:c r="J12" s="88" t="n">
        <x:f>IF(H12=0,"",I12/H12-1)</x:f>
        <x:v>0.3647294464988937</x:v>
      </x:c>
    </x:row>
    <x:row r="13">
      <x:c r="A13" s="11" t="str">
        <x:v>存储器</x:v>
      </x:c>
      <x:c r="B13" s="65" t="n">
        <x:v>6.56594</x:v>
      </x:c>
      <x:c r="C13" s="85" t="n">
        <x:f>B13/SUM($B$13:$B$17)</x:f>
        <x:v>0.713420589619364</x:v>
      </x:c>
      <x:c r="D13" s="85" t="n">
        <x:v>0.428</x:v>
      </x:c>
      <x:c r="E13" s="11" t="str">
        <x:v>周期核心</x:v>
      </x:c>
      <x:c r="G13" s="14" t="str">
        <x:v>应收账款</x:v>
      </x:c>
      <x:c r="H13" s="66" t="n">
        <x:v>0.192618</x:v>
      </x:c>
      <x:c r="I13" s="66" t="n">
        <x:v>0.43569</x:v>
      </x:c>
      <x:c r="J13" s="88" t="n">
        <x:f>IF(H13=0,"",I13/H13-1)</x:f>
        <x:v>1.2619381366227453</x:v>
      </x:c>
    </x:row>
    <x:row r="14">
      <x:c r="A14" s="14" t="str">
        <x:v>MCU</x:v>
      </x:c>
      <x:c r="B14" s="66" t="n">
        <x:v>1.909898</x:v>
      </x:c>
      <x:c r="C14" s="87" t="n">
        <x:f>B14/SUM($B$13:$B$17)</x:f>
        <x:v>0.20751949565071323</x:v>
      </x:c>
      <x:c r="D14" s="87" t="n">
        <x:v>0.358</x:v>
      </x:c>
      <x:c r="E14" s="14" t="str">
        <x:v>第二增长曲线</x:v>
      </x:c>
      <x:c r="G14" s="14" t="str">
        <x:v>应付账款</x:v>
      </x:c>
      <x:c r="H14" s="66" t="n">
        <x:v>0.812929</x:v>
      </x:c>
      <x:c r="I14" s="66" t="n">
        <x:v>1.64935</x:v>
      </x:c>
      <x:c r="J14" s="88" t="n">
        <x:f>IF(H14=0,"",I14/H14-1)</x:f>
        <x:v>1.028897972639677</x:v>
      </x:c>
    </x:row>
    <x:row r="15">
      <x:c r="A15" s="14" t="str">
        <x:v>传感器</x:v>
      </x:c>
      <x:c r="B15" s="66" t="n">
        <x:v>0.389355</x:v>
      </x:c>
      <x:c r="C15" s="87" t="n">
        <x:f>B15/SUM($B$13:$B$17)</x:f>
        <x:v>0.04230527139621249</x:v>
      </x:c>
      <x:c r="D15" s="87" t="n">
        <x:v>0.196</x:v>
      </x:c>
      <x:c r="E15" s="14" t="str">
        <x:v>盈利偏弱</x:v>
      </x:c>
      <x:c r="G15" s="14" t="str">
        <x:v>金融投资合计</x:v>
      </x:c>
      <x:c r="H15" s="66" t="n">
        <x:v>4.79</x:v>
      </x:c>
      <x:c r="I15" s="66" t="n">
        <x:v>16.02</x:v>
      </x:c>
      <x:c r="J15" s="88" t="n">
        <x:f>IF(H15=0,"",I15/H15-1)</x:f>
        <x:v>2.3444676409185803</x:v>
      </x:c>
    </x:row>
    <x:row r="16">
      <x:c r="A16" s="14" t="str">
        <x:v>模拟芯片</x:v>
      </x:c>
      <x:c r="B16" s="66" t="n">
        <x:v>0.332844</x:v>
      </x:c>
      <x:c r="C16" s="87" t="n">
        <x:f>B16/SUM($B$13:$B$17)</x:f>
        <x:v>0.03616508264334849</x:v>
      </x:c>
      <x:c r="D16" s="87" t="n">
        <x:v>0.37</x:v>
      </x:c>
      <x:c r="E16" s="14" t="str">
        <x:v>规模仍小</x:v>
      </x:c>
      <x:c r="G16" s="14" t="str">
        <x:v>存货跌价准备</x:v>
      </x:c>
      <x:c r="H16" s="66" t="n">
        <x:v>0.299006</x:v>
      </x:c>
      <x:c r="I16" s="66" t="n">
        <x:v>0.282725</x:v>
      </x:c>
      <x:c r="J16" s="88" t="n">
        <x:f>IF(H16=0,"",I16/H16-1)</x:f>
        <x:v>-0.05445041236630699</x:v>
      </x:c>
    </x:row>
    <x:row r="17">
      <x:c r="A17" s="16" t="str">
        <x:v>其他</x:v>
      </x:c>
      <x:c r="B17" s="93" t="n">
        <x:v>0.005426</x:v>
      </x:c>
      <x:c r="C17" s="94" t="n">
        <x:f>B17/SUM($B$13:$B$17)</x:f>
        <x:v>0.000589560690361878</x:v>
      </x:c>
      <x:c r="D17" s="94"/>
      <x:c r="E17" s="16" t="str">
        <x:v>非核心</x:v>
      </x:c>
      <x:c r="G17" s="14" t="str">
        <x:v>短期借款</x:v>
      </x:c>
      <x:c r="H17" s="66"/>
      <x:c r="I17" s="66" t="n">
        <x:v>0.200139</x:v>
      </x:c>
      <x:c r="J17" s="88" t="str">
        <x:f>IF(H17=0,"",I17/H17-1)</x:f>
      </x:c>
    </x:row>
    <x:row r="18">
      <x:c r="G18" s="16" t="str">
        <x:v>剩余履约义务</x:v>
      </x:c>
      <x:c r="H18" s="93"/>
      <x:c r="I18" s="93" t="n">
        <x:v>9.794</x:v>
      </x:c>
      <x:c r="J18" s="95" t="str">
        <x:f>IF(H18=0,"",I18/H18-1)</x:f>
      </x:c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19" hidden="0" customWidth="1"/>
    <x:col min="5" max="5" width="30" hidden="0" customWidth="1"/>
    <x:col min="6" max="6" width="30" hidden="0" customWidth="1"/>
  </x:cols>
  <x:sheetData>
    <x:row r="1" ht="30" customHeight="1">
      <x:c r="A1" s="3" t="str">
        <x:v>市场、股份与估值假设</x:v>
      </x:c>
      <x:c r="B1" s="3" t="str">
        <x:v>市场、股份与估值假设</x:v>
      </x:c>
      <x:c r="C1" s="3" t="str">
        <x:v>市场、股份与估值假设</x:v>
      </x:c>
      <x:c r="D1" s="3" t="str">
        <x:v>市场、股份与估值假设</x:v>
      </x:c>
      <x:c r="E1" s="3" t="str">
        <x:v>市场、股份与估值假设</x:v>
      </x:c>
      <x:c r="F1" s="3" t="str">
        <x:v>市场、股份与估值假设</x:v>
      </x:c>
    </x:row>
    <x:row r="3" ht="24" customHeight="1">
      <x:c r="A3" s="19" t="str">
        <x:v>市场与股份</x:v>
      </x:c>
      <x:c r="B3" s="20" t="str">
        <x:v>数值</x:v>
      </x:c>
      <x:c r="C3" s="21" t="str">
        <x:v>说明</x:v>
      </x:c>
      <x:c r="D3" s="156" t="str">
        <x:v>股份压力输入</x:v>
      </x:c>
      <x:c r="E3" s="156" t="str">
        <x:v>数值</x:v>
      </x:c>
      <x:c r="F3" s="156" t="str">
        <x:v>口径</x:v>
      </x:c>
    </x:row>
    <x:row r="4" ht="30" customHeight="1">
      <x:c r="A4" s="11" t="str">
        <x:v>A股收盘价</x:v>
      </x:c>
      <x:c r="B4" s="101" t="n">
        <x:v>326.46</x:v>
      </x:c>
      <x:c r="C4" s="148" t="str">
        <x:v>2026-10-09收盘；S12</x:v>
      </x:c>
    </x:row>
    <x:row r="5" ht="30" customHeight="1">
      <x:c r="A5" s="14" t="str">
        <x:v>已发行A+H总股本</x:v>
      </x:c>
      <x:c r="B5" s="102" t="n">
        <x:v>703.971427</x:v>
      </x:c>
      <x:c r="C5" s="150" t="str">
        <x:v>703,971,427股；S11</x:v>
      </x:c>
      <x:c r="D5" s="143" t="str">
        <x:v>已授予H股奖励</x:v>
      </x:c>
      <x:c r="E5" s="159" t="n">
        <x:v>1.4879</x:v>
      </x:c>
      <x:c r="F5" s="143" t="str">
        <x:v>百万股；待接受及归属；S9</x:v>
      </x:c>
    </x:row>
    <x:row r="6" ht="30" customHeight="1">
      <x:c r="A6" s="14" t="str">
        <x:v>已回购拟注销股份</x:v>
      </x:c>
      <x:c r="B6" s="102" t="n">
        <x:v>2.6139</x:v>
      </x:c>
      <x:c r="C6" s="150" t="str">
        <x:v>截至10月8日；S7+S10，未注销</x:v>
      </x:c>
      <x:c r="D6" s="143" t="str">
        <x:v>全部回购注销情景</x:v>
      </x:c>
      <x:c r="E6" s="157" t="n">
        <x:f>B8-B6</x:f>
        <x:v>702.845427</x:v>
      </x:c>
      <x:c r="F6" s="143" t="str">
        <x:v>只作敏感性，不当已完成</x:v>
      </x:c>
    </x:row>
    <x:row r="7" ht="30" customHeight="1">
      <x:c r="A7" s="14" t="str">
        <x:v>H股股本</x:v>
      </x:c>
      <x:c r="B7" s="102" t="n">
        <x:v>33.2531</x:v>
      </x:c>
      <x:c r="C7" s="150" t="str">
        <x:v>百万股；不单独折价</x:v>
      </x:c>
      <x:c r="D7" s="143" t="str">
        <x:v>注销对每股价值影响</x:v>
      </x:c>
      <x:c r="E7" s="158" t="n">
        <x:f>B8/E6-1</x:f>
        <x:v>0.003719025406705656</x:v>
      </x:c>
      <x:c r="F7" s="143" t="str">
        <x:v>股份变化，利润不变</x:v>
      </x:c>
    </x:row>
    <x:row r="8" ht="30" customHeight="1">
      <x:c r="A8" s="14" t="str">
        <x:v>保守摊薄股数</x:v>
      </x:c>
      <x:c r="B8" s="102" t="n">
        <x:f>B5+E5</x:f>
        <x:v>705.4593269999999</x:v>
      </x:c>
      <x:c r="C8" s="150" t="str">
        <x:v>总股本+已授予H股奖励压力</x:v>
      </x:c>
      <x:c r="D8" s="143" t="str">
        <x:v>模型奖励口径</x:v>
      </x:c>
      <x:c r="E8" s="157" t="str">
        <x:v>全额新增压力</x:v>
      </x:c>
      <x:c r="F8" s="143" t="str">
        <x:v>不声称已发行或已归属</x:v>
      </x:c>
    </x:row>
    <x:row r="9" ht="30" customHeight="1">
      <x:c r="A9" s="14" t="str">
        <x:v>A价等值市值</x:v>
      </x:c>
      <x:c r="B9" s="66" t="n">
        <x:f>B4*B8/1000</x:f>
        <x:v>230.30425189241996</x:v>
      </x:c>
      <x:c r="C9" s="150" t="str">
        <x:v>A价×摊薄股数，非真实A+H合计市值</x:v>
      </x:c>
      <x:c r="D9" s="143" t="str">
        <x:v>H股奖励计划总授权</x:v>
      </x:c>
      <x:c r="E9" s="159" t="n">
        <x:v>70.397142</x:v>
      </x:c>
      <x:c r="F9" s="143" t="str">
        <x:v>百万股；含已授予部分，S9 p4</x:v>
      </x:c>
    </x:row>
    <x:row r="10" ht="30" customHeight="1">
      <x:c r="A10" s="14" t="str">
        <x:v>金融投资账面值</x:v>
      </x:c>
      <x:c r="B10" s="66" t="n">
        <x:v>16.02</x:v>
      </x:c>
      <x:c r="C10" s="150" t="str">
        <x:v>四类金融投资合计</x:v>
      </x:c>
      <x:c r="D10" s="143" t="str">
        <x:v>剩余未授予额度</x:v>
      </x:c>
      <x:c r="E10" s="157" t="n">
        <x:f>E9-E5</x:f>
        <x:v>68.909242</x:v>
      </x:c>
      <x:c r="F10" s="143" t="str">
        <x:v>非确定新增股份</x:v>
      </x:c>
    </x:row>
    <x:row r="11" ht="30" customHeight="1">
      <x:c r="A11" s="16" t="str">
        <x:v>2026H1扣非净利润</x:v>
      </x:c>
      <x:c r="B11" s="93" t="n">
        <x:v>4.883033</x:v>
      </x:c>
      <x:c r="C11" s="152" t="str">
        <x:v>排除非经常损益</x:v>
      </x:c>
      <x:c r="D11" s="143" t="str">
        <x:v>计划额度依据</x:v>
      </x:c>
      <x:c r="E11" s="143" t="str">
        <x:v>全部已发行股数10%</x:v>
      </x:c>
      <x:c r="F11" s="143" t="str">
        <x:v>不只按现有H股计算</x:v>
      </x:c>
    </x:row>
    <x:row r="14">
      <x:c r="A14" s="19" t="str">
        <x:v>情景</x:v>
      </x:c>
      <x:c r="B14" s="20" t="str">
        <x:v>Bear</x:v>
      </x:c>
      <x:c r="C14" s="20" t="str">
        <x:v>Base</x:v>
      </x:c>
      <x:c r="D14" s="20" t="str">
        <x:v>Bull</x:v>
      </x:c>
      <x:c r="E14" s="21" t="str">
        <x:v>口径</x:v>
      </x:c>
    </x:row>
    <x:row r="15">
      <x:c r="A15" s="11" t="str">
        <x:v>2027E正常化核心利润</x:v>
      </x:c>
      <x:c r="B15" s="109" t="n">
        <x:v>6</x:v>
      </x:c>
      <x:c r="C15" s="109" t="n">
        <x:v>8.5</x:v>
      </x:c>
      <x:c r="D15" s="109" t="n">
        <x:v>11.5</x:v>
      </x:c>
      <x:c r="E15" s="11" t="str">
        <x:v>扣非归母；RMB bn</x:v>
      </x:c>
    </x:row>
    <x:row r="16">
      <x:c r="A16" s="14" t="str">
        <x:v>核心P/E</x:v>
      </x:c>
      <x:c r="B16" s="110" t="n">
        <x:v>22</x:v>
      </x:c>
      <x:c r="C16" s="110" t="n">
        <x:v>30</x:v>
      </x:c>
      <x:c r="D16" s="110" t="n">
        <x:v>38</x:v>
      </x:c>
      <x:c r="E16" s="14" t="str">
        <x:v>x</x:v>
      </x:c>
    </x:row>
    <x:row r="17">
      <x:c r="A17" s="14" t="str">
        <x:v>计入金融投资</x:v>
      </x:c>
      <x:c r="B17" s="111" t="n">
        <x:v>10</x:v>
      </x:c>
      <x:c r="C17" s="111" t="n">
        <x:v>14</x:v>
      </x:c>
      <x:c r="D17" s="111" t="n">
        <x:v>16</x:v>
      </x:c>
      <x:c r="E17" s="14" t="str">
        <x:v>折价后；RMB bn</x:v>
      </x:c>
    </x:row>
    <x:row r="18">
      <x:c r="A18" s="16" t="str">
        <x:v>核心逻辑</x:v>
      </x:c>
      <x:c r="B18" s="16" t="str">
        <x:v>毛利回归与成本上升</x:v>
      </x:c>
      <x:c r="C18" s="16" t="str">
        <x:v>部分高景气延续</x:v>
      </x:c>
      <x:c r="D18" s="16" t="str">
        <x:v>紧供给及新品持续</x:v>
      </x:c>
      <x:c r="E18" s="16" t="str">
        <x:v>研究假设</x:v>
      </x:c>
    </x:row>
    <x:row r="21">
      <x:c r="A21" s="19" t="str">
        <x:v>基准估值拆解</x:v>
      </x:c>
      <x:c r="B21" s="20" t="str">
        <x:v>数值</x:v>
      </x:c>
      <x:c r="C21" s="20" t="str">
        <x:v>单位</x:v>
      </x:c>
      <x:c r="D21" s="21" t="str">
        <x:v>说明</x:v>
      </x:c>
    </x:row>
    <x:row r="22">
      <x:c r="A22" s="11" t="str">
        <x:v>Base核心利润</x:v>
      </x:c>
      <x:c r="B22" s="11" t="n">
        <x:f>C15</x:f>
        <x:v>8.5</x:v>
      </x:c>
      <x:c r="C22" s="11" t="str">
        <x:v>RMB bn</x:v>
      </x:c>
      <x:c r="D22" s="11" t="str">
        <x:v>2027正常化；不年化H1或Q2</x:v>
      </x:c>
    </x:row>
    <x:row r="23">
      <x:c r="A23" s="14" t="str">
        <x:v>Base P/E</x:v>
      </x:c>
      <x:c r="B23" s="14" t="n">
        <x:f>C16</x:f>
        <x:v>30</x:v>
      </x:c>
      <x:c r="C23" s="14" t="str">
        <x:v>x</x:v>
      </x:c>
      <x:c r="D23" s="14" t="str">
        <x:v>兼顾平台质量与周期风险</x:v>
      </x:c>
    </x:row>
    <x:row r="24">
      <x:c r="A24" s="14" t="str">
        <x:v>Base金融投资</x:v>
      </x:c>
      <x:c r="B24" s="14" t="n">
        <x:f>C17</x:f>
        <x:v>14</x:v>
      </x:c>
      <x:c r="C24" s="14" t="str">
        <x:v>RMB bn</x:v>
      </x:c>
      <x:c r="D24" s="14" t="str">
        <x:v>较16.02账面值折价</x:v>
      </x:c>
    </x:row>
    <x:row r="25">
      <x:c r="A25" s="16" t="str">
        <x:v>不单独加回净现金</x:v>
      </x:c>
      <x:c r="B25" s="16" t="n">
        <x:v>0</x:v>
      </x:c>
      <x:c r="C25" s="16" t="str">
        <x:v>RMB bn</x:v>
      </x:c>
      <x:c r="D25" s="16" t="str">
        <x:v>避免与利润中的资金收益重复</x:v>
      </x:c>
    </x:row>
    <x:row r="28" ht="24" customHeight="1">
      <x:c r="A28" s="156" t="str">
        <x:v>2026近期盈利假设保留为观察，主估值移至2027</x:v>
      </x:c>
      <x:c r="B28" s="156"/>
      <x:c r="C28" s="156"/>
      <x:c r="D28" s="156"/>
      <x:c r="E28" s="156"/>
      <x:c r="F28" s="156"/>
    </x:row>
    <x:row r="29" ht="25" customHeight="1">
      <x:c r="A29" s="143" t="str">
        <x:v>参考年份</x:v>
      </x:c>
      <x:c r="B29" s="143" t="str">
        <x:v>Bear</x:v>
      </x:c>
      <x:c r="C29" s="143" t="str">
        <x:v>Base</x:v>
      </x:c>
      <x:c r="D29" s="143" t="str">
        <x:v>Bull</x:v>
      </x:c>
      <x:c r="E29" s="143" t="str">
        <x:v>性质</x:v>
      </x:c>
      <x:c r="F29" s="143"/>
    </x:row>
    <x:row r="30" ht="25" customHeight="1">
      <x:c r="A30" s="143" t="str">
        <x:v>2026E核心利润</x:v>
      </x:c>
      <x:c r="B30" s="160" t="n">
        <x:v>7.5</x:v>
      </x:c>
      <x:c r="C30" s="160" t="n">
        <x:v>10</x:v>
      </x:c>
      <x:c r="D30" s="160" t="n">
        <x:v>11.5</x:v>
      </x:c>
      <x:c r="E30" s="143" t="str">
        <x:v>十亿元；原假设，非新增披露</x:v>
      </x:c>
      <x:c r="F30" s="143"/>
    </x:row>
    <x:row r="31" ht="25" customHeight="1">
      <x:c r="A31" s="143" t="str">
        <x:v>2027E核心利润</x:v>
      </x:c>
      <x:c r="B31" s="160" t="n">
        <x:f>B15</x:f>
        <x:v>6</x:v>
      </x:c>
      <x:c r="C31" s="160" t="n">
        <x:f>C15</x:f>
        <x:v>8.5</x:v>
      </x:c>
      <x:c r="D31" s="160" t="n">
        <x:f>D15</x:f>
        <x:v>11.5</x:v>
      </x:c>
      <x:c r="E31" s="143" t="str">
        <x:v>十亿元；本次主估值</x:v>
      </x:c>
      <x:c r="F31" s="143"/>
    </x:row>
  </x:sheetData>
  <x:mergeCells>
    <x:mergeCell ref="A1:F1"/>
    <x:mergeCell ref="A28:F28"/>
  </x:mergeCells>
  <x:pageMargins left="0.7" right="0.7" top="0.75" bottom="0.75" header="0.3" footer="0.3"/>
  <x:legacyDrawing xmlns:r="http://schemas.openxmlformats.org/officeDocument/2006/relationships" r:id="R37f692cff13a4621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0" customHeight="1">
      <x:c r="A1" s="3" t="str">
        <x:v>2027正常化核心利润 + 折价金融投资估值</x:v>
      </x:c>
      <x:c r="B1" s="3" t="str">
        <x:v>正常化核心利润 + 折价金融投资估值</x:v>
      </x:c>
      <x:c r="C1" s="3" t="str">
        <x:v>正常化核心利润 + 折价金融投资估值</x:v>
      </x:c>
      <x:c r="D1" s="3" t="str">
        <x:v>正常化核心利润 + 折价金融投资估值</x:v>
      </x:c>
      <x:c r="E1" s="3" t="str">
        <x:v>正常化核心利润 + 折价金融投资估值</x:v>
      </x:c>
      <x:c r="F1" s="3" t="str">
        <x:v>正常化核心利润 + 折价金融投资估值</x:v>
      </x:c>
      <x:c r="G1" s="3" t="str">
        <x:v>正常化核心利润 + 折价金融投资估值</x:v>
      </x:c>
    </x:row>
    <x:row r="3">
      <x:c r="A3" s="19" t="str">
        <x:v>情景</x:v>
      </x:c>
      <x:c r="B3" s="20" t="str">
        <x:v>核心利润</x:v>
      </x:c>
      <x:c r="C3" s="20" t="str">
        <x:v>P/E</x:v>
      </x:c>
      <x:c r="D3" s="20" t="str">
        <x:v>金融投资</x:v>
      </x:c>
      <x:c r="E3" s="20" t="str">
        <x:v>权益价值</x:v>
      </x:c>
      <x:c r="F3" s="20" t="str">
        <x:v>每股价值</x:v>
      </x:c>
      <x:c r="G3" s="21" t="str">
        <x:v>相对当前价格</x:v>
      </x:c>
    </x:row>
    <x:row r="5">
      <x:c r="A5" s="11" t="str">
        <x:v>Bear</x:v>
      </x:c>
      <x:c r="B5" s="109" t="n">
        <x:f>'Assumptions'!B15</x:f>
        <x:v>6</x:v>
      </x:c>
      <x:c r="C5" s="122" t="n">
        <x:f>'Assumptions'!B16</x:f>
        <x:v>22</x:v>
      </x:c>
      <x:c r="D5" s="109" t="n">
        <x:f>'Assumptions'!B17</x:f>
        <x:v>10</x:v>
      </x:c>
      <x:c r="E5" s="109" t="n">
        <x:f>B5*C5+D5</x:f>
        <x:v>142</x:v>
      </x:c>
      <x:c r="F5" s="40" t="n">
        <x:f>E5/'Assumptions'!$B$8*1000</x:f>
        <x:v>201.28729547578865</x:v>
      </x:c>
      <x:c r="G5" s="86" t="n">
        <x:f>F5/'Assumptions'!$B$4-1</x:f>
        <x:v>-0.38342432311527086</x:v>
      </x:c>
    </x:row>
    <x:row r="6">
      <x:c r="A6" s="123" t="str">
        <x:v>Base</x:v>
      </x:c>
      <x:c r="B6" s="124" t="n">
        <x:f>'Assumptions'!C15</x:f>
        <x:v>8.5</x:v>
      </x:c>
      <x:c r="C6" s="125" t="n">
        <x:f>'Assumptions'!C16</x:f>
        <x:v>30</x:v>
      </x:c>
      <x:c r="D6" s="124" t="n">
        <x:f>'Assumptions'!C17</x:f>
        <x:v>14</x:v>
      </x:c>
      <x:c r="E6" s="124" t="n">
        <x:f>B6*C6+D6</x:f>
        <x:v>269</x:v>
      </x:c>
      <x:c r="F6" s="126" t="n">
        <x:f>E6/'Assumptions'!$B$8*1000</x:f>
        <x:v>381.31184847174046</x:v>
      </x:c>
      <x:c r="G6" s="127" t="n">
        <x:f>F6/'Assumptions'!$B$4-1</x:f>
        <x:v>0.16802012029571922</x:v>
      </x:c>
    </x:row>
    <x:row r="7">
      <x:c r="A7" s="16" t="str">
        <x:v>Bull</x:v>
      </x:c>
      <x:c r="B7" s="128" t="n">
        <x:f>'Assumptions'!D15</x:f>
        <x:v>11.5</x:v>
      </x:c>
      <x:c r="C7" s="129" t="n">
        <x:f>'Assumptions'!D16</x:f>
        <x:v>38</x:v>
      </x:c>
      <x:c r="D7" s="128" t="n">
        <x:f>'Assumptions'!D17</x:f>
        <x:v>16</x:v>
      </x:c>
      <x:c r="E7" s="128" t="n">
        <x:f>B7*C7+D7</x:f>
        <x:v>453</x:v>
      </x:c>
      <x:c r="F7" s="130" t="n">
        <x:f>E7/'Assumptions'!$B$8*1000</x:f>
        <x:v>642.1348228910723</x:v>
      </x:c>
      <x:c r="G7" s="95" t="n">
        <x:f>F7/'Assumptions'!$B$4-1</x:f>
        <x:v>0.9669632509069177</x:v>
      </x:c>
    </x:row>
    <x:row r="11">
      <x:c r="A11" s="19" t="str">
        <x:v>每股价值敏感性：核心利润与P/E（Base金融投资14bn）</x:v>
      </x:c>
      <x:c r="B11" s="20" t="str">
        <x:v>每股价值敏感性：核心利润与P/E（Base金融投资14bn）</x:v>
      </x:c>
      <x:c r="C11" s="20" t="str">
        <x:v>每股价值敏感性：核心利润与P/E（Base金融投资14bn）</x:v>
      </x:c>
      <x:c r="D11" s="20" t="str">
        <x:v>每股价值敏感性：核心利润与P/E（Base金融投资14bn）</x:v>
      </x:c>
      <x:c r="E11" s="20" t="str">
        <x:v>每股价值敏感性：核心利润与P/E（Base金融投资14bn）</x:v>
      </x:c>
      <x:c r="F11" s="20" t="str">
        <x:v>每股价值敏感性：核心利润与P/E（Base金融投资14bn）</x:v>
      </x:c>
      <x:c r="G11" s="21" t="str">
        <x:v>每股价值敏感性：核心利润与P/E（Base金融投资14bn）</x:v>
      </x:c>
    </x:row>
    <x:row r="12">
      <x:c r="A12" s="52" t="str">
        <x:v>利润 \ P/E</x:v>
      </x:c>
      <x:c r="B12" s="53" t="n">
        <x:v>22</x:v>
      </x:c>
      <x:c r="C12" s="53" t="n">
        <x:v>26</x:v>
      </x:c>
      <x:c r="D12" s="53" t="n">
        <x:v>30</x:v>
      </x:c>
      <x:c r="E12" s="53" t="n">
        <x:v>34</x:v>
      </x:c>
      <x:c r="F12" s="53" t="n">
        <x:v>38</x:v>
      </x:c>
      <x:c r="G12" s="54" t="str">
        <x:v>说明</x:v>
      </x:c>
    </x:row>
    <x:row r="13">
      <x:c r="A13" s="109" t="n">
        <x:v>6</x:v>
      </x:c>
      <x:c r="B13" s="133" t="n">
        <x:f>($A13*B$12+'Assumptions'!$C$17)/'Assumptions'!$B$8*1000</x:f>
        <x:v>206.9573601370785</x:v>
      </x:c>
      <x:c r="C13" s="133" t="n">
        <x:f>($A13*C$12+'Assumptions'!$C$17)/'Assumptions'!$B$8*1000</x:f>
        <x:v>240.97774810481744</x:v>
      </x:c>
      <x:c r="D13" s="133" t="n">
        <x:f>($A13*D$12+'Assumptions'!$C$17)/'Assumptions'!$B$8*1000</x:f>
        <x:v>274.99813607255635</x:v>
      </x:c>
      <x:c r="E13" s="133" t="n">
        <x:f>($A13*E$12+'Assumptions'!$C$17)/'Assumptions'!$B$8*1000</x:f>
        <x:v>309.0185240402953</x:v>
      </x:c>
      <x:c r="F13" s="133" t="n">
        <x:f>($A13*F$12+'Assumptions'!$C$17)/'Assumptions'!$B$8*1000</x:f>
        <x:v>343.03891200803423</x:v>
      </x:c>
      <x:c r="G13" s="11" t="str">
        <x:v>Bear利润</x:v>
      </x:c>
    </x:row>
    <x:row r="14">
      <x:c r="A14" s="111" t="n">
        <x:v>7.5</x:v>
      </x:c>
      <x:c r="B14" s="134" t="n">
        <x:f>($A14*B$12+'Assumptions'!$C$17)/'Assumptions'!$B$8*1000</x:f>
        <x:v>253.7353935927195</x:v>
      </x:c>
      <x:c r="C14" s="134" t="n">
        <x:f>($A14*C$12+'Assumptions'!$C$17)/'Assumptions'!$B$8*1000</x:f>
        <x:v>296.2608785523932</x:v>
      </x:c>
      <x:c r="D14" s="134" t="n">
        <x:f>($A14*D$12+'Assumptions'!$C$17)/'Assumptions'!$B$8*1000</x:f>
        <x:v>338.7863635120668</x:v>
      </x:c>
      <x:c r="E14" s="134" t="n">
        <x:f>($A14*E$12+'Assumptions'!$C$17)/'Assumptions'!$B$8*1000</x:f>
        <x:v>381.31184847174046</x:v>
      </x:c>
      <x:c r="F14" s="134" t="n">
        <x:f>($A14*F$12+'Assumptions'!$C$17)/'Assumptions'!$B$8*1000</x:f>
        <x:v>423.83733343141415</x:v>
      </x:c>
      <x:c r="G14" s="14" t="str">
        <x:v>偏弱</x:v>
      </x:c>
    </x:row>
    <x:row r="15">
      <x:c r="A15" s="111" t="n">
        <x:v>8.5</x:v>
      </x:c>
      <x:c r="B15" s="134" t="n">
        <x:f>($A15*B$12+'Assumptions'!$C$17)/'Assumptions'!$B$8*1000</x:f>
        <x:v>284.9207492298135</x:v>
      </x:c>
      <x:c r="C15" s="134" t="n">
        <x:f>($A15*C$12+'Assumptions'!$C$17)/'Assumptions'!$B$8*1000</x:f>
        <x:v>333.116298850777</x:v>
      </x:c>
      <x:c r="D15" s="134" t="n">
        <x:f>($A15*D$12+'Assumptions'!$C$17)/'Assumptions'!$B$8*1000</x:f>
        <x:v>381.31184847174046</x:v>
      </x:c>
      <x:c r="E15" s="134" t="n">
        <x:f>($A15*E$12+'Assumptions'!$C$17)/'Assumptions'!$B$8*1000</x:f>
        <x:v>429.507398092704</x:v>
      </x:c>
      <x:c r="F15" s="134" t="n">
        <x:f>($A15*F$12+'Assumptions'!$C$17)/'Assumptions'!$B$8*1000</x:f>
        <x:v>477.70294771366747</x:v>
      </x:c>
      <x:c r="G15" s="14" t="str">
        <x:v>Base利润</x:v>
      </x:c>
    </x:row>
    <x:row r="16">
      <x:c r="A16" s="111" t="n">
        <x:v>10</x:v>
      </x:c>
      <x:c r="B16" s="134" t="n">
        <x:f>($A16*B$12+'Assumptions'!$C$17)/'Assumptions'!$B$8*1000</x:f>
        <x:v>331.69878268545455</x:v>
      </x:c>
      <x:c r="C16" s="134" t="n">
        <x:f>($A16*C$12+'Assumptions'!$C$17)/'Assumptions'!$B$8*1000</x:f>
        <x:v>388.39942929835274</x:v>
      </x:c>
      <x:c r="D16" s="134" t="n">
        <x:f>($A16*D$12+'Assumptions'!$C$17)/'Assumptions'!$B$8*1000</x:f>
        <x:v>445.100075911251</x:v>
      </x:c>
      <x:c r="E16" s="134" t="n">
        <x:f>($A16*E$12+'Assumptions'!$C$17)/'Assumptions'!$B$8*1000</x:f>
        <x:v>501.8007225241492</x:v>
      </x:c>
      <x:c r="F16" s="134" t="n">
        <x:f>($A16*F$12+'Assumptions'!$C$17)/'Assumptions'!$B$8*1000</x:f>
        <x:v>558.5013691370474</x:v>
      </x:c>
      <x:c r="G16" s="14" t="str">
        <x:v>近年高景气</x:v>
      </x:c>
    </x:row>
    <x:row r="17">
      <x:c r="A17" s="128" t="n">
        <x:v>11.5</x:v>
      </x:c>
      <x:c r="B17" s="135" t="n">
        <x:f>($A17*B$12+'Assumptions'!$C$17)/'Assumptions'!$B$8*1000</x:f>
        <x:v>378.4768161410956</x:v>
      </x:c>
      <x:c r="C17" s="135" t="n">
        <x:f>($A17*C$12+'Assumptions'!$C$17)/'Assumptions'!$B$8*1000</x:f>
        <x:v>443.68255974592853</x:v>
      </x:c>
      <x:c r="D17" s="135" t="n">
        <x:f>($A17*D$12+'Assumptions'!$C$17)/'Assumptions'!$B$8*1000</x:f>
        <x:v>508.88830335076153</x:v>
      </x:c>
      <x:c r="E17" s="135" t="n">
        <x:f>($A17*E$12+'Assumptions'!$C$17)/'Assumptions'!$B$8*1000</x:f>
        <x:v>574.0940469555944</x:v>
      </x:c>
      <x:c r="F17" s="135" t="n">
        <x:f>($A17*F$12+'Assumptions'!$C$17)/'Assumptions'!$B$8*1000</x:f>
        <x:v>639.2997905604274</x:v>
      </x:c>
      <x:c r="G17" s="16" t="str">
        <x:v>强景气</x:v>
      </x:c>
    </x:row>
    <x:row r="20">
      <x:c r="A20" s="19" t="str">
        <x:v>估值限制</x:v>
      </x:c>
      <x:c r="B20" s="20" t="str">
        <x:v>估值限制</x:v>
      </x:c>
      <x:c r="C20" s="20" t="str">
        <x:v>估值限制</x:v>
      </x:c>
      <x:c r="D20" s="20" t="str">
        <x:v>估值限制</x:v>
      </x:c>
      <x:c r="E20" s="20" t="str">
        <x:v>估值限制</x:v>
      </x:c>
      <x:c r="F20" s="20" t="str">
        <x:v>估值限制</x:v>
      </x:c>
      <x:c r="G20" s="21" t="str">
        <x:v>估值限制</x:v>
      </x:c>
    </x:row>
    <x:row r="21">
      <x:c r="A21" s="49" t="str">
        <x:v>2027核心利润、P/E及投资折价为研究假设，非公司指引。2026H1非经常损益19.74亿元及存储67.57%毛利不直接永续化；核心利润含正常股份支付费用，不另加净现金。分母703.971427m+已授予1.4879m压力，未将回购当作已注销。新增采购预算含代工涨价，不能当作销售或利润保证。</x:v>
      </x:c>
      <x:c r="B21" s="49" t="str">
        <x:v>核心利润、估值倍数和金融投资折价均为研究假设，不是公司指引或一致预期。模型不按2026H1表观净利润年化，避免把19.74亿元非经常损益和存储器67.57%高毛利直接资本化。金融投资按账面值以内计入，不额外加回净现金，以降低与核心利润中利息收益重复计算的风险。</x:v>
      </x:c>
      <x:c r="C21" s="49" t="str">
        <x:v>核心利润、估值倍数和金融投资折价均为研究假设，不是公司指引或一致预期。模型不按2026H1表观净利润年化，避免把19.74亿元非经常损益和存储器67.57%高毛利直接资本化。金融投资按账面值以内计入，不额外加回净现金，以降低与核心利润中利息收益重复计算的风险。</x:v>
      </x:c>
      <x:c r="D21" s="49" t="str">
        <x:v>核心利润、估值倍数和金融投资折价均为研究假设，不是公司指引或一致预期。模型不按2026H1表观净利润年化，避免把19.74亿元非经常损益和存储器67.57%高毛利直接资本化。金融投资按账面值以内计入，不额外加回净现金，以降低与核心利润中利息收益重复计算的风险。</x:v>
      </x:c>
      <x:c r="E21" s="49" t="str">
        <x:v>核心利润、估值倍数和金融投资折价均为研究假设，不是公司指引或一致预期。模型不按2026H1表观净利润年化，避免把19.74亿元非经常损益和存储器67.57%高毛利直接资本化。金融投资按账面值以内计入，不额外加回净现金，以降低与核心利润中利息收益重复计算的风险。</x:v>
      </x:c>
      <x:c r="F21" s="49" t="str">
        <x:v>核心利润、估值倍数和金融投资折价均为研究假设，不是公司指引或一致预期。模型不按2026H1表观净利润年化，避免把19.74亿元非经常损益和存储器67.57%高毛利直接资本化。金融投资按账面值以内计入，不额外加回净现金，以降低与核心利润中利息收益重复计算的风险。</x:v>
      </x:c>
      <x:c r="G21" s="49" t="str">
        <x:v>核心利润、估值倍数和金融投资折价均为研究假设，不是公司指引或一致预期。模型不按2026H1表观净利润年化，避免把19.74亿元非经常损益和存储器67.57%高毛利直接资本化。金融投资按账面值以内计入，不额外加回净现金，以降低与核心利润中利息收益重复计算的风险。</x:v>
      </x:c>
    </x:row>
    <x:row r="22">
      <x:c r="A22" s="49" t="str">
        <x:v>核心利润、估值倍数和金融投资折价均为研究假设，不是公司指引或一致预期。模型不按2026H1表观净利润年化，避免把19.74亿元非经常损益和存储器67.57%高毛利直接资本化。金融投资按账面值以内计入，不额外加回净现金，以降低与核心利润中利息收益重复计算的风险。</x:v>
      </x:c>
      <x:c r="B22" s="49" t="str">
        <x:v>核心利润、估值倍数和金融投资折价均为研究假设，不是公司指引或一致预期。模型不按2026H1表观净利润年化，避免把19.74亿元非经常损益和存储器67.57%高毛利直接资本化。金融投资按账面值以内计入，不额外加回净现金，以降低与核心利润中利息收益重复计算的风险。</x:v>
      </x:c>
      <x:c r="C22" s="49" t="str">
        <x:v>核心利润、估值倍数和金融投资折价均为研究假设，不是公司指引或一致预期。模型不按2026H1表观净利润年化，避免把19.74亿元非经常损益和存储器67.57%高毛利直接资本化。金融投资按账面值以内计入，不额外加回净现金，以降低与核心利润中利息收益重复计算的风险。</x:v>
      </x:c>
      <x:c r="D22" s="49" t="str">
        <x:v>核心利润、估值倍数和金融投资折价均为研究假设，不是公司指引或一致预期。模型不按2026H1表观净利润年化，避免把19.74亿元非经常损益和存储器67.57%高毛利直接资本化。金融投资按账面值以内计入，不额外加回净现金，以降低与核心利润中利息收益重复计算的风险。</x:v>
      </x:c>
      <x:c r="E22" s="49" t="str">
        <x:v>核心利润、估值倍数和金融投资折价均为研究假设，不是公司指引或一致预期。模型不按2026H1表观净利润年化，避免把19.74亿元非经常损益和存储器67.57%高毛利直接资本化。金融投资按账面值以内计入，不额外加回净现金，以降低与核心利润中利息收益重复计算的风险。</x:v>
      </x:c>
      <x:c r="F22" s="49" t="str">
        <x:v>核心利润、估值倍数和金融投资折价均为研究假设，不是公司指引或一致预期。模型不按2026H1表观净利润年化，避免把19.74亿元非经常损益和存储器67.57%高毛利直接资本化。金融投资按账面值以内计入，不额外加回净现金，以降低与核心利润中利息收益重复计算的风险。</x:v>
      </x:c>
      <x:c r="G22" s="49" t="str">
        <x:v>核心利润、估值倍数和金融投资折价均为研究假设，不是公司指引或一致预期。模型不按2026H1表观净利润年化，避免把19.74亿元非经常损益和存储器67.57%高毛利直接资本化。金融投资按账面值以内计入，不额外加回净现金，以降低与核心利润中利息收益重复计算的风险。</x:v>
      </x:c>
    </x:row>
    <x:row r="23">
      <x:c r="A23" s="49" t="str">
        <x:v>核心利润、估值倍数和金融投资折价均为研究假设，不是公司指引或一致预期。模型不按2026H1表观净利润年化，避免把19.74亿元非经常损益和存储器67.57%高毛利直接资本化。金融投资按账面值以内计入，不额外加回净现金，以降低与核心利润中利息收益重复计算的风险。</x:v>
      </x:c>
      <x:c r="B23" s="49" t="str">
        <x:v>核心利润、估值倍数和金融投资折价均为研究假设，不是公司指引或一致预期。模型不按2026H1表观净利润年化，避免把19.74亿元非经常损益和存储器67.57%高毛利直接资本化。金融投资按账面值以内计入，不额外加回净现金，以降低与核心利润中利息收益重复计算的风险。</x:v>
      </x:c>
      <x:c r="C23" s="49" t="str">
        <x:v>核心利润、估值倍数和金融投资折价均为研究假设，不是公司指引或一致预期。模型不按2026H1表观净利润年化，避免把19.74亿元非经常损益和存储器67.57%高毛利直接资本化。金融投资按账面值以内计入，不额外加回净现金，以降低与核心利润中利息收益重复计算的风险。</x:v>
      </x:c>
      <x:c r="D23" s="49" t="str">
        <x:v>核心利润、估值倍数和金融投资折价均为研究假设，不是公司指引或一致预期。模型不按2026H1表观净利润年化，避免把19.74亿元非经常损益和存储器67.57%高毛利直接资本化。金融投资按账面值以内计入，不额外加回净现金，以降低与核心利润中利息收益重复计算的风险。</x:v>
      </x:c>
      <x:c r="E23" s="49" t="str">
        <x:v>核心利润、估值倍数和金融投资折价均为研究假设，不是公司指引或一致预期。模型不按2026H1表观净利润年化，避免把19.74亿元非经常损益和存储器67.57%高毛利直接资本化。金融投资按账面值以内计入，不额外加回净现金，以降低与核心利润中利息收益重复计算的风险。</x:v>
      </x:c>
      <x:c r="F23" s="49" t="str">
        <x:v>核心利润、估值倍数和金融投资折价均为研究假设，不是公司指引或一致预期。模型不按2026H1表观净利润年化，避免把19.74亿元非经常损益和存储器67.57%高毛利直接资本化。金融投资按账面值以内计入，不额外加回净现金，以降低与核心利润中利息收益重复计算的风险。</x:v>
      </x:c>
      <x:c r="G23" s="49" t="str">
        <x:v>核心利润、估值倍数和金融投资折价均为研究假设，不是公司指引或一致预期。模型不按2026H1表观净利润年化，避免把19.74亿元非经常损益和存储器67.57%高毛利直接资本化。金融投资按账面值以内计入，不额外加回净现金，以降低与核心利润中利息收益重复计算的风险。</x:v>
      </x:c>
    </x:row>
    <x:row r="24">
      <x:c r="A24" s="49" t="str">
        <x:v>核心利润、估值倍数和金融投资折价均为研究假设，不是公司指引或一致预期。模型不按2026H1表观净利润年化，避免把19.74亿元非经常损益和存储器67.57%高毛利直接资本化。金融投资按账面值以内计入，不额外加回净现金，以降低与核心利润中利息收益重复计算的风险。</x:v>
      </x:c>
      <x:c r="B24" s="49" t="str">
        <x:v>核心利润、估值倍数和金融投资折价均为研究假设，不是公司指引或一致预期。模型不按2026H1表观净利润年化，避免把19.74亿元非经常损益和存储器67.57%高毛利直接资本化。金融投资按账面值以内计入，不额外加回净现金，以降低与核心利润中利息收益重复计算的风险。</x:v>
      </x:c>
      <x:c r="C24" s="49" t="str">
        <x:v>核心利润、估值倍数和金融投资折价均为研究假设，不是公司指引或一致预期。模型不按2026H1表观净利润年化，避免把19.74亿元非经常损益和存储器67.57%高毛利直接资本化。金融投资按账面值以内计入，不额外加回净现金，以降低与核心利润中利息收益重复计算的风险。</x:v>
      </x:c>
      <x:c r="D24" s="49" t="str">
        <x:v>核心利润、估值倍数和金融投资折价均为研究假设，不是公司指引或一致预期。模型不按2026H1表观净利润年化，避免把19.74亿元非经常损益和存储器67.57%高毛利直接资本化。金融投资按账面值以内计入，不额外加回净现金，以降低与核心利润中利息收益重复计算的风险。</x:v>
      </x:c>
      <x:c r="E24" s="49" t="str">
        <x:v>核心利润、估值倍数和金融投资折价均为研究假设，不是公司指引或一致预期。模型不按2026H1表观净利润年化，避免把19.74亿元非经常损益和存储器67.57%高毛利直接资本化。金融投资按账面值以内计入，不额外加回净现金，以降低与核心利润中利息收益重复计算的风险。</x:v>
      </x:c>
      <x:c r="F24" s="49" t="str">
        <x:v>核心利润、估值倍数和金融投资折价均为研究假设，不是公司指引或一致预期。模型不按2026H1表观净利润年化，避免把19.74亿元非经常损益和存储器67.57%高毛利直接资本化。金融投资按账面值以内计入，不额外加回净现金，以降低与核心利润中利息收益重复计算的风险。</x:v>
      </x:c>
      <x:c r="G24" s="49" t="str">
        <x:v>核心利润、估值倍数和金融投资折价均为研究假设，不是公司指引或一致预期。模型不按2026H1表观净利润年化，避免把19.74亿元非经常损益和存储器67.57%高毛利直接资本化。金融投资按账面值以内计入，不额外加回净现金，以降低与核心利润中利息收益重复计算的风险。</x:v>
      </x:c>
    </x:row>
    <x:row r="25">
      <x:c r="A25" s="49" t="str">
        <x:v>核心利润、估值倍数和金融投资折价均为研究假设，不是公司指引或一致预期。模型不按2026H1表观净利润年化，避免把19.74亿元非经常损益和存储器67.57%高毛利直接资本化。金融投资按账面值以内计入，不额外加回净现金，以降低与核心利润中利息收益重复计算的风险。</x:v>
      </x:c>
      <x:c r="B25" s="49" t="str">
        <x:v>核心利润、估值倍数和金融投资折价均为研究假设，不是公司指引或一致预期。模型不按2026H1表观净利润年化，避免把19.74亿元非经常损益和存储器67.57%高毛利直接资本化。金融投资按账面值以内计入，不额外加回净现金，以降低与核心利润中利息收益重复计算的风险。</x:v>
      </x:c>
      <x:c r="C25" s="49" t="str">
        <x:v>核心利润、估值倍数和金融投资折价均为研究假设，不是公司指引或一致预期。模型不按2026H1表观净利润年化，避免把19.74亿元非经常损益和存储器67.57%高毛利直接资本化。金融投资按账面值以内计入，不额外加回净现金，以降低与核心利润中利息收益重复计算的风险。</x:v>
      </x:c>
      <x:c r="D25" s="49" t="str">
        <x:v>核心利润、估值倍数和金融投资折价均为研究假设，不是公司指引或一致预期。模型不按2026H1表观净利润年化，避免把19.74亿元非经常损益和存储器67.57%高毛利直接资本化。金融投资按账面值以内计入，不额外加回净现金，以降低与核心利润中利息收益重复计算的风险。</x:v>
      </x:c>
      <x:c r="E25" s="49" t="str">
        <x:v>核心利润、估值倍数和金融投资折价均为研究假设，不是公司指引或一致预期。模型不按2026H1表观净利润年化，避免把19.74亿元非经常损益和存储器67.57%高毛利直接资本化。金融投资按账面值以内计入，不额外加回净现金，以降低与核心利润中利息收益重复计算的风险。</x:v>
      </x:c>
      <x:c r="F25" s="49" t="str">
        <x:v>核心利润、估值倍数和金融投资折价均为研究假设，不是公司指引或一致预期。模型不按2026H1表观净利润年化，避免把19.74亿元非经常损益和存储器67.57%高毛利直接资本化。金融投资按账面值以内计入，不额外加回净现金，以降低与核心利润中利息收益重复计算的风险。</x:v>
      </x:c>
      <x:c r="G25" s="49" t="str">
        <x:v>核心利润、估值倍数和金融投资折价均为研究假设，不是公司指引或一致预期。模型不按2026H1表观净利润年化，避免把19.74亿元非经常损益和存储器67.57%高毛利直接资本化。金融投资按账面值以内计入，不额外加回净现金，以降低与核心利润中利息收益重复计算的风险。</x:v>
      </x:c>
    </x:row>
    <x:row r="27" ht="24" customHeight="1">
      <x:c r="A27" s="156" t="str">
        <x:v>股本、计划授权与周期风险（研究压力测试）</x:v>
      </x:c>
      <x:c r="B27" s="156"/>
      <x:c r="C27" s="156"/>
      <x:c r="D27" s="156"/>
      <x:c r="E27" s="156"/>
      <x:c r="F27" s="156"/>
      <x:c r="G27" s="156"/>
    </x:row>
    <x:row r="28" ht="23" customHeight="1">
      <x:c r="A28" t="str">
        <x:v>授权全部新增股数</x:v>
      </x:c>
      <x:c r="B28" s="96" t="n">
        <x:f>'Assumptions'!B5+'Assumptions'!E9</x:f>
        <x:v>774.368569</x:v>
      </x:c>
      <x:c r="C28" t="str">
        <x:v>百万股；非Base</x:v>
      </x:c>
      <x:c r="D28"/>
      <x:c r="E28"/>
      <x:c r="F28"/>
      <x:c r="G28"/>
    </x:row>
    <x:row r="29" ht="23" customHeight="1">
      <x:c r="A29" t="str">
        <x:v>Base全授权价值</x:v>
      </x:c>
      <x:c r="B29" s="22" t="n">
        <x:f>E6/B28*1000</x:f>
        <x:v>347.37980177498656</x:v>
      </x:c>
      <x:c r="C29" t="str">
        <x:v>利润和投资不变</x:v>
      </x:c>
      <x:c r="D29"/>
      <x:c r="E29"/>
      <x:c r="F29"/>
      <x:c r="G29"/>
    </x:row>
    <x:row r="30" ht="23" customHeight="1">
      <x:c r="A30" t="str">
        <x:v>Base回购全注销价值</x:v>
      </x:c>
      <x:c r="B30" s="22" t="n">
        <x:f>E6/'Assumptions'!E6*1000</x:f>
        <x:v>382.72995692408483</x:v>
      </x:c>
      <x:c r="C30" t="str">
        <x:v>只减已实际回购</x:v>
      </x:c>
      <x:c r="D30"/>
      <x:c r="E30"/>
      <x:c r="F30"/>
      <x:c r="G30"/>
    </x:row>
    <x:row r="31" ht="23" customHeight="1">
      <x:c r="A31" t="str">
        <x:v>当前价隐含核心利润</x:v>
      </x:c>
      <x:c r="B31" s="24" t="n">
        <x:f>('Assumptions'!B9-'Assumptions'!C17)/'Assumptions'!C16</x:f>
        <x:v>7.210141729747332</x:v>
      </x:c>
      <x:c r="C31" t="str">
        <x:v>十亿元，按Base P/E</x:v>
      </x:c>
      <x:c r="D31"/>
      <x:c r="E31"/>
      <x:c r="F31"/>
      <x:c r="G31"/>
    </x:row>
  </x:sheetData>
  <x:mergeCells>
    <x:mergeCell ref="A1:G1"/>
    <x:mergeCell ref="A11:G11"/>
    <x:mergeCell ref="A20:G20"/>
    <x:mergeCell ref="A21:G25"/>
    <x:mergeCell ref="A27:G27"/>
  </x:mergeCells>
  <x:conditionalFormatting sqref="B13:F17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5" hidden="0" customWidth="1"/>
  </x:cols>
  <x:sheetData>
    <x:row r="1" ht="30" customHeight="1">
      <x:c r="A1" s="3" t="str">
        <x:v>模型检查</x:v>
      </x:c>
      <x:c r="B1" s="3" t="str">
        <x:v>模型检查</x:v>
      </x:c>
      <x:c r="C1" s="3" t="str">
        <x:v>模型检查</x:v>
      </x:c>
      <x:c r="D1" s="3" t="str">
        <x:v>模型检查</x:v>
      </x:c>
      <x:c r="E1" s="3" t="str">
        <x:v>模型检查</x:v>
      </x:c>
      <x:c r="F1" s="3" t="str">
        <x:v>模型检查</x:v>
      </x:c>
      <x:c r="G1" s="3" t="str">
        <x:v>模型检查</x:v>
      </x:c>
    </x:row>
    <x:row r="2">
      <x:c r="A2" t="str">
        <x:v>总体模型状态</x:v>
      </x:c>
      <x:c r="B2" t="str">
        <x:v>总体模型状态</x:v>
      </x:c>
      <x:c r="C2" t="str">
        <x:v>总体模型状态</x:v>
      </x:c>
      <x:c r="D2" t="str">
        <x:v>总体模型状态</x:v>
      </x:c>
      <x:c r="E2" t="str">
        <x:v>总体模型状态</x:v>
      </x:c>
      <x:c r="F2" t="str">
        <x:f>IF(COUNTIF(F5:F15,"FAIL")+COUNTIF(F18:F21,"FAIL")=0,"OK","FAIL")</x:f>
        <x:v>OK</x:v>
      </x:c>
    </x:row>
    <x:row r="4">
      <x:c r="A4" s="19" t="str">
        <x:v>检查项</x:v>
      </x:c>
      <x:c r="B4" s="20" t="str">
        <x:v>实际值</x:v>
      </x:c>
      <x:c r="C4" s="20" t="str">
        <x:v>预期/阈值</x:v>
      </x:c>
      <x:c r="D4" s="20" t="str">
        <x:v>差异</x:v>
      </x:c>
      <x:c r="E4" s="20" t="str">
        <x:v>容差</x:v>
      </x:c>
      <x:c r="F4" s="20" t="str">
        <x:v>状态</x:v>
      </x:c>
      <x:c r="G4" s="21" t="str">
        <x:v>说明</x:v>
      </x:c>
    </x:row>
    <x:row r="5">
      <x:c r="A5" s="11" t="str">
        <x:v>H1产品收入合计</x:v>
      </x:c>
      <x:c r="B5" s="138" t="n">
        <x:f>'Segments'!B9</x:f>
        <x:v>11.565761</x:v>
      </x:c>
      <x:c r="C5" s="138" t="n">
        <x:f>'Historical'!F4</x:f>
        <x:v>11.56576</x:v>
      </x:c>
      <x:c r="D5" s="138" t="n">
        <x:f>B5-C5</x:f>
        <x:v>0.0000010000000010279564</x:v>
      </x:c>
      <x:c r="E5" s="138" t="n">
        <x:f>0.0001</x:f>
        <x:v>0.0001</x:v>
      </x:c>
      <x:c r="F5" s="11" t="str">
        <x:f>IF(ABS(D5)&lt;=E5,"OK","FAIL")</x:f>
        <x:v>OK</x:v>
      </x:c>
      <x:c r="G5" s="11" t="str">
        <x:v>产品收入等于合并收入</x:v>
      </x:c>
    </x:row>
    <x:row r="6">
      <x:c r="A6" s="14" t="str">
        <x:v>H1产品成本合计</x:v>
      </x:c>
      <x:c r="B6" s="139" t="n">
        <x:f>'Segments'!D9</x:f>
        <x:v>4.264244000000001</x:v>
      </x:c>
      <x:c r="C6" s="139" t="n">
        <x:f>4.264244</x:f>
        <x:v>4.264244</x:v>
      </x:c>
      <x:c r="D6" s="139" t="n">
        <x:f>B6-C6</x:f>
        <x:v>8.881784197001252e-16</x:v>
      </x:c>
      <x:c r="E6" s="139" t="n">
        <x:f>0.0001</x:f>
        <x:v>0.0001</x:v>
      </x:c>
      <x:c r="F6" s="14" t="str">
        <x:f>IF(ABS(D6)&lt;=E6,"OK","FAIL")</x:f>
        <x:v>OK</x:v>
      </x:c>
      <x:c r="G6" s="14" t="str">
        <x:v>产品成本等于营业成本</x:v>
      </x:c>
    </x:row>
    <x:row r="7">
      <x:c r="A7" s="14" t="str">
        <x:v>H1综合毛利率</x:v>
      </x:c>
      <x:c r="B7" s="139" t="n">
        <x:f>'Segments'!E9</x:f>
        <x:v>0.6313045030067628</x:v>
      </x:c>
      <x:c r="C7" s="139" t="n">
        <x:f>'Historical'!F8</x:f>
        <x:v>0.6313044711285726</x:v>
      </x:c>
      <x:c r="D7" s="139" t="n">
        <x:f>B7-C7</x:f>
        <x:v>3.187819019867533e-8</x:v>
      </x:c>
      <x:c r="E7" s="139" t="n">
        <x:f>0.0001</x:f>
        <x:v>0.0001</x:v>
      </x:c>
      <x:c r="F7" s="14" t="str">
        <x:f>IF(ABS(D7)&lt;=E7,"OK","FAIL")</x:f>
        <x:v>OK</x:v>
      </x:c>
      <x:c r="G7" s="14" t="str">
        <x:v>分产品与合并毛利率一致</x:v>
      </x:c>
    </x:row>
    <x:row r="8">
      <x:c r="A8" s="14" t="str">
        <x:v>Q2收入桥</x:v>
      </x:c>
      <x:c r="B8" s="139" t="n">
        <x:f>'Historical'!G4</x:f>
        <x:v>7.3776839999999995</x:v>
      </x:c>
      <x:c r="C8" s="139" t="n">
        <x:f>'Historical'!F4-'Historical'!E4</x:f>
        <x:v>7.3776839999999995</x:v>
      </x:c>
      <x:c r="D8" s="139" t="n">
        <x:f>B8-C8</x:f>
        <x:v>0</x:v>
      </x:c>
      <x:c r="E8" s="139" t="n">
        <x:f>0.0001</x:f>
        <x:v>0.0001</x:v>
      </x:c>
      <x:c r="F8" s="14" t="str">
        <x:f>IF(ABS(D8)&lt;=E8,"OK","FAIL")</x:f>
        <x:v>OK</x:v>
      </x:c>
      <x:c r="G8" s="14" t="str">
        <x:v>H1减Q1</x:v>
      </x:c>
    </x:row>
    <x:row r="9">
      <x:c r="A9" s="14" t="str">
        <x:v>Q2扣非利润桥</x:v>
      </x:c>
      <x:c r="B9" s="139" t="n">
        <x:f>'Historical'!G6</x:f>
        <x:v>3.472969</x:v>
      </x:c>
      <x:c r="C9" s="139" t="n">
        <x:f>'Historical'!F6-'Historical'!E6</x:f>
        <x:v>3.472969</x:v>
      </x:c>
      <x:c r="D9" s="139" t="n">
        <x:f>B9-C9</x:f>
        <x:v>0</x:v>
      </x:c>
      <x:c r="E9" s="139" t="n">
        <x:f>0.0001</x:f>
        <x:v>0.0001</x:v>
      </x:c>
      <x:c r="F9" s="14" t="str">
        <x:f>IF(ABS(D9)&lt;=E9,"OK","FAIL")</x:f>
        <x:v>OK</x:v>
      </x:c>
      <x:c r="G9" s="14" t="str">
        <x:v>H1减Q1</x:v>
      </x:c>
    </x:row>
    <x:row r="10">
      <x:c r="A10" s="14" t="str">
        <x:v>保守摊薄股数桥</x:v>
      </x:c>
      <x:c r="B10" s="139" t="n">
        <x:f>'Assumptions'!B8</x:f>
        <x:v>705.4593269999999</x:v>
      </x:c>
      <x:c r="C10" s="139" t="n">
        <x:f>'Assumptions'!B5+'Assumptions'!E5</x:f>
        <x:v>705.4593269999999</x:v>
      </x:c>
      <x:c r="D10" s="139" t="n">
        <x:f>B10-C10</x:f>
        <x:v>0</x:v>
      </x:c>
      <x:c r="E10" s="139" t="n">
        <x:f>0.0001</x:f>
        <x:v>0.0001</x:v>
      </x:c>
      <x:c r="F10" s="14" t="str">
        <x:f>IF(ABS(D10)&lt;=E10,"OK","FAIL")</x:f>
        <x:v>OK</x:v>
      </x:c>
      <x:c r="G10" s="14" t="str">
        <x:v>总股本加已授予H股奖励压力</x:v>
      </x:c>
    </x:row>
    <x:row r="11">
      <x:c r="A11" s="14" t="str">
        <x:v>A价等值市值桥</x:v>
      </x:c>
      <x:c r="B11" s="139" t="n">
        <x:f>'Assumptions'!B9</x:f>
        <x:v>230.30425189241996</x:v>
      </x:c>
      <x:c r="C11" s="139" t="n">
        <x:f>'Assumptions'!B4*'Assumptions'!B8/1000</x:f>
        <x:v>230.30425189241996</x:v>
      </x:c>
      <x:c r="D11" s="139" t="n">
        <x:f>B11-C11</x:f>
        <x:v>0</x:v>
      </x:c>
      <x:c r="E11" s="139" t="n">
        <x:f>0.0001</x:f>
        <x:v>0.0001</x:v>
      </x:c>
      <x:c r="F11" s="14" t="str">
        <x:f>IF(ABS(D11)&lt;=E11,"OK","FAIL")</x:f>
        <x:v>OK</x:v>
      </x:c>
      <x:c r="G11" s="14" t="str">
        <x:v>A价×压力股本，不是A+H实市值</x:v>
      </x:c>
    </x:row>
    <x:row r="12">
      <x:c r="A12" s="14" t="str">
        <x:v>Base权益价值</x:v>
      </x:c>
      <x:c r="B12" s="139" t="n">
        <x:f>'Valuation'!E6</x:f>
        <x:v>269</x:v>
      </x:c>
      <x:c r="C12" s="139" t="n">
        <x:f>'Assumptions'!C15*'Assumptions'!C16+'Assumptions'!C17</x:f>
        <x:v>269</x:v>
      </x:c>
      <x:c r="D12" s="139" t="n">
        <x:f>B12-C12</x:f>
        <x:v>0</x:v>
      </x:c>
      <x:c r="E12" s="139" t="n">
        <x:f>0.0001</x:f>
        <x:v>0.0001</x:v>
      </x:c>
      <x:c r="F12" s="14" t="str">
        <x:f>IF(ABS(D12)&lt;=E12,"OK","FAIL")</x:f>
        <x:v>OK</x:v>
      </x:c>
      <x:c r="G12" s="14" t="str">
        <x:v>利润×P/E+投资</x:v>
      </x:c>
    </x:row>
    <x:row r="13">
      <x:c r="A13" s="14" t="str">
        <x:v>Base每股价值</x:v>
      </x:c>
      <x:c r="B13" s="139" t="n">
        <x:f>'Valuation'!F6</x:f>
        <x:v>381.31184847174046</x:v>
      </x:c>
      <x:c r="C13" s="139" t="n">
        <x:f>'Valuation'!E6/'Assumptions'!B8*1000</x:f>
        <x:v>381.31184847174046</x:v>
      </x:c>
      <x:c r="D13" s="139" t="n">
        <x:f>B13-C13</x:f>
        <x:v>0</x:v>
      </x:c>
      <x:c r="E13" s="139" t="n">
        <x:f>0.0001</x:f>
        <x:v>0.0001</x:v>
      </x:c>
      <x:c r="F13" s="14" t="str">
        <x:f>IF(ABS(D13)&lt;=E13,"OK","FAIL")</x:f>
        <x:v>OK</x:v>
      </x:c>
      <x:c r="G13" s="14" t="str">
        <x:v>权益价值/保守摊薄股数</x:v>
      </x:c>
    </x:row>
    <x:row r="14">
      <x:c r="A14" s="14" t="str">
        <x:v>情景价值递增</x:v>
      </x:c>
      <x:c r="B14" s="139" t="n">
        <x:f>'Valuation'!F7-'Valuation'!F5</x:f>
        <x:v>440.84752741528365</x:v>
      </x:c>
      <x:c r="C14" s="139" t="n">
        <x:f>0</x:f>
        <x:v>0</x:v>
      </x:c>
      <x:c r="D14" s="139" t="n">
        <x:f>B14-C14</x:f>
        <x:v>440.84752741528365</x:v>
      </x:c>
      <x:c r="E14" s="139" t="n">
        <x:f>0</x:f>
        <x:v>0</x:v>
      </x:c>
      <x:c r="F14" s="14" t="str">
        <x:f>IF(B14&gt;C14,"OK","FAIL")</x:f>
        <x:v>OK</x:v>
      </x:c>
      <x:c r="G14" s="14" t="str">
        <x:v>Bull必须高于Bear</x:v>
      </x:c>
    </x:row>
    <x:row r="15">
      <x:c r="A15" s="16" t="str">
        <x:v>输入为正</x:v>
      </x:c>
      <x:c r="B15" s="140" t="n">
        <x:f>MIN('Assumptions'!B4,'Assumptions'!B8,'Assumptions'!B15,'Assumptions'!C15,'Assumptions'!D15)</x:f>
        <x:v>6</x:v>
      </x:c>
      <x:c r="C15" s="140" t="n">
        <x:f>0</x:f>
        <x:v>0</x:v>
      </x:c>
      <x:c r="D15" s="140" t="n">
        <x:f>B15-C15</x:f>
        <x:v>6</x:v>
      </x:c>
      <x:c r="E15" s="140" t="n">
        <x:f>0</x:f>
        <x:v>0</x:v>
      </x:c>
      <x:c r="F15" s="16" t="str">
        <x:f>IF(B15&gt;C15,"OK","FAIL")</x:f>
        <x:v>OK</x:v>
      </x:c>
      <x:c r="G15" s="16" t="str">
        <x:v>核心输入必须大于0</x:v>
      </x:c>
    </x:row>
    <x:row r="17">
      <x:c r="A17" s="19" t="str">
        <x:v>检查项</x:v>
      </x:c>
      <x:c r="B17" s="20" t="str">
        <x:v>实际值</x:v>
      </x:c>
      <x:c r="C17" s="20" t="str">
        <x:v>预期/阈值</x:v>
      </x:c>
      <x:c r="D17" s="20" t="str">
        <x:v>差异</x:v>
      </x:c>
      <x:c r="E17" s="20" t="str">
        <x:v>容差</x:v>
      </x:c>
      <x:c r="F17" s="20" t="str">
        <x:v>状态</x:v>
      </x:c>
      <x:c r="G17" s="21" t="str">
        <x:v>说明</x:v>
      </x:c>
    </x:row>
    <x:row r="18">
      <x:c r="A18" t="str">
        <x:v>股本来源核对</x:v>
      </x:c>
      <x:c r="B18" s="136" t="n">
        <x:f>'Assumptions'!B8</x:f>
        <x:v>705.4593269999999</x:v>
      </x:c>
      <x:c r="C18" s="136" t="n">
        <x:v>705.459327</x:v>
      </x:c>
      <x:c r="D18" s="136" t="n">
        <x:f>B18-C18</x:f>
        <x:v>-1.1368683772161603e-13</x:v>
      </x:c>
      <x:c r="E18" s="136" t="n">
        <x:v>0.0001</x:v>
      </x:c>
      <x:c r="F18" t="str">
        <x:f>IF(ABS(D18)&lt;=E18,"OK","FAIL")</x:f>
        <x:v>OK</x:v>
      </x:c>
      <x:c r="G18" t="str">
        <x:v>新来源独立数值控制</x:v>
      </x:c>
    </x:row>
    <x:row r="19">
      <x:c r="A19" t="str">
        <x:v>2025末现金核对</x:v>
      </x:c>
      <x:c r="B19" s="136" t="n">
        <x:f>'Segments'!H11</x:f>
        <x:v>9.18626998261</x:v>
      </x:c>
      <x:c r="C19" s="136" t="n">
        <x:v>9.18626998261</x:v>
      </x:c>
      <x:c r="D19" s="136" t="n">
        <x:f>B19-C19</x:f>
        <x:v>0</x:v>
      </x:c>
      <x:c r="E19" s="136" t="n">
        <x:v>0.0001</x:v>
      </x:c>
      <x:c r="F19" t="str">
        <x:f>IF(ABS(D19)&lt;=E19,"OK","FAIL")</x:f>
        <x:v>OK</x:v>
      </x:c>
      <x:c r="G19" t="str">
        <x:v>新来源独立数值控制</x:v>
      </x:c>
    </x:row>
    <x:row r="20">
      <x:c r="A20" t="str">
        <x:v>简化FCF核对</x:v>
      </x:c>
      <x:c r="B20" s="136" t="n">
        <x:f>'Historical'!F21</x:f>
        <x:v>5.10323557292</x:v>
      </x:c>
      <x:c r="C20" s="136" t="n">
        <x:v>5.10323562998</x:v>
      </x:c>
      <x:c r="D20" s="136" t="n">
        <x:f>B20-C20</x:f>
        <x:v>-5.706000028027347e-8</x:v>
      </x:c>
      <x:c r="E20" s="136" t="n">
        <x:v>0.0001</x:v>
      </x:c>
      <x:c r="F20" t="str">
        <x:f>IF(ABS(D20)&lt;=E20,"OK","FAIL")</x:f>
        <x:v>OK</x:v>
      </x:c>
      <x:c r="G20" t="str">
        <x:v>新来源独立数值控制</x:v>
      </x:c>
    </x:row>
    <x:row r="21">
      <x:c r="A21" t="str">
        <x:v>应付现金流核对</x:v>
      </x:c>
      <x:c r="B21" s="136" t="n">
        <x:f>'Historical'!F22</x:f>
        <x:v>1.9464313616</x:v>
      </x:c>
      <x:c r="C21" s="136" t="n">
        <x:v>1.9464313616</x:v>
      </x:c>
      <x:c r="D21" s="136" t="n">
        <x:f>B21-C21</x:f>
        <x:v>0</x:v>
      </x:c>
      <x:c r="E21" s="136" t="n">
        <x:v>0.0001</x:v>
      </x:c>
      <x:c r="F21" t="str">
        <x:f>IF(ABS(D21)&lt;=E21,"OK","FAIL")</x:f>
        <x:v>OK</x:v>
      </x:c>
      <x:c r="G21" t="str">
        <x:v>新来源独立数值控制</x:v>
      </x:c>
    </x:row>
  </x:sheetData>
  <x:mergeCells>
    <x:mergeCell ref="A1:G1"/>
    <x:mergeCell ref="A2:E2"/>
  </x:mergeCells>
  <x:conditionalFormatting sqref="F2:F15">
    <x:cfRule type="containsText" dxfId="0" priority="1" operator="containsText" text="OK"/>
    <x:cfRule type="containsText" dxfId="1" priority="2" operator="containsText" text="FAIL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4" hidden="0" customWidth="1"/>
    <x:col min="3" max="3" width="16" hidden="0" customWidth="1"/>
    <x:col min="4" max="4" width="18" hidden="0" customWidth="1"/>
    <x:col min="5" max="5" width="16" hidden="0" customWidth="1"/>
    <x:col min="6" max="6" width="24" hidden="0" customWidth="1"/>
    <x:col min="7" max="7" width="76" hidden="0" customWidth="1"/>
    <x:col min="8" max="8" width="34" hidden="0" customWidth="1"/>
  </x:cols>
  <x:sheetData>
    <x:row r="1" ht="30" customHeight="1">
      <x:c r="A1" s="3" t="str">
        <x:v>来源与审计索引</x:v>
      </x:c>
      <x:c r="B1" s="3" t="str">
        <x:v>来源与审计索引</x:v>
      </x:c>
      <x:c r="C1" s="3" t="str">
        <x:v>来源与审计索引</x:v>
      </x:c>
      <x:c r="D1" s="3" t="str">
        <x:v>来源与审计索引</x:v>
      </x:c>
      <x:c r="E1" s="3" t="str">
        <x:v>来源与审计索引</x:v>
      </x:c>
      <x:c r="F1" s="3" t="str">
        <x:v>来源与审计索引</x:v>
      </x:c>
      <x:c r="G1" s="3" t="str">
        <x:v>来源与审计索引</x:v>
      </x:c>
      <x:c r="H1" s="3" t="str">
        <x:v>来源与审计索引</x:v>
      </x:c>
    </x:row>
    <x:row r="3">
      <x:c r="A3" s="19" t="str">
        <x:v>ID</x:v>
      </x:c>
      <x:c r="B3" s="20" t="str">
        <x:v>输入/主题</x:v>
      </x:c>
      <x:c r="C3" s="20" t="str">
        <x:v>数值</x:v>
      </x:c>
      <x:c r="D3" s="20" t="str">
        <x:v>单位</x:v>
      </x:c>
      <x:c r="E3" s="20" t="str">
        <x:v>截至/期间</x:v>
      </x:c>
      <x:c r="F3" s="20" t="str">
        <x:v>来源</x:v>
      </x:c>
      <x:c r="G3" s="20" t="str">
        <x:v>URL</x:v>
      </x:c>
      <x:c r="H3" s="21" t="str">
        <x:v>审计说明</x:v>
      </x:c>
    </x:row>
    <x:row r="4" ht="44" customHeight="1">
      <x:c r="A4" s="11" t="str">
        <x:v>S1</x:v>
      </x:c>
      <x:c r="B4" s="148" t="str">
        <x:v>2026H1财务、产品、资产负债表</x:v>
      </x:c>
      <x:c r="C4" s="149"/>
      <x:c r="D4" s="148"/>
      <x:c r="E4" s="148" t="str">
        <x:v>2026H1</x:v>
      </x:c>
      <x:c r="F4" s="148" t="str">
        <x:v>半年度报告</x:v>
      </x:c>
      <x:c r="G4" s="148" t="str">
        <x:v>https://static.cninfo.com.cn/finalpage/2026-08-19/1225480384.PDF</x:v>
      </x:c>
      <x:c r="H4" s="148" t="str">
        <x:v>未经审计/中期披露</x:v>
      </x:c>
    </x:row>
    <x:row r="5" ht="44" customHeight="1">
      <x:c r="A5" s="14" t="str">
        <x:v>S2</x:v>
      </x:c>
      <x:c r="B5" s="150" t="str">
        <x:v>2025年度财务、研发、渠道</x:v>
      </x:c>
      <x:c r="C5" s="151"/>
      <x:c r="D5" s="150"/>
      <x:c r="E5" s="150" t="str">
        <x:v>FY2025</x:v>
      </x:c>
      <x:c r="F5" s="150" t="str">
        <x:v>年度报告</x:v>
      </x:c>
      <x:c r="G5" s="150" t="str">
        <x:v>https://static.cninfo.com.cn/finalpage/2026-03-31/1225061352.PDF</x:v>
      </x:c>
      <x:c r="H5" s="150" t="str">
        <x:v>毕马威华振；标准无保留意见</x:v>
      </x:c>
    </x:row>
    <x:row r="6" ht="44" customHeight="1">
      <x:c r="A6" s="14" t="str">
        <x:v>S3</x:v>
      </x:c>
      <x:c r="B6" s="150" t="str">
        <x:v>2023-2024历史财务</x:v>
      </x:c>
      <x:c r="C6" s="151"/>
      <x:c r="D6" s="150"/>
      <x:c r="E6" s="150" t="str">
        <x:v>FY2024</x:v>
      </x:c>
      <x:c r="F6" s="150" t="str">
        <x:v>年度报告</x:v>
      </x:c>
      <x:c r="G6" s="150" t="str">
        <x:v>https://static.cninfo.com.cn/finalpage/2025-04-26/1223305062.PDF</x:v>
      </x:c>
      <x:c r="H6" s="150" t="str">
        <x:v>经审计</x:v>
      </x:c>
    </x:row>
    <x:row r="7" ht="44" customHeight="1">
      <x:c r="A7" s="14" t="str">
        <x:v>S4</x:v>
      </x:c>
      <x:c r="B7" s="150" t="str">
        <x:v>2026Q1财务</x:v>
      </x:c>
      <x:c r="C7" s="151"/>
      <x:c r="D7" s="150"/>
      <x:c r="E7" s="150" t="str">
        <x:v>2026Q1</x:v>
      </x:c>
      <x:c r="F7" s="150" t="str">
        <x:v>第一季度报告</x:v>
      </x:c>
      <x:c r="G7" s="150" t="str">
        <x:v>https://www.hkexnews.hk/listedco/listconews/sehk/2026/0429/2026042904854.pdf</x:v>
      </x:c>
      <x:c r="H7" s="150" t="str">
        <x:v>未经审计</x:v>
      </x:c>
    </x:row>
    <x:row r="8" ht="44" customHeight="1">
      <x:c r="A8" s="14" t="str">
        <x:v>S5</x:v>
      </x:c>
      <x:c r="B8" s="150" t="str">
        <x:v>回购方案</x:v>
      </x:c>
      <x:c r="C8" s="151" t="n">
        <x:v>1</x:v>
      </x:c>
      <x:c r="D8" s="150" t="str">
        <x:v>RMB bn下限</x:v>
      </x:c>
      <x:c r="E8" s="150" t="str">
        <x:v>2026-08-01</x:v>
      </x:c>
      <x:c r="F8" s="150" t="str">
        <x:v>回购方案公告</x:v>
      </x:c>
      <x:c r="G8" s="150" t="str">
        <x:v>https://static.cninfo.com.cn/finalpage/2026-08-01/1225450998.PDF</x:v>
      </x:c>
      <x:c r="H8" s="150" t="str">
        <x:v>全部拟注销；上限2bn</x:v>
      </x:c>
    </x:row>
    <x:row r="9" ht="44" customHeight="1">
      <x:c r="A9" s="14" t="str">
        <x:v>S6</x:v>
      </x:c>
      <x:c r="B9" s="150" t="str">
        <x:v>累计回购</x:v>
      </x:c>
      <x:c r="C9" s="151" t="n">
        <x:v>1.6623</x:v>
      </x:c>
      <x:c r="D9" s="150" t="str">
        <x:v>m shares</x:v>
      </x:c>
      <x:c r="E9" s="150" t="str">
        <x:v>2026-08-31</x:v>
      </x:c>
      <x:c r="F9" s="150" t="str">
        <x:v>回购进展公告</x:v>
      </x:c>
      <x:c r="G9" s="150" t="str">
        <x:v>https://www.cnstock.com/commonDetail/624905</x:v>
      </x:c>
      <x:c r="H9" s="150" t="str">
        <x:v>金额约0.654bn</x:v>
      </x:c>
    </x:row>
    <x:row r="10" ht="44" customHeight="1">
      <x:c r="A10" s="14" t="str">
        <x:v>M1</x:v>
      </x:c>
      <x:c r="B10" s="150" t="str">
        <x:v>A股收盘价</x:v>
      </x:c>
      <x:c r="C10" s="151" t="n">
        <x:v>326.46</x:v>
      </x:c>
      <x:c r="D10" s="150" t="str">
        <x:v>RMB/股</x:v>
      </x:c>
      <x:c r="E10" s="150" t="str">
        <x:v>2026-10-09</x:v>
      </x:c>
      <x:c r="F10" s="150" t="str">
        <x:v>历史行情</x:v>
      </x:c>
      <x:c r="G10" s="150" t="str">
        <x:v>https://cn.investing.com/equities/gigadevice-semiconductor-beijing-historical-data</x:v>
      </x:c>
      <x:c r="H10" s="150" t="str">
        <x:v>二级市场来源</x:v>
      </x:c>
    </x:row>
    <x:row r="11" ht="44" customHeight="1">
      <x:c r="A11" s="14" t="str">
        <x:v>M2</x:v>
      </x:c>
      <x:c r="B11" s="150" t="str">
        <x:v>行权后总股本</x:v>
      </x:c>
      <x:c r="C11" s="151" t="n">
        <x:v>703.971427</x:v>
      </x:c>
      <x:c r="D11" s="150" t="str">
        <x:v>m shares</x:v>
      </x:c>
      <x:c r="E11" s="150" t="str">
        <x:v>2026-09-29确认</x:v>
      </x:c>
      <x:c r="F11" s="150" t="str">
        <x:v>注册资本/股份登记公告</x:v>
      </x:c>
      <x:c r="G11" s="150" t="str">
        <x:v>https://file.finance.sina.com.cn/211.154.219.97%3A9494/MRGG/CNSESH_STOCK/2026/2026-9/2026-09-29/12623783.PDF</x:v>
      </x:c>
      <x:c r="H11" s="150" t="str">
        <x:v>原公告为上交所披露；A+H总股本</x:v>
      </x:c>
    </x:row>
    <x:row r="12" ht="44" customHeight="1">
      <x:c r="A12" s="14" t="str">
        <x:v>A1</x:v>
      </x:c>
      <x:c r="B12" s="150" t="str">
        <x:v>Bear核心净利润</x:v>
      </x:c>
      <x:c r="C12" s="151" t="n">
        <x:v>6</x:v>
      </x:c>
      <x:c r="D12" s="150" t="str">
        <x:v>RMB bn</x:v>
      </x:c>
      <x:c r="E12" s="150" t="str">
        <x:v>2027E</x:v>
      </x:c>
      <x:c r="F12" s="150" t="str">
        <x:v>分析假设</x:v>
      </x:c>
      <x:c r="G12" s="150" t="str"/>
      <x:c r="H12" s="150" t="str">
        <x:v>不是一致预期</x:v>
      </x:c>
    </x:row>
    <x:row r="13" ht="44" customHeight="1">
      <x:c r="A13" s="14" t="str">
        <x:v>A2</x:v>
      </x:c>
      <x:c r="B13" s="150" t="str">
        <x:v>Base核心净利润</x:v>
      </x:c>
      <x:c r="C13" s="151" t="n">
        <x:v>8.5</x:v>
      </x:c>
      <x:c r="D13" s="150" t="str">
        <x:v>RMB bn</x:v>
      </x:c>
      <x:c r="E13" s="150" t="str">
        <x:v>2027E</x:v>
      </x:c>
      <x:c r="F13" s="150" t="str">
        <x:v>分析假设</x:v>
      </x:c>
      <x:c r="G13" s="150" t="str"/>
      <x:c r="H13" s="150" t="str">
        <x:v>主估值85亿元；2026近期100亿元原假设另列</x:v>
      </x:c>
    </x:row>
    <x:row r="14" ht="44" customHeight="1">
      <x:c r="A14" s="14" t="str">
        <x:v>A3</x:v>
      </x:c>
      <x:c r="B14" s="150" t="str">
        <x:v>Bull核心净利润</x:v>
      </x:c>
      <x:c r="C14" s="151" t="n">
        <x:v>11.5</x:v>
      </x:c>
      <x:c r="D14" s="150" t="str">
        <x:v>RMB bn</x:v>
      </x:c>
      <x:c r="E14" s="150" t="str">
        <x:v>2027E</x:v>
      </x:c>
      <x:c r="F14" s="150" t="str">
        <x:v>分析假设</x:v>
      </x:c>
      <x:c r="G14" s="150" t="str"/>
      <x:c r="H14" s="150" t="str">
        <x:v>需高景气延续</x:v>
      </x:c>
    </x:row>
    <x:row r="15" ht="44" customHeight="1">
      <x:c r="A15" s="14" t="str">
        <x:v>A4</x:v>
      </x:c>
      <x:c r="B15" s="150" t="str">
        <x:v>Bear/Base/Bull P/E</x:v>
      </x:c>
      <x:c r="C15" s="151"/>
      <x:c r="D15" s="150" t="str">
        <x:v>22x/30x/38x</x:v>
      </x:c>
      <x:c r="E15" s="150" t="str">
        <x:v>2027E</x:v>
      </x:c>
      <x:c r="F15" s="150" t="str">
        <x:v>分析假设</x:v>
      </x:c>
      <x:c r="G15" s="150" t="str"/>
      <x:c r="H15" s="150" t="str">
        <x:v>平台质量与周期风险</x:v>
      </x:c>
    </x:row>
    <x:row r="16" ht="44" customHeight="1">
      <x:c r="A16" s="14" t="str">
        <x:v>A5</x:v>
      </x:c>
      <x:c r="B16" s="150" t="str">
        <x:v>金融投资计入值</x:v>
      </x:c>
      <x:c r="C16" s="151"/>
      <x:c r="D16" s="150" t="str">
        <x:v>10/14/16bn</x:v>
      </x:c>
      <x:c r="E16" s="150" t="str">
        <x:v>2026H1</x:v>
      </x:c>
      <x:c r="F16" s="150" t="str">
        <x:v>分析假设</x:v>
      </x:c>
      <x:c r="G16" s="150" t="str"/>
      <x:c r="H16" s="150" t="str">
        <x:v>账面约16.02bn以内</x:v>
      </x:c>
    </x:row>
    <x:row r="17" ht="44" customHeight="1">
      <x:c r="A17" s="14" t="str">
        <x:v>C1</x:v>
      </x:c>
      <x:c r="B17" s="150" t="str">
        <x:v>Q2数据</x:v>
      </x:c>
      <x:c r="C17" s="151"/>
      <x:c r="D17" s="150"/>
      <x:c r="E17" s="150" t="str">
        <x:v>2026Q2</x:v>
      </x:c>
      <x:c r="F17" s="150" t="str">
        <x:v>研究计算</x:v>
      </x:c>
      <x:c r="G17" s="150" t="str"/>
      <x:c r="H17" s="150" t="str">
        <x:v>2026H1减2026Q1</x:v>
      </x:c>
    </x:row>
    <x:row r="18" ht="44" customHeight="1">
      <x:c r="A18" s="16" t="str">
        <x:v>C2</x:v>
      </x:c>
      <x:c r="B18" s="152" t="str">
        <x:v>历史经济股数</x:v>
      </x:c>
      <x:c r="C18" s="153" t="n">
        <x:v>702.309127</x:v>
      </x:c>
      <x:c r="D18" s="152" t="str">
        <x:v>m shares</x:v>
      </x:c>
      <x:c r="E18" s="152" t="str">
        <x:v>2026-09-01</x:v>
      </x:c>
      <x:c r="F18" s="152" t="str">
        <x:v>研究计算</x:v>
      </x:c>
      <x:c r="G18" s="152" t="str"/>
      <x:c r="H18" s="152" t="str">
        <x:v>总股本减已回购拟注销股份</x:v>
      </x:c>
    </x:row>
    <x:row r="20" ht="58" customHeight="1">
      <x:c r="A20" s="170" t="str">
        <x:v>S7</x:v>
      </x:c>
      <x:c r="B20" s="170" t="str">
        <x:v>2026年9月回购进展</x:v>
      </x:c>
      <x:c r="C20" s="170"/>
      <x:c r="D20" s="170"/>
      <x:c r="E20" s="170" t="str">
        <x:v>2026-10-09</x:v>
      </x:c>
      <x:c r="F20" s="170" t="str">
        <x:v>公司公告原件/市场快照</x:v>
      </x:c>
      <x:c r="G20" s="170" t="str">
        <x:v>https://file.finance.sina.com.cn/211.154.219.97%3A9494/MRGG/CNSESH_STOCK/2026/2026-10/2026-10-09/12632612.PDF</x:v>
      </x:c>
      <x:c r="H20" s="170" t="str">
        <x:v>截至9月30日245.19万股、9.480124亿元，拟注销；每月数据不可当作含10月8日累计</x:v>
      </x:c>
    </x:row>
    <x:row r="21" ht="58" customHeight="1">
      <x:c r="A21" s="170" t="str">
        <x:v>S8</x:v>
      </x:c>
      <x:c r="B21" s="170" t="str">
        <x:v>长鑫采购额度增加及2027年前四月预算</x:v>
      </x:c>
      <x:c r="C21" s="170"/>
      <x:c r="D21" s="170"/>
      <x:c r="E21" s="170" t="str">
        <x:v>2026-09-29</x:v>
      </x:c>
      <x:c r="F21" s="170" t="str">
        <x:v>公司公告原件/市场快照</x:v>
      </x:c>
      <x:c r="G21" s="170" t="str">
        <x:v>https://file.finance.sina.com.cn/211.154.219.97%3A9494/MRGG/CNSESH_STOCK/2026/2026-9/2026-09-29/12623788.PDF</x:v>
      </x:c>
      <x:c r="H21" s="170" t="str">
        <x:v>p1—3：2026预算57.11升78.54亿元、1—8月实际35.96、2027年1—4月预算44.11；不含税、尚待股东会；代工价格上升及新品解释</x:v>
      </x:c>
    </x:row>
    <x:row r="22" ht="58" customHeight="1">
      <x:c r="A22" s="170" t="str">
        <x:v>S9</x:v>
      </x:c>
      <x:c r="B22" s="170" t="str">
        <x:v>H股奖励授予公告</x:v>
      </x:c>
      <x:c r="C22" s="170"/>
      <x:c r="D22" s="170"/>
      <x:c r="E22" s="170" t="str">
        <x:v>2026-09-29</x:v>
      </x:c>
      <x:c r="F22" s="170" t="str">
        <x:v>公司公告原件/市场快照</x:v>
      </x:c>
      <x:c r="G22" s="170" t="str">
        <x:v>https://file.finance.sina.com.cn/211.154.219.97%3A9494/MRGG/CNSESH_STOCK/2026/2026-9/2026-09-29/12624731.PDF</x:v>
      </x:c>
      <x:c r="H22" s="170" t="str">
        <x:v>授予148.79万份，1元人民币购买价，12/24/36/48个月各25%归属，非已发行股份；p4计划总授权7039.7142万股、余6890.9242万，基于A+H总股本10%，授权非确定新增</x:v>
      </x:c>
    </x:row>
    <x:row r="23" ht="58" customHeight="1">
      <x:c r="A23" s="170" t="str">
        <x:v>S10</x:v>
      </x:c>
      <x:c r="B23" s="170" t="str">
        <x:v>10月8日翌日披露报表</x:v>
      </x:c>
      <x:c r="C23" s="170"/>
      <x:c r="D23" s="170"/>
      <x:c r="E23" s="170" t="str">
        <x:v>2026-10-08提交/10-09镜像</x:v>
      </x:c>
      <x:c r="F23" s="170" t="str">
        <x:v>公司公告原件/市场快照</x:v>
      </x:c>
      <x:c r="G23" s="170" t="str">
        <x:v>https://file.finance.sina.com.cn/211.154.219.97%3A9494/MRGG/CNSESH_STOCK/2026/2026-10/2026-10-09/12633169.PDF</x:v>
      </x:c>
      <x:c r="H23" s="170" t="str">
        <x:v>10月8日回购16.2万股、54,508,902.56元（PDF p5已目视核验），A股670,718,327股未变；已回购股份尚未注销</x:v>
      </x:c>
    </x:row>
    <x:row r="24" ht="58" customHeight="1">
      <x:c r="A24" s="170" t="str">
        <x:v>S11</x:v>
      </x:c>
      <x:c r="B24" s="170" t="str">
        <x:v>注册资本与章程调整公告</x:v>
      </x:c>
      <x:c r="C24" s="170"/>
      <x:c r="D24" s="170"/>
      <x:c r="E24" s="170" t="str">
        <x:v>2026-09-29</x:v>
      </x:c>
      <x:c r="F24" s="170" t="str">
        <x:v>公司公告原件/市场快照</x:v>
      </x:c>
      <x:c r="G24" s="170" t="str">
        <x:v>https://file.finance.sina.com.cn/211.154.219.97%3A9494/MRGG/CNSESH_STOCK/2026/2026-9/2026-09-29/12623783.PDF</x:v>
      </x:c>
      <x:c r="H24" s="170" t="str">
        <x:v>A股670,718,327+H股33,253,100=703,971,427股；注册资本及章程修改尚待股东会，不否定已完成股份登记</x:v>
      </x:c>
    </x:row>
    <x:row r="25" ht="58" customHeight="1">
      <x:c r="A25" s="170" t="str">
        <x:v>S12</x:v>
      </x:c>
      <x:c r="B25" s="170" t="str">
        <x:v>A股历史行情研究快照</x:v>
      </x:c>
      <x:c r="C25" s="170"/>
      <x:c r="D25" s="170"/>
      <x:c r="E25" s="170" t="str">
        <x:v>价格2026-10-09/检索2026-10-12午间</x:v>
      </x:c>
      <x:c r="F25" s="170" t="str">
        <x:v>公司公告原件/市场快照</x:v>
      </x:c>
      <x:c r="G25" s="170" t="str">
        <x:v>https://cn.investing.com/equities/gigadevice-semiconductor-beijing-historical-data</x:v>
      </x:c>
      <x:c r="H25" s="170" t="str">
        <x:v>10月9日收盘326.46元；10月12日页面为延迟日内价，本报告不称当日收盘；本次未给H股当前目标价</x:v>
      </x:c>
    </x:row>
    <x:row r="28">
      <x:c r="A28" s="172" t="str">
        <x:v>2027利润/投资/P-E为研究假设；已授予奖励全额新增为压力口径，计划授权70.397142m仅做敏感性。H1期初现金改为9.18626998bn。普通回购尚未注销，不与2021限制性股票已注销4565股混用。</x:v>
      </x:c>
      <x:c r="B28" s="172"/>
      <x:c r="C28" s="172"/>
      <x:c r="D28" s="172"/>
      <x:c r="E28" s="172"/>
      <x:c r="F28" s="172"/>
      <x:c r="G28" s="172"/>
      <x:c r="H28" s="172"/>
    </x:row>
    <x:row r="29">
      <x:c r="A29" s="172"/>
      <x:c r="B29" s="172"/>
      <x:c r="C29" s="172"/>
      <x:c r="D29" s="172"/>
      <x:c r="E29" s="172"/>
      <x:c r="F29" s="172"/>
      <x:c r="G29" s="172"/>
      <x:c r="H29" s="172"/>
    </x:row>
    <x:row r="30">
      <x:c r="A30" s="172"/>
      <x:c r="B30" s="172"/>
      <x:c r="C30" s="172"/>
      <x:c r="D30" s="172"/>
      <x:c r="E30" s="172"/>
      <x:c r="F30" s="172"/>
      <x:c r="G30" s="172"/>
      <x:c r="H30" s="172"/>
    </x:row>
  </x:sheetData>
  <x:mergeCells>
    <x:mergeCell ref="A1:H1"/>
    <x:mergeCell ref="A28:H30"/>
  </x:mergeCells>
  <x:pageMargins left="0.7" right="0.7" top="0.75" bottom="0.75" header="0.3" footer="0.3"/>
</x:worksheet>
</file>
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ece8efbeb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a37f16803a54700"/>
    <x:sheet xmlns:r="http://schemas.openxmlformats.org/officeDocument/2006/relationships" name="Historical" sheetId="2" r:id="R595b43bf08e341cb"/>
    <x:sheet xmlns:r="http://schemas.openxmlformats.org/officeDocument/2006/relationships" name="Operations" sheetId="3" r:id="R2ee61b00e5c24342"/>
    <x:sheet xmlns:r="http://schemas.openxmlformats.org/officeDocument/2006/relationships" name="Balance &amp; Cash" sheetId="4" r:id="R12a282d95baf430f"/>
    <x:sheet xmlns:r="http://schemas.openxmlformats.org/officeDocument/2006/relationships" name="Assumptions" sheetId="5" r:id="R9ac55ccdffeb4bb6"/>
    <x:sheet xmlns:r="http://schemas.openxmlformats.org/officeDocument/2006/relationships" name="Valuation" sheetId="6" r:id="R8a8814973421458c"/>
    <x:sheet xmlns:r="http://schemas.openxmlformats.org/officeDocument/2006/relationships" name="Checks" sheetId="7" r:id="R9fcc62530f974710"/>
    <x:sheet xmlns:r="http://schemas.openxmlformats.org/officeDocument/2006/relationships" name="Sources Audit" sheetId="8" r:id="Rbed61941fda44fc8"/>
  </x:sheets>
</x:workbook>
</file>

<file path=xl/comments1.xml><?xml version="1.0" encoding="utf-8"?>
<x:comments xmlns:x="http://schemas.openxmlformats.org/spreadsheetml/2006/main">
  <x:authors>
    <x:author>tc={57FE8B91-587B-4C99-B4AB-DE4DEEDC3CF5}</x:author>
    <x:author>tc={8A637FC7-068E-4D48-8208-9F25547C58FA}</x:author>
    <x:author>tc={1A838725-93DE-4FF5-8007-609BDB57523D}</x:author>
    <x:author>tc={40892394-5CA1-42DB-AD19-AB3847E8726C}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M1: 云铝股份 A-share close RMB26.95 on 2026-09-04.</x:t>
        </x:r>
      </x:text>
    </x:comment>
    <x:comment ref="C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normalized EPS; not company guidance or market consensus.</x:t>
        </x:r>
      </x:text>
    </x:comment>
    <x:comment ref="C1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normalized P/E multiple reflects cyclicality and business quality.</x:t>
        </x:r>
      </x:text>
    </x:comment>
    <x:comment ref="C2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assumption: Base P/B cross-check; book value is not liquidation value.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&quot;RMB &quot;0.00"/>
    <x:numFmt numFmtId="202" formatCode="0.000&quot; bn shares&quot;"/>
    <x:numFmt numFmtId="203" formatCode="0.00&quot; bn&quot;"/>
    <x:numFmt numFmtId="204" formatCode="0.00x"/>
    <x:numFmt numFmtId="205" formatCode="0.0%;[Red](0.0%);-"/>
    <x:numFmt numFmtId="206" formatCode="0.00"/>
    <x:numFmt numFmtId="207" formatCode="0.000"/>
    <x:numFmt numFmtId="208" formatCode="0.0%"/>
    <x:numFmt numFmtId="209" formatCode="0.0x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0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1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2" xfId="0" applyNumberFormat="1" applyFont="1" applyFill="1" applyBorder="1"/>
    <x:xf numFmtId="203" fontId="2" fillId="0" borderId="2" xfId="0" applyNumberFormat="1" applyFont="1" applyFill="1" applyBorder="1"/>
    <x:xf numFmtId="204" fontId="2" fillId="0" borderId="2" xfId="0" applyNumberFormat="1" applyFont="1" applyFill="1" applyBorder="1"/>
    <x:xf numFmtId="201" fontId="2" fillId="0" borderId="2" xfId="0" applyNumberFormat="1" applyFont="1" applyFill="1" applyBorder="1"/>
    <x:xf numFmtId="205" fontId="2" fillId="0" borderId="3" xfId="0" applyNumberFormat="1" applyFont="1" applyFill="1" applyBorder="1"/>
    <x:xf numFmtId="201" fontId="2" fillId="0" borderId="1" xfId="0" applyNumberFormat="1" applyFont="1" applyFill="1" applyBorder="1" applyAlignment="1">
      <x:alignment vertical="center"/>
    </x:xf>
    <x:xf numFmtId="202" fontId="2" fillId="0" borderId="2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5" fontId="2" fillId="0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206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1" xfId="0" applyNumberFormat="1" applyFont="1" applyFill="1" applyBorder="1"/>
    <x:xf numFmtId="203" fontId="0" fillId="0" borderId="2" xfId="0" applyNumberFormat="1" applyFont="1" applyFill="1" applyBorder="1"/>
    <x:xf numFmtId="206" fontId="0" fillId="0" borderId="2" xfId="0" applyNumberFormat="1" applyFont="1" applyFill="1" applyBorder="1"/>
    <x:xf numFmtId="203" fontId="0" fillId="0" borderId="3" xfId="0" applyNumberFormat="1" applyFont="1" applyFill="1" applyBorder="1"/>
    <x:xf numFmtId="206" fontId="0" fillId="0" borderId="3" xfId="0" applyNumberFormat="1" applyFont="1" applyFill="1" applyBorder="1"/>
    <x:xf numFmtId="203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6" fontId="0" fillId="0" borderId="2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6" fontId="0" fillId="0" borderId="3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/>
    <x:xf numFmtId="205" fontId="0" fillId="0" borderId="2" xfId="0" applyNumberFormat="1" applyFont="1" applyFill="1" applyBorder="1"/>
    <x:xf numFmtId="205" fontId="0" fillId="0" borderId="3" xfId="0" applyNumberFormat="1" applyFont="1" applyFill="1" applyBorder="1"/>
    <x:xf numFmtId="205" fontId="0" fillId="0" borderId="1" xfId="0" applyNumberFormat="1" applyFont="1" applyFill="1" applyBorder="1" applyAlignment="1">
      <x:alignment vertical="center"/>
    </x:xf>
    <x:xf numFmtId="205" fontId="0" fillId="0" borderId="2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203" fontId="0" fillId="4" borderId="3" xfId="0" applyNumberFormat="1" applyFont="1" applyFill="1" applyBorder="1" applyAlignment="1">
      <x:alignment vertical="center"/>
    </x:xf>
    <x:xf numFmtId="206" fontId="0" fillId="4" borderId="3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7" fontId="0" fillId="0" borderId="2" xfId="0" applyNumberFormat="1" applyFont="1" applyFill="1" applyBorder="1"/>
    <x:xf numFmtId="207" fontId="0" fillId="0" borderId="3" xfId="0" applyNumberFormat="1" applyFont="1" applyFill="1" applyBorder="1"/>
    <x:xf numFmtId="207" fontId="0" fillId="0" borderId="1" xfId="0" applyNumberFormat="1" applyFont="1" applyFill="1" applyBorder="1" applyAlignment="1">
      <x:alignment vertical="center"/>
    </x:xf>
    <x:xf numFmtId="207" fontId="0" fillId="0" borderId="2" xfId="0" applyNumberFormat="1" applyFont="1" applyFill="1" applyBorder="1" applyAlignment="1">
      <x:alignment vertical="center"/>
    </x:xf>
    <x:xf numFmtId="207" fontId="0" fillId="0" borderId="3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8" fontId="0" fillId="0" borderId="2" xfId="0" applyNumberFormat="1" applyFont="1" applyFill="1" applyBorder="1"/>
    <x:xf numFmtId="204" fontId="0" fillId="0" borderId="2" xfId="0" applyNumberFormat="1" applyFont="1" applyFill="1" applyBorder="1"/>
    <x:xf numFmtId="208" fontId="0" fillId="0" borderId="3" xfId="0" applyNumberFormat="1" applyFont="1" applyFill="1" applyBorder="1"/>
    <x:xf numFmtId="208" fontId="0" fillId="0" borderId="1" xfId="0" applyNumberFormat="1" applyFont="1" applyFill="1" applyBorder="1" applyAlignment="1">
      <x:alignment vertical="center"/>
    </x:xf>
    <x:xf numFmtId="208" fontId="0" fillId="0" borderId="2" xfId="0" applyNumberFormat="1" applyFont="1" applyFill="1" applyBorder="1" applyAlignment="1">
      <x:alignment vertical="center"/>
    </x:xf>
    <x:xf numFmtId="204" fontId="0" fillId="0" borderId="2" xfId="0" applyNumberFormat="1" applyFont="1" applyFill="1" applyBorder="1" applyAlignment="1">
      <x:alignment vertical="center"/>
    </x:xf>
    <x:xf numFmtId="208" fontId="0" fillId="0" borderId="3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203" fontId="0" fillId="6" borderId="2" xfId="0" applyNumberFormat="1" applyFont="1" applyFill="1" applyBorder="1" applyAlignment="1">
      <x:alignment vertical="center"/>
    </x:xf>
    <x:xf numFmtId="204" fontId="0" fillId="6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4" fontId="0" fillId="0" borderId="3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/>
    <x:xf numFmtId="201" fontId="5" fillId="0" borderId="0" xfId="0" applyNumberFormat="1" applyFont="1" applyFill="1" applyBorder="1"/>
    <x:xf numFmtId="209" fontId="5" fillId="0" borderId="0" xfId="0" applyNumberFormat="1" applyFont="1" applyFill="1" applyBorder="1"/>
    <x:xf numFmtId="201" fontId="5" fillId="0" borderId="2" xfId="0" applyNumberFormat="1" applyFont="1" applyFill="1" applyBorder="1"/>
    <x:xf numFmtId="209" fontId="5" fillId="0" borderId="2" xfId="0" applyNumberFormat="1" applyFont="1" applyFill="1" applyBorder="1"/>
    <x:xf numFmtId="209" fontId="5" fillId="0" borderId="3" xfId="0" applyNumberFormat="1" applyFont="1" applyFill="1" applyBorder="1"/>
    <x:xf numFmtId="201" fontId="5" fillId="0" borderId="2" xfId="0" applyNumberFormat="1" applyFont="1" applyFill="1" applyBorder="1" applyAlignment="1">
      <x:alignment vertical="center"/>
    </x:xf>
    <x:xf numFmtId="209" fontId="5" fillId="0" borderId="2" xfId="0" applyNumberFormat="1" applyFont="1" applyFill="1" applyBorder="1" applyAlignment="1">
      <x:alignment vertical="center"/>
    </x:xf>
    <x:xf numFmtId="209" fontId="5" fillId="0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203" fontId="0" fillId="6" borderId="0" xfId="0" applyNumberFormat="1" applyFont="1" applyFill="1" applyBorder="1"/>
    <x:xf numFmtId="209" fontId="0" fillId="6" borderId="0" xfId="0" applyNumberFormat="1" applyFont="1" applyFill="1" applyBorder="1"/>
    <x:xf numFmtId="201" fontId="0" fillId="6" borderId="0" xfId="0" applyNumberFormat="1" applyFont="1" applyFill="1" applyBorder="1"/>
    <x:xf numFmtId="205" fontId="0" fillId="6" borderId="0" xfId="0" applyNumberFormat="1" applyFont="1" applyFill="1" applyBorder="1"/>
    <x:xf numFmtId="201" fontId="3" fillId="0" borderId="0" xfId="0" applyNumberFormat="1" applyFont="1" applyFill="1" applyBorder="1"/>
    <x:xf numFmtId="201" fontId="3" fillId="6" borderId="0" xfId="0" applyNumberFormat="1" applyFont="1" applyFill="1" applyBorder="1"/>
    <x:xf numFmtId="209" fontId="0" fillId="0" borderId="1" xfId="0" applyNumberFormat="1" applyFont="1" applyFill="1" applyBorder="1"/>
    <x:xf numFmtId="201" fontId="0" fillId="0" borderId="1" xfId="0" applyNumberFormat="1" applyFont="1" applyFill="1" applyBorder="1"/>
    <x:xf numFmtId="201" fontId="3" fillId="0" borderId="1" xfId="0" applyNumberFormat="1" applyFont="1" applyFill="1" applyBorder="1"/>
    <x:xf numFmtId="0" fontId="0" fillId="6" borderId="2" xfId="0" applyNumberFormat="1" applyFont="1" applyFill="1" applyBorder="1"/>
    <x:xf numFmtId="203" fontId="0" fillId="6" borderId="2" xfId="0" applyNumberFormat="1" applyFont="1" applyFill="1" applyBorder="1"/>
    <x:xf numFmtId="209" fontId="0" fillId="6" borderId="2" xfId="0" applyNumberFormat="1" applyFont="1" applyFill="1" applyBorder="1"/>
    <x:xf numFmtId="201" fontId="0" fillId="6" borderId="2" xfId="0" applyNumberFormat="1" applyFont="1" applyFill="1" applyBorder="1"/>
    <x:xf numFmtId="201" fontId="3" fillId="6" borderId="2" xfId="0" applyNumberFormat="1" applyFont="1" applyFill="1" applyBorder="1"/>
    <x:xf numFmtId="205" fontId="0" fillId="6" borderId="2" xfId="0" applyNumberFormat="1" applyFont="1" applyFill="1" applyBorder="1"/>
    <x:xf numFmtId="209" fontId="0" fillId="0" borderId="3" xfId="0" applyNumberFormat="1" applyFont="1" applyFill="1" applyBorder="1"/>
    <x:xf numFmtId="201" fontId="0" fillId="0" borderId="3" xfId="0" applyNumberFormat="1" applyFont="1" applyFill="1" applyBorder="1"/>
    <x:xf numFmtId="201" fontId="3" fillId="0" borderId="3" xfId="0" applyNumberFormat="1" applyFont="1" applyFill="1" applyBorder="1"/>
    <x:xf numFmtId="209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9" fontId="0" fillId="6" borderId="2" xfId="0" applyNumberFormat="1" applyFont="1" applyFill="1" applyBorder="1" applyAlignment="1">
      <x:alignment vertical="center"/>
    </x:xf>
    <x:xf numFmtId="201" fontId="0" fillId="6" borderId="2" xfId="0" applyNumberFormat="1" applyFont="1" applyFill="1" applyBorder="1" applyAlignment="1">
      <x:alignment vertical="center"/>
    </x:xf>
    <x:xf numFmtId="201" fontId="3" fillId="6" borderId="2" xfId="0" applyNumberFormat="1" applyFont="1" applyFill="1" applyBorder="1" applyAlignment="1">
      <x:alignment vertical="center"/>
    </x:xf>
    <x:xf numFmtId="205" fontId="0" fillId="6" borderId="2" xfId="0" applyNumberFormat="1" applyFont="1" applyFill="1" applyBorder="1" applyAlignment="1">
      <x:alignment vertical="center"/>
    </x:xf>
    <x:xf numFmtId="209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fbf1d5adb46da" /><Relationship Type="http://schemas.openxmlformats.org/officeDocument/2006/relationships/theme" Target="/xl/theme/theme1.xml" Id="R34a3690eb6874a66" /><Relationship Type="http://schemas.openxmlformats.org/officeDocument/2006/relationships/sharedStrings" Target="/xl/sharedStrings.xml" Id="R9940cf3270cc4168" /><Relationship Type="http://schemas.openxmlformats.org/officeDocument/2006/relationships/worksheet" Target="/xl/worksheets/sheet1.xml" Id="R0a37f16803a54700" /><Relationship Type="http://schemas.openxmlformats.org/officeDocument/2006/relationships/worksheet" Target="/xl/worksheets/sheet2.xml" Id="R595b43bf08e341cb" /><Relationship Type="http://schemas.openxmlformats.org/officeDocument/2006/relationships/worksheet" Target="/xl/worksheets/sheet3.xml" Id="R2ee61b00e5c24342" /><Relationship Type="http://schemas.openxmlformats.org/officeDocument/2006/relationships/worksheet" Target="/xl/worksheets/sheet4.xml" Id="R12a282d95baf430f" /><Relationship Type="http://schemas.openxmlformats.org/officeDocument/2006/relationships/worksheet" Target="/xl/worksheets/sheet5.xml" Id="R9ac55ccdffeb4bb6" /><Relationship Type="http://schemas.openxmlformats.org/officeDocument/2006/relationships/worksheet" Target="/xl/worksheets/sheet6.xml" Id="R8a8814973421458c" /><Relationship Type="http://schemas.openxmlformats.org/officeDocument/2006/relationships/worksheet" Target="/xl/worksheets/sheet7.xml" Id="R9fcc62530f974710" /><Relationship Type="http://schemas.openxmlformats.org/officeDocument/2006/relationships/worksheet" Target="/xl/worksheets/sheet8.xml" Id="Rbed61941fda44fc8" /><Relationship Type="http://schemas.microsoft.com/office/2017/10/relationships/person" Target="/xl/persons/person.xml" Id="R0070afba9f5340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befc73d3e640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情景价值与当前股价（RMB/股）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'Valuation'!$H$5:$H$7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当前股价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'Valuation'!$A$5:$A$7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befc73d3e6408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quity Research" id="{155425A4-D346-46BD-84A3-C12190B7E25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5T13:53:08.488" personId="{155425A4-D346-46BD-84A3-C12190B7E25B}" id="{57FE8B91-587B-4C99-B4AB-DE4DEEDC3CF5}">
    <xltc:text>Source M1: 云铝股份 A-share close RMB26.95 on 2026-09-04.</xltc:text>
  </xltc:threadedComment>
  <xltc:threadedComment ref="C18" dT="2026-09-05T13:53:08.488" personId="{155425A4-D346-46BD-84A3-C12190B7E25B}" id="{8A637FC7-068E-4D48-8208-9F25547C58FA}">
    <xltc:text>Analyst assumption: Base normalized EPS; not company guidance or market consensus.</xltc:text>
  </xltc:threadedComment>
  <xltc:threadedComment ref="C19" dT="2026-09-05T13:53:08.488" personId="{155425A4-D346-46BD-84A3-C12190B7E25B}" id="{1A838725-93DE-4FF5-8007-609BDB57523D}">
    <xltc:text>Analyst assumption: Base normalized P/E multiple reflects cyclicality and business quality.</xltc:text>
  </xltc:threadedComment>
  <xltc:threadedComment ref="C20" dT="2026-09-05T13:53:08.488" personId="{155425A4-D346-46BD-84A3-C12190B7E25B}" id="{40892394-5CA1-42DB-AD19-AB3847E8726C}">
    <xltc:text>Analyst assumption: Base P/B cross-check; book value is not liquidation value.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38495319b649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55c91fb40b2c421f" /><Relationship Type="http://schemas.openxmlformats.org/officeDocument/2006/relationships/vmlDrawing" Target="/xl/drawings/vmldrawing.vml" Id="R8aca4befa22e4002" /><Relationship Type="http://schemas.microsoft.com/office/2017/10/relationships/threadedComment" Target="/xl/threadedcomments/threadedcomment.xml" Id="R3c98f43ddaab4b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3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3" t="str">
        <x:v>云铝股份（000807.SZ）基本面与估值模型</x:v>
      </x:c>
      <x:c r="B1" s="3" t="str">
        <x:v>云铝股份（000807.SZ）基本面与估值模型</x:v>
      </x:c>
      <x:c r="C1" s="3" t="str">
        <x:v>云铝股份（000807.SZ）基本面与估值模型</x:v>
      </x:c>
      <x:c r="D1" s="3" t="str">
        <x:v>云铝股份（000807.SZ）基本面与估值模型</x:v>
      </x:c>
      <x:c r="E1" s="3" t="str">
        <x:v>云铝股份（000807.SZ）基本面与估值模型</x:v>
      </x:c>
      <x:c r="F1" s="3" t="str">
        <x:v>云铝股份（000807.SZ）基本面与估值模型</x:v>
      </x:c>
      <x:c r="G1" s="3" t="str">
        <x:v>云铝股份（000807.SZ）基本面与估值模型</x:v>
      </x:c>
      <x:c r="H1" s="3" t="str">
        <x:v>云铝股份（000807.SZ）基本面与估值模型</x:v>
      </x:c>
    </x:row>
    <x:row r="2">
      <x:c r="J2" t="str">
        <x:v>当前价格</x:v>
      </x:c>
    </x:row>
    <x:row r="3">
      <x:c r="A3" s="15" t="str">
        <x:v>公司</x:v>
      </x:c>
      <x:c r="B3" s="16" t="str">
        <x:v>云南铝业股份有限公司</x:v>
      </x:c>
      <x:c r="J3" t="n">
        <x:v>26.95</x:v>
      </x:c>
    </x:row>
    <x:row r="4">
      <x:c r="A4" s="17" t="str">
        <x:v>价格基准</x:v>
      </x:c>
      <x:c r="B4" s="18" t="n">
        <x:v>46269</x:v>
      </x:c>
      <x:c r="J4" t="n">
        <x:v>26.95</x:v>
      </x:c>
    </x:row>
    <x:row r="5">
      <x:c r="A5" s="17" t="str">
        <x:v>资料截止</x:v>
      </x:c>
      <x:c r="B5" s="19" t="str">
        <x:v>2026-09-05</x:v>
      </x:c>
      <x:c r="J5" t="n">
        <x:v>26.95</x:v>
      </x:c>
    </x:row>
    <x:row r="6">
      <x:c r="A6" s="17" t="str">
        <x:v>报告单位</x:v>
      </x:c>
      <x:c r="B6" s="19" t="str">
        <x:v>RMB bn；每股为人民币</x:v>
      </x:c>
    </x:row>
    <x:row r="7">
      <x:c r="A7" s="17" t="str">
        <x:v>模型版本</x:v>
      </x:c>
      <x:c r="B7" s="19" t="str">
        <x:v>首次建档 / 2026H1 v1.0</x:v>
      </x:c>
    </x:row>
    <x:row r="8">
      <x:c r="A8" s="17" t="str">
        <x:v>估值框架</x:v>
      </x:c>
      <x:c r="B8" s="19" t="str">
        <x:v>70% 正常化P/E + 30% P/B</x:v>
      </x:c>
    </x:row>
    <x:row r="9">
      <x:c r="A9" s="17" t="str">
        <x:v>模型状态</x:v>
      </x:c>
      <x:c r="B9" s="20" t="str">
        <x:f>'Checks'!F2</x:f>
        <x:v>OK</x:v>
      </x:c>
    </x:row>
    <x:row r="10">
      <x:c r="A10" s="17" t="str">
        <x:v>当前判断</x:v>
      </x:c>
      <x:c r="B10" s="19" t="str">
        <x:v>中性观察</x:v>
      </x:c>
    </x:row>
    <x:row r="11">
      <x:c r="A11" s="17" t="str">
        <x:v>业务质量</x:v>
      </x:c>
      <x:c r="B11" s="19" t="str">
        <x:v>中高</x:v>
      </x:c>
    </x:row>
    <x:row r="12">
      <x:c r="A12" s="21" t="str">
        <x:v>估值置信度</x:v>
      </x:c>
      <x:c r="B12" s="22" t="str">
        <x:v>中</x:v>
      </x:c>
    </x:row>
    <x:row r="14">
      <x:c r="A14" s="25" t="str">
        <x:v>关键输出</x:v>
      </x:c>
      <x:c r="B14" s="26" t="str">
        <x:v>数值</x:v>
      </x:c>
      <x:c r="C14" s="27" t="str">
        <x:v>说明</x:v>
      </x:c>
    </x:row>
    <x:row r="15">
      <x:c r="A15" s="16" t="str">
        <x:v>当前A股价</x:v>
      </x:c>
      <x:c r="B15" s="44" t="n">
        <x:f>'Assumptions'!B4</x:f>
        <x:v>26.95</x:v>
      </x:c>
      <x:c r="C15" s="16" t="str">
        <x:v>2026-09-04收盘</x:v>
      </x:c>
    </x:row>
    <x:row r="16">
      <x:c r="A16" s="19" t="str">
        <x:v>总股数</x:v>
      </x:c>
      <x:c r="B16" s="45" t="n">
        <x:f>'Assumptions'!B5</x:f>
        <x:v>3.467957405</x:v>
      </x:c>
      <x:c r="C16" s="19" t="str">
        <x:v>A+H或总股本口径</x:v>
      </x:c>
    </x:row>
    <x:row r="17">
      <x:c r="A17" s="19" t="str">
        <x:v>参考市值</x:v>
      </x:c>
      <x:c r="B17" s="46" t="n">
        <x:f>'Assumptions'!B6</x:f>
        <x:v>93.46145206474999</x:v>
      </x:c>
      <x:c r="C17" s="19" t="str">
        <x:v>价格×股数</x:v>
      </x:c>
    </x:row>
    <x:row r="18">
      <x:c r="A18" s="19" t="str">
        <x:v>2026H1归母净利润</x:v>
      </x:c>
      <x:c r="B18" s="46" t="n">
        <x:f>'Historical'!C7</x:f>
        <x:v>7.683685</x:v>
      </x:c>
      <x:c r="C18" s="19" t="str">
        <x:v>不直接年化</x:v>
      </x:c>
    </x:row>
    <x:row r="19">
      <x:c r="A19" s="19" t="str">
        <x:v>2026H1自由现金流</x:v>
      </x:c>
      <x:c r="B19" s="46" t="n">
        <x:f>'Historical'!G7</x:f>
        <x:v>8.1714</x:v>
      </x:c>
      <x:c r="C19" s="19" t="str">
        <x:v>CFO-资本开支</x:v>
      </x:c>
    </x:row>
    <x:row r="20">
      <x:c r="A20" s="19" t="str">
        <x:v>净债务/(净现金)</x:v>
      </x:c>
      <x:c r="B20" s="46" t="n">
        <x:f>'Balance &amp; Cash'!B15</x:f>
        <x:v>-15.495280999999999</x:v>
      </x:c>
      <x:c r="C20" s="19" t="str">
        <x:v>债务-现金及高流动性资产</x:v>
      </x:c>
    </x:row>
    <x:row r="21">
      <x:c r="A21" s="19" t="str">
        <x:v>当前P/B</x:v>
      </x:c>
      <x:c r="B21" s="47" t="n">
        <x:f>'Assumptions'!B9</x:f>
        <x:v>2.4491310610859247</x:v>
      </x:c>
      <x:c r="C21" s="19" t="str">
        <x:v>参考市值/归母净资产</x:v>
      </x:c>
    </x:row>
    <x:row r="22">
      <x:c r="A22" s="19" t="str">
        <x:v>Bear价值</x:v>
      </x:c>
      <x:c r="B22" s="48" t="n">
        <x:f>'Valuation'!H5</x:f>
        <x:v>13.127756234157093</x:v>
      </x:c>
      <x:c r="C22" s="19" t="str">
        <x:v>保守周期情景</x:v>
      </x:c>
    </x:row>
    <x:row r="23">
      <x:c r="A23" s="19" t="str">
        <x:v>Base价值</x:v>
      </x:c>
      <x:c r="B23" s="48" t="n">
        <x:f>'Valuation'!H6</x:f>
        <x:v>24.098692892374203</x:v>
      </x:c>
      <x:c r="C23" s="19" t="str">
        <x:v>正常化中枢</x:v>
      </x:c>
    </x:row>
    <x:row r="24">
      <x:c r="A24" s="19" t="str">
        <x:v>Bull价值</x:v>
      </x:c>
      <x:c r="B24" s="48" t="n">
        <x:f>'Valuation'!H7</x:f>
        <x:v>39.0632783037599</x:v>
      </x:c>
      <x:c r="C24" s="19" t="str">
        <x:v>高景气兑现</x:v>
      </x:c>
    </x:row>
    <x:row r="25">
      <x:c r="A25" s="22" t="str">
        <x:v>Base相对现价</x:v>
      </x:c>
      <x:c r="B25" s="49" t="n">
        <x:f>'Valuation'!I6</x:f>
        <x:v>-0.10579989267628187</x:v>
      </x:c>
      <x:c r="C25" s="22" t="str">
        <x:v>情景差异，不是收益保证</x:v>
      </x:c>
    </x:row>
    <x:row r="28">
      <x:c r="A28" s="25" t="str">
        <x:v>研究结论</x:v>
      </x:c>
      <x:c r="B28" s="26" t="str">
        <x:v>研究结论</x:v>
      </x:c>
      <x:c r="C28" s="26" t="str">
        <x:v>研究结论</x:v>
      </x:c>
      <x:c r="D28" s="26" t="str">
        <x:v>研究结论</x:v>
      </x:c>
      <x:c r="E28" s="26" t="str">
        <x:v>研究结论</x:v>
      </x:c>
      <x:c r="F28" s="26" t="str">
        <x:v>研究结论</x:v>
      </x:c>
      <x:c r="G28" s="26" t="str">
        <x:v>研究结论</x:v>
      </x:c>
      <x:c r="H28" s="27" t="str">
        <x:v>研究结论</x:v>
      </x:c>
    </x:row>
    <x:row r="29" ht="24" customHeight="1">
      <x:c r="A29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B29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C29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D29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E29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F29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G29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H29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</x:row>
    <x:row r="30" ht="24" customHeight="1">
      <x:c r="A30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B30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C30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D30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E30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F30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G30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H30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</x:row>
    <x:row r="31" ht="24" customHeight="1">
      <x:c r="A31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B31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C31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D31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E31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F31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G31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H31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</x:row>
    <x:row r="32" ht="24" customHeight="1">
      <x:c r="A32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B32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C32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D32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E32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F32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G32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H32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</x:row>
    <x:row r="33" ht="24" customHeight="1">
      <x:c r="A33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B33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C33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D33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E33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F33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G33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H33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</x:row>
    <x:row r="34" ht="24" customHeight="1">
      <x:c r="A34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B34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C34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D34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E34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F34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G34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H34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</x:row>
    <x:row r="35" ht="24" customHeight="1">
      <x:c r="A35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B35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C35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D35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E35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F35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G35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H35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</x:row>
    <x:row r="36" ht="24" customHeight="1">
      <x:c r="A36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B36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C36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D36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E36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F36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G36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  <x:c r="H36" s="52" t="str">
        <x:v>云铝的水电、低碳品牌、308万吨电解铝产能和一体化成本构成真实优势，2026H1利润与经营现金流高度匹配，资产负债表已转为大额净现金；但当前沪铝约2.43万元/吨位于高景气区，26.95元高于Base约24.12元。质量在三家公司中最好，价格却不便宜。</x:v>
      </x:c>
    </x:row>
  </x:sheetData>
  <x:mergeCells>
    <x:mergeCell ref="A1:H1"/>
    <x:mergeCell ref="A28:H28"/>
    <x:mergeCell ref="A29:H36"/>
  </x:mergeCells>
  <x:pageMargins left="0.7" right="0.7" top="0.75" bottom="0.75" header="0.3" footer="0.3"/>
  <x:drawing xmlns:r="http://schemas.openxmlformats.org/officeDocument/2006/relationships" r:id="Rc038495319b6498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</x:cols>
  <x:sheetData>
    <x:row r="1" ht="30" customHeight="1">
      <x:c r="A1" s="3" t="str">
        <x:v>历史财务与盈利质量</x:v>
      </x:c>
      <x:c r="B1" s="3" t="str">
        <x:v>历史财务与盈利质量</x:v>
      </x:c>
      <x:c r="C1" s="3" t="str">
        <x:v>历史财务与盈利质量</x:v>
      </x:c>
      <x:c r="D1" s="3" t="str">
        <x:v>历史财务与盈利质量</x:v>
      </x:c>
      <x:c r="E1" s="3" t="str">
        <x:v>历史财务与盈利质量</x:v>
      </x:c>
      <x:c r="F1" s="3" t="str">
        <x:v>历史财务与盈利质量</x:v>
      </x:c>
      <x:c r="G1" s="3" t="str">
        <x:v>历史财务与盈利质量</x:v>
      </x:c>
      <x:c r="H1" s="3" t="str">
        <x:v>历史财务与盈利质量</x:v>
      </x:c>
      <x:c r="I1" s="3" t="str">
        <x:v>历史财务与盈利质量</x:v>
      </x:c>
    </x:row>
    <x:row r="3">
      <x:c r="A3" s="55" t="str">
        <x:v>期间</x:v>
      </x:c>
      <x:c r="B3" s="56" t="str">
        <x:v>营业收入</x:v>
      </x:c>
      <x:c r="C3" s="56" t="str">
        <x:v>归母净利润</x:v>
      </x:c>
      <x:c r="D3" s="56" t="str">
        <x:v>扣非归母</x:v>
      </x:c>
      <x:c r="E3" s="56" t="str">
        <x:v>经营现金流</x:v>
      </x:c>
      <x:c r="F3" s="56" t="str">
        <x:v>资本开支</x:v>
      </x:c>
      <x:c r="G3" s="56" t="str">
        <x:v>自由现金流</x:v>
      </x:c>
      <x:c r="H3" s="56" t="str">
        <x:v>基本EPS</x:v>
      </x:c>
      <x:c r="I3" s="57" t="str">
        <x:v>审计状态</x:v>
      </x:c>
    </x:row>
    <x:row r="4">
      <x:c r="A4" s="16" t="str">
        <x:v>2023A</x:v>
      </x:c>
      <x:c r="B4" s="65" t="n">
        <x:v>42.668768</x:v>
      </x:c>
      <x:c r="C4" s="65" t="n">
        <x:v>3.955771</x:v>
      </x:c>
      <x:c r="D4" s="65" t="n">
        <x:v>3.930423</x:v>
      </x:c>
      <x:c r="E4" s="65" t="n">
        <x:v>5.87099</x:v>
      </x:c>
      <x:c r="F4" s="65"/>
      <x:c r="G4" s="65" t="str">
        <x:f>IF(OR(E4="",F4=""),"",E4-F4)</x:f>
      </x:c>
      <x:c r="H4" s="66" t="n">
        <x:v>1.14</x:v>
      </x:c>
      <x:c r="I4" s="16" t="str">
        <x:v>经审计</x:v>
      </x:c>
    </x:row>
    <x:row r="5">
      <x:c r="A5" s="19" t="str">
        <x:v>2024A</x:v>
      </x:c>
      <x:c r="B5" s="67" t="n">
        <x:v>54.450459</x:v>
      </x:c>
      <x:c r="C5" s="67" t="n">
        <x:v>4.411671</x:v>
      </x:c>
      <x:c r="D5" s="67" t="n">
        <x:v>4.258125</x:v>
      </x:c>
      <x:c r="E5" s="67" t="n">
        <x:v>6.947395</x:v>
      </x:c>
      <x:c r="F5" s="67" t="n">
        <x:v>0.658067</x:v>
      </x:c>
      <x:c r="G5" s="67" t="n">
        <x:f>IF(OR(E5="",F5=""),"",E5-F5)</x:f>
        <x:v>6.289328</x:v>
      </x:c>
      <x:c r="H5" s="68" t="n">
        <x:v>1.27</x:v>
      </x:c>
      <x:c r="I5" s="19" t="str">
        <x:v>经审计</x:v>
      </x:c>
    </x:row>
    <x:row r="6">
      <x:c r="A6" s="19" t="str">
        <x:v>2025A</x:v>
      </x:c>
      <x:c r="B6" s="67" t="n">
        <x:v>60.042936</x:v>
      </x:c>
      <x:c r="C6" s="67" t="n">
        <x:v>6.054687</x:v>
      </x:c>
      <x:c r="D6" s="67" t="n">
        <x:v>6.00026</x:v>
      </x:c>
      <x:c r="E6" s="67" t="n">
        <x:v>8.432323</x:v>
      </x:c>
      <x:c r="F6" s="67" t="n">
        <x:v>0.640505</x:v>
      </x:c>
      <x:c r="G6" s="67" t="n">
        <x:f>IF(OR(E6="",F6=""),"",E6-F6)</x:f>
        <x:v>7.791818</x:v>
      </x:c>
      <x:c r="H6" s="68" t="n">
        <x:v>1.75</x:v>
      </x:c>
      <x:c r="I6" s="19" t="str">
        <x:v>经审计</x:v>
      </x:c>
    </x:row>
    <x:row r="7">
      <x:c r="A7" s="77" t="str">
        <x:v>2026H1</x:v>
      </x:c>
      <x:c r="B7" s="78" t="n">
        <x:v>34.980983</x:v>
      </x:c>
      <x:c r="C7" s="78" t="n">
        <x:v>7.683685</x:v>
      </x:c>
      <x:c r="D7" s="78" t="n">
        <x:v>7.619406</x:v>
      </x:c>
      <x:c r="E7" s="78" t="n">
        <x:v>8.377406</x:v>
      </x:c>
      <x:c r="F7" s="78" t="n">
        <x:v>0.206006</x:v>
      </x:c>
      <x:c r="G7" s="78" t="n">
        <x:f>IF(OR(E7="",F7=""),"",E7-F7)</x:f>
        <x:v>8.1714</x:v>
      </x:c>
      <x:c r="H7" s="79" t="n">
        <x:v>2.22</x:v>
      </x:c>
      <x:c r="I7" s="77" t="str">
        <x:v>未经审计</x:v>
      </x:c>
    </x:row>
    <x:row r="10">
      <x:c r="A10" s="25" t="str">
        <x:v>指标</x:v>
      </x:c>
      <x:c r="B10" s="26" t="str">
        <x:v>2023A</x:v>
      </x:c>
      <x:c r="C10" s="26" t="str">
        <x:v>2024A</x:v>
      </x:c>
      <x:c r="D10" s="26" t="str">
        <x:v>2025A</x:v>
      </x:c>
      <x:c r="E10" s="26" t="str">
        <x:v>2026H1</x:v>
      </x:c>
      <x:c r="F10" s="26" t="str">
        <x:v>说明</x:v>
      </x:c>
      <x:c r="G10" s="26"/>
      <x:c r="H10" s="26"/>
      <x:c r="I10" s="27"/>
    </x:row>
    <x:row r="11">
      <x:c r="A11" s="16" t="str">
        <x:v>归母净利率</x:v>
      </x:c>
      <x:c r="B11" s="74" t="n">
        <x:f>C4/B4</x:f>
        <x:v>0.09270881690326752</x:v>
      </x:c>
      <x:c r="C11" s="74" t="n">
        <x:f>C5/B5</x:f>
        <x:v>0.08102174124923354</x:v>
      </x:c>
      <x:c r="D11" s="74" t="n">
        <x:f>C6/B6</x:f>
        <x:v>0.10083928940450215</x:v>
      </x:c>
      <x:c r="E11" s="74" t="n">
        <x:f>C7/B7</x:f>
        <x:v>0.21965320414237643</x:v>
      </x:c>
      <x:c r="F11" s="16" t="str">
        <x:v>利润周期性</x:v>
      </x:c>
    </x:row>
    <x:row r="12">
      <x:c r="A12" s="19" t="str">
        <x:v>CFO/归母净利润</x:v>
      </x:c>
      <x:c r="B12" s="75" t="n">
        <x:f>IF(C4=0,"",E4/C4)</x:f>
        <x:v>1.48415820834927</x:v>
      </x:c>
      <x:c r="C12" s="75" t="n">
        <x:f>IF(C5=0,"",E5/C5)</x:f>
        <x:v>1.5747763149155956</x:v>
      </x:c>
      <x:c r="D12" s="75" t="n">
        <x:f>IF(C6=0,"",E6/C6)</x:f>
        <x:v>1.3926934621062987</x:v>
      </x:c>
      <x:c r="E12" s="75" t="n">
        <x:f>IF(C7=0,"",E7/C7)</x:f>
        <x:v>1.090284934897774</x:v>
      </x:c>
      <x:c r="F12" s="19" t="str">
        <x:v>利润含金量</x:v>
      </x:c>
    </x:row>
    <x:row r="13">
      <x:c r="A13" s="22" t="str">
        <x:v>资本开支/CFO</x:v>
      </x:c>
      <x:c r="B13" s="76" t="n">
        <x:f>IF(E4=0,"",F4/E4)</x:f>
        <x:v>0</x:v>
      </x:c>
      <x:c r="C13" s="76" t="n">
        <x:f>IF(E5=0,"",F5/E5)</x:f>
        <x:v>0.09472140277039091</x:v>
      </x:c>
      <x:c r="D13" s="76" t="n">
        <x:f>IF(E6=0,"",F6/E6)</x:f>
        <x:v>0.075958309471779</x:v>
      </x:c>
      <x:c r="E13" s="76" t="n">
        <x:f>IF(E7=0,"",F7/E7)</x:f>
        <x:v>0.024590666848425393</x:v>
      </x:c>
      <x:c r="F13" s="22" t="str">
        <x:v>再投资强度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18" hidden="0" customWidth="1"/>
  </x:cols>
  <x:sheetData>
    <x:row r="1" ht="30" customHeight="1">
      <x:c r="A1" s="3" t="str">
        <x:v>云铝股份运营驱动与资产结构</x:v>
      </x:c>
      <x:c r="B1" s="3" t="str">
        <x:v>云铝股份运营驱动与资产结构</x:v>
      </x:c>
      <x:c r="C1" s="3" t="str">
        <x:v>云铝股份运营驱动与资产结构</x:v>
      </x:c>
      <x:c r="D1" s="3" t="str">
        <x:v>云铝股份运营驱动与资产结构</x:v>
      </x:c>
      <x:c r="E1" s="3" t="str">
        <x:v>云铝股份运营驱动与资产结构</x:v>
      </x:c>
      <x:c r="F1" s="3" t="str">
        <x:v>云铝股份运营驱动与资产结构</x:v>
      </x:c>
    </x:row>
    <x:row r="3">
      <x:c r="A3" s="25" t="str">
        <x:v>指标</x:v>
      </x:c>
      <x:c r="B3" s="26" t="str">
        <x:v>期间</x:v>
      </x:c>
      <x:c r="C3" s="26" t="str">
        <x:v>数值</x:v>
      </x:c>
      <x:c r="D3" s="26" t="str">
        <x:v>单位</x:v>
      </x:c>
      <x:c r="E3" s="26" t="str">
        <x:v>研究观察</x:v>
      </x:c>
      <x:c r="F3" s="27" t="str">
        <x:v>来源性质</x:v>
      </x:c>
    </x:row>
    <x:row r="4">
      <x:c r="A4" s="16" t="str">
        <x:v>氧化铝产能</x:v>
      </x:c>
      <x:c r="B4" s="16" t="str">
        <x:v>2025A</x:v>
      </x:c>
      <x:c r="C4" s="84" t="n">
        <x:v>1.4</x:v>
      </x:c>
      <x:c r="D4" s="16" t="str">
        <x:v>百万吨/年</x:v>
      </x:c>
      <x:c r="E4" s="16" t="str">
        <x:v>自有资源保障的一部分</x:v>
      </x:c>
      <x:c r="F4" s="16" t="str">
        <x:v>公司披露</x:v>
      </x:c>
    </x:row>
    <x:row r="5">
      <x:c r="A5" s="19" t="str">
        <x:v>电解铝产能</x:v>
      </x:c>
      <x:c r="B5" s="19" t="str">
        <x:v>2025A</x:v>
      </x:c>
      <x:c r="C5" s="85" t="n">
        <x:v>3.08</x:v>
      </x:c>
      <x:c r="D5" s="19" t="str">
        <x:v>百万吨/年</x:v>
      </x:c>
      <x:c r="E5" s="19" t="str">
        <x:v>产能总量约束下稀缺</x:v>
      </x:c>
      <x:c r="F5" s="19" t="str">
        <x:v>公司披露</x:v>
      </x:c>
    </x:row>
    <x:row r="6">
      <x:c r="A6" s="19" t="str">
        <x:v>绿色铝合金产能</x:v>
      </x:c>
      <x:c r="B6" s="19" t="str">
        <x:v>2025A</x:v>
      </x:c>
      <x:c r="C6" s="85" t="n">
        <x:v>1.61</x:v>
      </x:c>
      <x:c r="D6" s="19" t="str">
        <x:v>百万吨/年</x:v>
      </x:c>
      <x:c r="E6" s="19" t="str">
        <x:v>结构升级但仍随铝价</x:v>
      </x:c>
      <x:c r="F6" s="19" t="str">
        <x:v>公司披露</x:v>
      </x:c>
    </x:row>
    <x:row r="7">
      <x:c r="A7" s="19" t="str">
        <x:v>铝商品产量</x:v>
      </x:c>
      <x:c r="B7" s="19" t="str">
        <x:v>2025A</x:v>
      </x:c>
      <x:c r="C7" s="85" t="n">
        <x:v>3.226</x:v>
      </x:c>
      <x:c r="D7" s="19" t="str">
        <x:v>百万吨</x:v>
      </x:c>
      <x:c r="E7" s="19" t="str">
        <x:v>同比增长6.47%</x:v>
      </x:c>
      <x:c r="F7" s="19" t="str">
        <x:v>公司披露</x:v>
      </x:c>
    </x:row>
    <x:row r="8">
      <x:c r="A8" s="19" t="str">
        <x:v>铝商品销量</x:v>
      </x:c>
      <x:c r="B8" s="19" t="str">
        <x:v>2025A</x:v>
      </x:c>
      <x:c r="C8" s="85" t="n">
        <x:v>3.234</x:v>
      </x:c>
      <x:c r="D8" s="19" t="str">
        <x:v>百万吨</x:v>
      </x:c>
      <x:c r="E8" s="19" t="str">
        <x:v>快产快销</x:v>
      </x:c>
      <x:c r="F8" s="19" t="str">
        <x:v>公司披露</x:v>
      </x:c>
    </x:row>
    <x:row r="9">
      <x:c r="A9" s="19" t="str">
        <x:v>铝商品产量</x:v>
      </x:c>
      <x:c r="B9" s="19" t="str">
        <x:v>2026H1</x:v>
      </x:c>
      <x:c r="C9" s="85" t="n">
        <x:v>1.622</x:v>
      </x:c>
      <x:c r="D9" s="19" t="str">
        <x:v>百万吨</x:v>
      </x:c>
      <x:c r="E9" s="19" t="str">
        <x:v>全产业链稳产</x:v>
      </x:c>
      <x:c r="F9" s="19" t="str">
        <x:v>公司披露</x:v>
      </x:c>
    </x:row>
    <x:row r="10">
      <x:c r="A10" s="19" t="str">
        <x:v>清洁能源占比</x:v>
      </x:c>
      <x:c r="B10" s="19" t="str">
        <x:v>2025A</x:v>
      </x:c>
      <x:c r="C10" s="85" t="n">
        <x:v>0.875</x:v>
      </x:c>
      <x:c r="D10" s="19" t="str">
        <x:v>比例</x:v>
      </x:c>
      <x:c r="E10" s="19" t="str">
        <x:v>水电优势；同时受来水约束</x:v>
      </x:c>
      <x:c r="F10" s="19" t="str">
        <x:v>公司披露</x:v>
      </x:c>
    </x:row>
    <x:row r="11">
      <x:c r="A11" s="19" t="str">
        <x:v>电解铝收入</x:v>
      </x:c>
      <x:c r="B11" s="19" t="str">
        <x:v>2026H1</x:v>
      </x:c>
      <x:c r="C11" s="85" t="n">
        <x:v>20.371</x:v>
      </x:c>
      <x:c r="D11" s="19" t="str">
        <x:v>RMB bn</x:v>
      </x:c>
      <x:c r="E11" s="19" t="str">
        <x:v>毛利率34.04%</x:v>
      </x:c>
      <x:c r="F11" s="19" t="str">
        <x:v>公司披露</x:v>
      </x:c>
    </x:row>
    <x:row r="12">
      <x:c r="A12" s="19" t="str">
        <x:v>铝加工收入</x:v>
      </x:c>
      <x:c r="B12" s="19" t="str">
        <x:v>2026H1</x:v>
      </x:c>
      <x:c r="C12" s="85" t="n">
        <x:v>13.966</x:v>
      </x:c>
      <x:c r="D12" s="19" t="str">
        <x:v>RMB bn</x:v>
      </x:c>
      <x:c r="E12" s="19" t="str">
        <x:v>毛利率29.87%</x:v>
      </x:c>
      <x:c r="F12" s="19" t="str">
        <x:v>公司披露</x:v>
      </x:c>
    </x:row>
    <x:row r="13">
      <x:c r="A13" s="22" t="str">
        <x:v>中期现金分红</x:v>
      </x:c>
      <x:c r="B13" s="22" t="str">
        <x:v>2026H1</x:v>
      </x:c>
      <x:c r="C13" s="86" t="n">
        <x:v>3.076</x:v>
      </x:c>
      <x:c r="D13" s="22" t="str">
        <x:v>RMB bn</x:v>
      </x:c>
      <x:c r="E13" s="22" t="str">
        <x:v>8.87元/10股；约40%派息率</x:v>
      </x:c>
      <x:c r="F13" s="22" t="str">
        <x:v>公司披露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0" customHeight="1">
      <x:c r="A1" s="3" t="str">
        <x:v>资产负债表与现金流</x:v>
      </x:c>
      <x:c r="B1" s="3" t="str">
        <x:v>资产负债表与现金流</x:v>
      </x:c>
      <x:c r="C1" s="3" t="str">
        <x:v>资产负债表与现金流</x:v>
      </x:c>
      <x:c r="D1" s="3" t="str">
        <x:v>资产负债表与现金流</x:v>
      </x:c>
      <x:c r="E1" s="3" t="str">
        <x:v>资产负债表与现金流</x:v>
      </x:c>
      <x:c r="F1" s="3" t="str">
        <x:v>资产负债表与现金流</x:v>
      </x:c>
    </x:row>
    <x:row r="3">
      <x:c r="A3" s="25" t="str">
        <x:v>2026-06-30（RMB bn）</x:v>
      </x:c>
      <x:c r="B3" s="26" t="str">
        <x:v>数值</x:v>
      </x:c>
      <x:c r="C3" s="26" t="str">
        <x:v>占总资产/比率</x:v>
      </x:c>
      <x:c r="D3" s="27" t="str">
        <x:v>观察</x:v>
      </x:c>
    </x:row>
    <x:row r="4">
      <x:c r="A4" s="16" t="str">
        <x:v>总资产</x:v>
      </x:c>
      <x:c r="B4" s="65" t="n">
        <x:v>50.515364</x:v>
      </x:c>
      <x:c r="C4" s="92" t="n">
        <x:f>B4/$B$4</x:f>
        <x:v>1</x:v>
      </x:c>
      <x:c r="D4" s="16" t="str">
        <x:v>合并口径</x:v>
      </x:c>
    </x:row>
    <x:row r="5">
      <x:c r="A5" s="19" t="str">
        <x:v>归母净资产</x:v>
      </x:c>
      <x:c r="B5" s="67" t="n">
        <x:v>38.161066</x:v>
      </x:c>
      <x:c r="C5" s="93" t="n">
        <x:f>B5/$B$4</x:f>
        <x:v>0.7554348415662213</x:v>
      </x:c>
      <x:c r="D5" s="19" t="str">
        <x:v>估值P/B分母</x:v>
      </x:c>
    </x:row>
    <x:row r="6">
      <x:c r="A6" s="19" t="str">
        <x:v>总负债</x:v>
      </x:c>
      <x:c r="B6" s="67" t="n">
        <x:v>7.983909</x:v>
      </x:c>
      <x:c r="C6" s="93" t="n">
        <x:f>B6/$B$4</x:f>
        <x:v>0.1580491234310417</x:v>
      </x:c>
      <x:c r="D6" s="19" t="str">
        <x:v>合并口径</x:v>
      </x:c>
    </x:row>
    <x:row r="7">
      <x:c r="A7" s="19" t="str">
        <x:v>现金及高流动性资产</x:v>
      </x:c>
      <x:c r="B7" s="67" t="n">
        <x:v>17.594713</x:v>
      </x:c>
      <x:c r="C7" s="93" t="n">
        <x:f>B7/$B$4</x:f>
        <x:v>0.34830419117637157</x:v>
      </x:c>
      <x:c r="D7" s="19" t="str">
        <x:v>含存款/高流动性理财</x:v>
      </x:c>
    </x:row>
    <x:row r="8">
      <x:c r="A8" s="19" t="str">
        <x:v>存货</x:v>
      </x:c>
      <x:c r="B8" s="67" t="n">
        <x:v>4.179623</x:v>
      </x:c>
      <x:c r="C8" s="93" t="n">
        <x:f>B8/$B$4</x:f>
        <x:v>0.08273963936991527</x:v>
      </x:c>
      <x:c r="D8" s="19" t="str">
        <x:v>价格与减值敏感</x:v>
      </x:c>
    </x:row>
    <x:row r="9">
      <x:c r="A9" s="19" t="str">
        <x:v>银行借款</x:v>
      </x:c>
      <x:c r="B9" s="67" t="n">
        <x:v>2.084861</x:v>
      </x:c>
      <x:c r="C9" s="93" t="n">
        <x:f>B9/$B$4</x:f>
        <x:v>0.0412718197972403</x:v>
      </x:c>
      <x:c r="D9" s="19" t="str">
        <x:v>有息银行债务</x:v>
      </x:c>
    </x:row>
    <x:row r="10">
      <x:c r="A10" s="19" t="str">
        <x:v>应付债券</x:v>
      </x:c>
      <x:c r="B10" s="67" t="n">
        <x:v>0</x:v>
      </x:c>
      <x:c r="C10" s="93" t="n">
        <x:f>B10/$B$4</x:f>
        <x:v>0</x:v>
      </x:c>
      <x:c r="D10" s="19" t="str">
        <x:v>公开债券</x:v>
      </x:c>
    </x:row>
    <x:row r="11">
      <x:c r="A11" s="19" t="str">
        <x:v>租赁负债</x:v>
      </x:c>
      <x:c r="B11" s="67" t="n">
        <x:v>0.014571</x:v>
      </x:c>
      <x:c r="C11" s="93" t="n">
        <x:f>B11/$B$4</x:f>
        <x:v>0.0002884468970668013</x:v>
      </x:c>
      <x:c r="D11" s="19" t="str">
        <x:v>租赁债务</x:v>
      </x:c>
    </x:row>
    <x:row r="12">
      <x:c r="A12" s="19" t="str">
        <x:v>流动资产</x:v>
      </x:c>
      <x:c r="B12" s="67" t="n">
        <x:v>25.103963</x:v>
      </x:c>
      <x:c r="C12" s="93" t="n">
        <x:f>B12/$B$4</x:f>
        <x:v>0.4969569852055308</x:v>
      </x:c>
      <x:c r="D12" s="19" t="str">
        <x:v>流动性资产</x:v>
      </x:c>
    </x:row>
    <x:row r="13">
      <x:c r="A13" s="19" t="str">
        <x:v>流动负债</x:v>
      </x:c>
      <x:c r="B13" s="67" t="n">
        <x:v>6.255552</x:v>
      </x:c>
      <x:c r="C13" s="93" t="n">
        <x:f>B13/$B$4</x:f>
        <x:v>0.12383464167456064</x:v>
      </x:c>
      <x:c r="D13" s="19" t="str">
        <x:v>短期义务</x:v>
      </x:c>
    </x:row>
    <x:row r="14">
      <x:c r="A14" s="19" t="str">
        <x:v>流动比率</x:v>
      </x:c>
      <x:c r="B14" s="94" t="n">
        <x:f>B12/B13</x:f>
        <x:v>4.013069190376805</x:v>
      </x:c>
      <x:c r="C14" s="19"/>
      <x:c r="D14" s="19" t="str">
        <x:v>短期偿债能力</x:v>
      </x:c>
    </x:row>
    <x:row r="15">
      <x:c r="A15" s="96" t="str">
        <x:v>净债务/(净现金)</x:v>
      </x:c>
      <x:c r="B15" s="97" t="n">
        <x:f>B9+B10+B11-B7</x:f>
        <x:v>-15.495280999999999</x:v>
      </x:c>
      <x:c r="C15" s="96"/>
      <x:c r="D15" s="96" t="str">
        <x:v>正数为净债务，负数为净现金</x:v>
      </x:c>
    </x:row>
    <x:row r="16">
      <x:c r="A16" s="96" t="str">
        <x:v>净债务/归母净资产</x:v>
      </x:c>
      <x:c r="B16" s="98" t="n">
        <x:f>B15/B5</x:f>
        <x:v>-0.406049479854677</x:v>
      </x:c>
      <x:c r="C16" s="96"/>
      <x:c r="D16" s="96" t="str">
        <x:v>杠杆交叉验证</x:v>
      </x:c>
    </x:row>
    <x:row r="17">
      <x:c r="A17" s="19" t="str">
        <x:v>H1经营现金流</x:v>
      </x:c>
      <x:c r="B17" s="67" t="n">
        <x:f>'Historical'!E7</x:f>
        <x:v>8.377406</x:v>
      </x:c>
      <x:c r="C17" s="93" t="n">
        <x:f>B17/'Historical'!E5</x:f>
        <x:v>1.2058341291951875</x:v>
      </x:c>
      <x:c r="D17" s="19" t="str">
        <x:v>利润现金转化</x:v>
      </x:c>
    </x:row>
    <x:row r="18">
      <x:c r="A18" s="22" t="str">
        <x:v>H1资本开支</x:v>
      </x:c>
      <x:c r="B18" s="69" t="n">
        <x:f>'Historical'!F7</x:f>
        <x:v>0.206006</x:v>
      </x:c>
      <x:c r="C18" s="95" t="n">
        <x:f>B18/B17</x:f>
        <x:v>0.024590666848425393</x:v>
      </x:c>
      <x:c r="D18" s="22" t="str">
        <x:v>购建长期资产/披露资本开支</x:v>
      </x:c>
    </x:row>
    <x:row r="21">
      <x:c r="A21" s="25" t="str">
        <x:v>现金流指标</x:v>
      </x:c>
      <x:c r="B21" s="26" t="str">
        <x:v>数值</x:v>
      </x:c>
      <x:c r="C21" s="26" t="str">
        <x:v>单位</x:v>
      </x:c>
      <x:c r="D21" s="27" t="str">
        <x:v>说明</x:v>
      </x:c>
    </x:row>
    <x:row r="22">
      <x:c r="A22" s="16" t="str">
        <x:v>H1自由现金流</x:v>
      </x:c>
      <x:c r="B22" s="65" t="n">
        <x:f>B17-B18</x:f>
        <x:v>8.1714</x:v>
      </x:c>
      <x:c r="C22" s="16" t="str">
        <x:v>RMB bn</x:v>
      </x:c>
      <x:c r="D22" s="16" t="str">
        <x:v>CFO-Capex</x:v>
      </x:c>
    </x:row>
    <x:row r="23">
      <x:c r="A23" s="19" t="str">
        <x:v>自由现金流/净利润</x:v>
      </x:c>
      <x:c r="B23" s="94" t="n">
        <x:f>B22/'Historical'!E5</x:f>
        <x:v>1.1761818638496875</x:v>
      </x:c>
      <x:c r="C23" s="19" t="str">
        <x:v>x</x:v>
      </x:c>
      <x:c r="D23" s="19" t="str">
        <x:v>现金含金量</x:v>
      </x:c>
    </x:row>
    <x:row r="24">
      <x:c r="A24" s="22" t="str">
        <x:v>期末流动性余量</x:v>
      </x:c>
      <x:c r="B24" s="69" t="n">
        <x:f>B12-B13</x:f>
        <x:v>18.848411</x:v>
      </x:c>
      <x:c r="C24" s="22" t="str">
        <x:v>RMB bn</x:v>
      </x:c>
      <x:c r="D24" s="22" t="str">
        <x:v>流动资产-流动负债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6" hidden="0" customWidth="1"/>
    <x:col min="8" max="8" width="36" hidden="0" customWidth="1"/>
  </x:cols>
  <x:sheetData>
    <x:row r="1" ht="30" customHeight="1">
      <x:c r="A1" s="3" t="str">
        <x:v>市场、股份与正常化情景假设</x:v>
      </x:c>
      <x:c r="B1" s="3" t="str">
        <x:v>市场、股份与正常化情景假设</x:v>
      </x:c>
      <x:c r="C1" s="3" t="str">
        <x:v>市场、股份与正常化情景假设</x:v>
      </x:c>
      <x:c r="D1" s="3" t="str">
        <x:v>市场、股份与正常化情景假设</x:v>
      </x:c>
      <x:c r="E1" s="3" t="str">
        <x:v>市场、股份与正常化情景假设</x:v>
      </x:c>
      <x:c r="F1" s="3" t="str">
        <x:v>市场、股份与正常化情景假设</x:v>
      </x:c>
      <x:c r="G1" s="3" t="str">
        <x:v>市场、股份与正常化情景假设</x:v>
      </x:c>
      <x:c r="H1" s="3" t="str">
        <x:v>市场、股份与正常化情景假设</x:v>
      </x:c>
    </x:row>
    <x:row r="3">
      <x:c r="A3" s="25" t="str">
        <x:v>市场与股份</x:v>
      </x:c>
      <x:c r="B3" s="26" t="str">
        <x:v>数值</x:v>
      </x:c>
      <x:c r="C3" s="27" t="str">
        <x:v>说明</x:v>
      </x:c>
    </x:row>
    <x:row r="4">
      <x:c r="A4" s="16" t="str">
        <x:v>A股收盘价</x:v>
      </x:c>
      <x:c r="B4" s="104" t="n">
        <x:v>26.95</x:v>
      </x:c>
      <x:c r="C4" s="16" t="str">
        <x:v>2026-09-04收盘</x:v>
      </x:c>
    </x:row>
    <x:row r="5">
      <x:c r="A5" s="19" t="str">
        <x:v>总股数</x:v>
      </x:c>
      <x:c r="B5" s="105" t="n">
        <x:v>3.467957405</x:v>
      </x:c>
      <x:c r="C5" s="19" t="str">
        <x:v>十亿股</x:v>
      </x:c>
    </x:row>
    <x:row r="6">
      <x:c r="A6" s="19" t="str">
        <x:v>参考市值</x:v>
      </x:c>
      <x:c r="B6" s="67" t="n">
        <x:f>B4*B5</x:f>
        <x:v>93.46145206474999</x:v>
      </x:c>
      <x:c r="C6" s="19" t="str">
        <x:v>RMB bn</x:v>
      </x:c>
    </x:row>
    <x:row r="7">
      <x:c r="A7" s="19" t="str">
        <x:v>归母净资产</x:v>
      </x:c>
      <x:c r="B7" s="67" t="n">
        <x:v>38.161066</x:v>
      </x:c>
      <x:c r="C7" s="19" t="str">
        <x:v>2026H1；RMB bn</x:v>
      </x:c>
    </x:row>
    <x:row r="8">
      <x:c r="A8" s="19" t="str">
        <x:v>BVPS</x:v>
      </x:c>
      <x:c r="B8" s="106" t="n">
        <x:f>B7/B5</x:f>
        <x:v>11.003902742571315</x:v>
      </x:c>
      <x:c r="C8" s="19" t="str">
        <x:v>RMB/股</x:v>
      </x:c>
    </x:row>
    <x:row r="9">
      <x:c r="A9" s="22" t="str">
        <x:v>当前P/B</x:v>
      </x:c>
      <x:c r="B9" s="107" t="n">
        <x:f>B6/B7</x:f>
        <x:v>2.4491310610859247</x:v>
      </x:c>
      <x:c r="C9" s="22" t="str">
        <x:v>x</x:v>
      </x:c>
    </x:row>
    <x:row r="12">
      <x:c r="A12" s="25" t="str">
        <x:v>正常化驱动</x:v>
      </x:c>
      <x:c r="B12" s="26" t="str">
        <x:v>Bear</x:v>
      </x:c>
      <x:c r="C12" s="26" t="str">
        <x:v>Base</x:v>
      </x:c>
      <x:c r="D12" s="26" t="str">
        <x:v>Bull</x:v>
      </x:c>
      <x:c r="E12" s="26" t="str">
        <x:v>单位</x:v>
      </x:c>
      <x:c r="F12" s="26" t="str">
        <x:v>来源性质</x:v>
      </x:c>
      <x:c r="G12" s="26" t="str">
        <x:v>核心含义</x:v>
      </x:c>
      <x:c r="H12" s="27" t="str">
        <x:v>可证伪条件</x:v>
      </x:c>
    </x:row>
    <x:row r="13">
      <x:c r="A13" s="16" t="str">
        <x:v>铝价中枢</x:v>
      </x:c>
      <x:c r="B13" s="102" t="n">
        <x:v>19.5</x:v>
      </x:c>
      <x:c r="C13" s="102" t="n">
        <x:v>21.5</x:v>
      </x:c>
      <x:c r="D13" s="102" t="n">
        <x:v>24</x:v>
      </x:c>
      <x:c r="E13" s="16" t="str">
        <x:v>千元/吨</x:v>
      </x:c>
      <x:c r="F13" s="16" t="str">
        <x:v>分析假设</x:v>
      </x:c>
      <x:c r="G13" s="16" t="str">
        <x:v>当前沪铝约24.29千元/吨</x:v>
      </x:c>
      <x:c r="H13" s="16" t="str">
        <x:v>实际持续偏离情景假设</x:v>
      </x:c>
    </x:row>
    <x:row r="14">
      <x:c r="A14" s="19" t="str">
        <x:v>铝商品销量</x:v>
      </x:c>
      <x:c r="B14" s="103" t="n">
        <x:v>3.15</x:v>
      </x:c>
      <x:c r="C14" s="103" t="n">
        <x:v>3.25</x:v>
      </x:c>
      <x:c r="D14" s="103" t="n">
        <x:v>3.35</x:v>
      </x:c>
      <x:c r="E14" s="19" t="str">
        <x:v>百万吨</x:v>
      </x:c>
      <x:c r="F14" s="19" t="str">
        <x:v>分析假设</x:v>
      </x:c>
      <x:c r="G14" s="19" t="str">
        <x:v>接近满产，量增空间有限</x:v>
      </x:c>
      <x:c r="H14" s="19" t="str">
        <x:v>实际持续偏离情景假设</x:v>
      </x:c>
    </x:row>
    <x:row r="15">
      <x:c r="A15" s="19" t="str">
        <x:v>清洁能源占比</x:v>
      </x:c>
      <x:c r="B15" s="103" t="n">
        <x:v>0.82</x:v>
      </x:c>
      <x:c r="C15" s="103" t="n">
        <x:v>0.88</x:v>
      </x:c>
      <x:c r="D15" s="103" t="n">
        <x:v>0.92</x:v>
      </x:c>
      <x:c r="E15" s="19" t="str">
        <x:v>比例</x:v>
      </x:c>
      <x:c r="F15" s="19" t="str">
        <x:v>分析假设</x:v>
      </x:c>
      <x:c r="G15" s="19" t="str">
        <x:v>水电决定电价与产能利用</x:v>
      </x:c>
      <x:c r="H15" s="19" t="str">
        <x:v>实际持续偏离情景假设</x:v>
      </x:c>
    </x:row>
    <x:row r="16">
      <x:c r="A16" s="19" t="str">
        <x:v>中期/年度派息率</x:v>
      </x:c>
      <x:c r="B16" s="103" t="n">
        <x:v>0.35</x:v>
      </x:c>
      <x:c r="C16" s="103" t="n">
        <x:v>0.4</x:v>
      </x:c>
      <x:c r="D16" s="103" t="n">
        <x:v>0.45</x:v>
      </x:c>
      <x:c r="E16" s="19" t="str">
        <x:v>比例</x:v>
      </x:c>
      <x:c r="F16" s="19" t="str">
        <x:v>分析假设</x:v>
      </x:c>
      <x:c r="G16" s="19" t="str">
        <x:v>现金回报与资本纪律</x:v>
      </x:c>
      <x:c r="H16" s="19" t="str">
        <x:v>实际持续偏离情景假设</x:v>
      </x:c>
    </x:row>
    <x:row r="17">
      <x:c r="A17" s="19" t="str">
        <x:v>正常化归母净利润</x:v>
      </x:c>
      <x:c r="B17" s="67" t="n">
        <x:f>B18*$B$5</x:f>
        <x:v>5.0632178112999995</x:v>
      </x:c>
      <x:c r="C17" s="67" t="n">
        <x:f>C18*$B$5</x:f>
        <x:v>9.0860484011</x:v>
      </x:c>
      <x:c r="D17" s="67" t="n">
        <x:f>D18*$B$5</x:f>
        <x:v>14.773498545299999</x:v>
      </x:c>
      <x:c r="E17" s="19" t="str">
        <x:v>RMB bn</x:v>
      </x:c>
      <x:c r="F17" s="19" t="str">
        <x:v>公式/校验</x:v>
      </x:c>
      <x:c r="G17" s="19" t="str">
        <x:v>按铝价-现金成本价差归一</x:v>
      </x:c>
      <x:c r="H17" s="19" t="str">
        <x:v>实际持续偏离情景假设</x:v>
      </x:c>
    </x:row>
    <x:row r="18">
      <x:c r="A18" s="19" t="str">
        <x:v>正常化EPS</x:v>
      </x:c>
      <x:c r="B18" s="114" t="n">
        <x:v>1.46</x:v>
      </x:c>
      <x:c r="C18" s="114" t="n">
        <x:v>2.62</x:v>
      </x:c>
      <x:c r="D18" s="114" t="n">
        <x:v>4.26</x:v>
      </x:c>
      <x:c r="E18" s="19" t="str">
        <x:v>RMB/股</x:v>
      </x:c>
      <x:c r="F18" s="19" t="str">
        <x:v>分析假设</x:v>
      </x:c>
      <x:c r="G18" s="19" t="str">
        <x:v>分析假设，非一致预期</x:v>
      </x:c>
      <x:c r="H18" s="19" t="str">
        <x:v>实际持续偏离情景假设</x:v>
      </x:c>
    </x:row>
    <x:row r="19">
      <x:c r="A19" s="19" t="str">
        <x:v>P/E</x:v>
      </x:c>
      <x:c r="B19" s="115" t="n">
        <x:v>8</x:v>
      </x:c>
      <x:c r="C19" s="115" t="n">
        <x:v>9</x:v>
      </x:c>
      <x:c r="D19" s="115" t="n">
        <x:v>10</x:v>
      </x:c>
      <x:c r="E19" s="19" t="str">
        <x:v>x</x:v>
      </x:c>
      <x:c r="F19" s="19" t="str">
        <x:v>分析假设</x:v>
      </x:c>
      <x:c r="G19" s="19" t="str">
        <x:v>成熟周期股</x:v>
      </x:c>
      <x:c r="H19" s="19" t="str">
        <x:v>实际持续偏离情景假设</x:v>
      </x:c>
    </x:row>
    <x:row r="20">
      <x:c r="A20" s="22" t="str">
        <x:v>P/B</x:v>
      </x:c>
      <x:c r="B20" s="116" t="n">
        <x:v>1.5</x:v>
      </x:c>
      <x:c r="C20" s="116" t="n">
        <x:v>2.3</x:v>
      </x:c>
      <x:c r="D20" s="116" t="n">
        <x:v>2.8</x:v>
      </x:c>
      <x:c r="E20" s="22" t="str">
        <x:v>x</x:v>
      </x:c>
      <x:c r="F20" s="22" t="str">
        <x:v>分析假设</x:v>
      </x:c>
      <x:c r="G20" s="22" t="str">
        <x:v>净现金与绿色电力溢价</x:v>
      </x:c>
      <x:c r="H20" s="22" t="str">
        <x:v>实际持续偏离情景假设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8aca4befa22e4002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70% 正常化P/E + 30% P/B 情景估值</x:v>
      </x:c>
      <x:c r="B1" s="3" t="str">
        <x:v>70% 正常化P/E + 30% P/B 情景估值</x:v>
      </x:c>
      <x:c r="C1" s="3" t="str">
        <x:v>70% 正常化P/E + 30% P/B 情景估值</x:v>
      </x:c>
      <x:c r="D1" s="3" t="str">
        <x:v>70% 正常化P/E + 30% P/B 情景估值</x:v>
      </x:c>
      <x:c r="E1" s="3" t="str">
        <x:v>70% 正常化P/E + 30% P/B 情景估值</x:v>
      </x:c>
      <x:c r="F1" s="3" t="str">
        <x:v>70% 正常化P/E + 30% P/B 情景估值</x:v>
      </x:c>
      <x:c r="G1" s="3" t="str">
        <x:v>70% 正常化P/E + 30% P/B 情景估值</x:v>
      </x:c>
      <x:c r="H1" s="3" t="str">
        <x:v>70% 正常化P/E + 30% P/B 情景估值</x:v>
      </x:c>
      <x:c r="I1" s="3" t="str">
        <x:v>70% 正常化P/E + 30% P/B 情景估值</x:v>
      </x:c>
    </x:row>
    <x:row r="3">
      <x:c r="A3" s="25" t="str">
        <x:v>情景</x:v>
      </x:c>
      <x:c r="B3" s="26" t="str">
        <x:v>正常化净利润</x:v>
      </x:c>
      <x:c r="C3" s="26" t="str">
        <x:v>P/E</x:v>
      </x:c>
      <x:c r="D3" s="26" t="str">
        <x:v>P/E价值/股</x:v>
      </x:c>
      <x:c r="E3" s="26" t="str">
        <x:v>BVPS</x:v>
      </x:c>
      <x:c r="F3" s="26" t="str">
        <x:v>P/B</x:v>
      </x:c>
      <x:c r="G3" s="26" t="str">
        <x:v>P/B价值/股</x:v>
      </x:c>
      <x:c r="H3" s="26" t="str">
        <x:v>加权价值/股</x:v>
      </x:c>
      <x:c r="I3" s="27" t="str">
        <x:v>相对现价</x:v>
      </x:c>
    </x:row>
    <x:row r="5">
      <x:c r="A5" s="16" t="str">
        <x:v>Bear</x:v>
      </x:c>
      <x:c r="B5" s="65" t="n">
        <x:f>'Assumptions'!B17</x:f>
        <x:v>5.0632178112999995</x:v>
      </x:c>
      <x:c r="C5" s="136" t="n">
        <x:f>'Assumptions'!B19</x:f>
        <x:v>8</x:v>
      </x:c>
      <x:c r="D5" s="137" t="n">
        <x:f>B5*C5/'Assumptions'!$B$5</x:f>
        <x:v>11.68</x:v>
      </x:c>
      <x:c r="E5" s="137" t="n">
        <x:f>'Assumptions'!$B$8</x:f>
        <x:v>11.003902742571315</x:v>
      </x:c>
      <x:c r="F5" s="137" t="n">
        <x:f>'Assumptions'!B20</x:f>
        <x:v>1.5</x:v>
      </x:c>
      <x:c r="G5" s="137" t="n">
        <x:f>E5*F5</x:f>
        <x:v>16.505854113856973</x:v>
      </x:c>
      <x:c r="H5" s="138" t="n">
        <x:f>D5*0.7+G5*0.30000000000000004</x:f>
        <x:v>13.127756234157093</x:v>
      </x:c>
      <x:c r="I5" s="74" t="n">
        <x:f>H5/'Assumptions'!$B$4-1</x:f>
        <x:v>-0.5128847408476032</x:v>
      </x:c>
    </x:row>
    <x:row r="6">
      <x:c r="A6" s="96" t="str">
        <x:v>Base</x:v>
      </x:c>
      <x:c r="B6" s="97" t="n">
        <x:f>'Assumptions'!C17</x:f>
        <x:v>9.0860484011</x:v>
      </x:c>
      <x:c r="C6" s="139" t="n">
        <x:f>'Assumptions'!C19</x:f>
        <x:v>9</x:v>
      </x:c>
      <x:c r="D6" s="140" t="n">
        <x:f>B6*C6/'Assumptions'!$B$5</x:f>
        <x:v>23.58</x:v>
      </x:c>
      <x:c r="E6" s="140" t="n">
        <x:f>'Assumptions'!$B$8</x:f>
        <x:v>11.003902742571315</x:v>
      </x:c>
      <x:c r="F6" s="140" t="n">
        <x:f>'Assumptions'!C20</x:f>
        <x:v>2.3</x:v>
      </x:c>
      <x:c r="G6" s="140" t="n">
        <x:f>E6*F6</x:f>
        <x:v>25.308976307914023</x:v>
      </x:c>
      <x:c r="H6" s="141" t="n">
        <x:f>D6*0.7+G6*0.30000000000000004</x:f>
        <x:v>24.098692892374203</x:v>
      </x:c>
      <x:c r="I6" s="142" t="n">
        <x:f>H6/'Assumptions'!$B$4-1</x:f>
        <x:v>-0.10579989267628187</x:v>
      </x:c>
    </x:row>
    <x:row r="7">
      <x:c r="A7" s="22" t="str">
        <x:v>Bull</x:v>
      </x:c>
      <x:c r="B7" s="69" t="n">
        <x:f>'Assumptions'!D17</x:f>
        <x:v>14.773498545299999</x:v>
      </x:c>
      <x:c r="C7" s="143" t="n">
        <x:f>'Assumptions'!D19</x:f>
        <x:v>10</x:v>
      </x:c>
      <x:c r="D7" s="144" t="n">
        <x:f>B7*C7/'Assumptions'!$B$5</x:f>
        <x:v>42.599999999999994</x:v>
      </x:c>
      <x:c r="E7" s="144" t="n">
        <x:f>'Assumptions'!$B$8</x:f>
        <x:v>11.003902742571315</x:v>
      </x:c>
      <x:c r="F7" s="144" t="n">
        <x:f>'Assumptions'!D20</x:f>
        <x:v>2.8</x:v>
      </x:c>
      <x:c r="G7" s="144" t="n">
        <x:f>E7*F7</x:f>
        <x:v>30.81092767919968</x:v>
      </x:c>
      <x:c r="H7" s="145" t="n">
        <x:f>D7*0.7+G7*0.30000000000000004</x:f>
        <x:v>39.0632783037599</x:v>
      </x:c>
      <x:c r="I7" s="76" t="n">
        <x:f>H7/'Assumptions'!$B$4-1</x:f>
        <x:v>0.44947229327495</x:v>
      </x:c>
    </x:row>
    <x:row r="10">
      <x:c r="A10" s="25" t="str">
        <x:v>敏感性：正常化EPS × P/E（未含P/B权重）</x:v>
      </x:c>
      <x:c r="B10" s="26" t="str">
        <x:v>敏感性：正常化EPS × P/E（未含P/B权重）</x:v>
      </x:c>
      <x:c r="C10" s="26" t="str">
        <x:v>敏感性：正常化EPS × P/E（未含P/B权重）</x:v>
      </x:c>
      <x:c r="D10" s="26" t="str">
        <x:v>敏感性：正常化EPS × P/E（未含P/B权重）</x:v>
      </x:c>
      <x:c r="E10" s="26" t="str">
        <x:v>敏感性：正常化EPS × P/E（未含P/B权重）</x:v>
      </x:c>
      <x:c r="F10" s="26" t="str">
        <x:v>敏感性：正常化EPS × P/E（未含P/B权重）</x:v>
      </x:c>
      <x:c r="G10" s="27" t="str">
        <x:v>敏感性：正常化EPS × P/E（未含P/B权重）</x:v>
      </x:c>
    </x:row>
    <x:row r="11">
      <x:c r="A11" s="55" t="str">
        <x:v>EPS \ P/E</x:v>
      </x:c>
      <x:c r="B11" s="56" t="n">
        <x:v>8</x:v>
      </x:c>
      <x:c r="C11" s="56" t="n">
        <x:v>10</x:v>
      </x:c>
      <x:c r="D11" s="56" t="n">
        <x:v>12</x:v>
      </x:c>
      <x:c r="E11" s="56" t="n">
        <x:v>14</x:v>
      </x:c>
      <x:c r="F11" s="56" t="n">
        <x:v>16</x:v>
      </x:c>
      <x:c r="G11" s="57" t="str">
        <x:v>RMB/股</x:v>
      </x:c>
    </x:row>
    <x:row r="12">
      <x:c r="A12" s="16" t="n">
        <x:v>1</x:v>
      </x:c>
      <x:c r="B12" s="137" t="n">
        <x:f>$A12*B$11</x:f>
        <x:v>8</x:v>
      </x:c>
      <x:c r="C12" s="137" t="n">
        <x:f>$A12*C$11</x:f>
        <x:v>10</x:v>
      </x:c>
      <x:c r="D12" s="137" t="n">
        <x:f>$A12*D$11</x:f>
        <x:v>12</x:v>
      </x:c>
      <x:c r="E12" s="137" t="n">
        <x:f>$A12*E$11</x:f>
        <x:v>14</x:v>
      </x:c>
      <x:c r="F12" s="137" t="n">
        <x:f>$A12*F$11</x:f>
        <x:v>16</x:v>
      </x:c>
      <x:c r="G12" s="16"/>
    </x:row>
    <x:row r="13">
      <x:c r="A13" s="19" t="n">
        <x:v>2</x:v>
      </x:c>
      <x:c r="B13" s="106" t="n">
        <x:f>$A13*B$11</x:f>
        <x:v>16</x:v>
      </x:c>
      <x:c r="C13" s="106" t="n">
        <x:f>$A13*C$11</x:f>
        <x:v>20</x:v>
      </x:c>
      <x:c r="D13" s="106" t="n">
        <x:f>$A13*D$11</x:f>
        <x:v>24</x:v>
      </x:c>
      <x:c r="E13" s="106" t="n">
        <x:f>$A13*E$11</x:f>
        <x:v>28</x:v>
      </x:c>
      <x:c r="F13" s="106" t="n">
        <x:f>$A13*F$11</x:f>
        <x:v>32</x:v>
      </x:c>
      <x:c r="G13" s="19"/>
    </x:row>
    <x:row r="14">
      <x:c r="A14" s="19" t="n">
        <x:v>3</x:v>
      </x:c>
      <x:c r="B14" s="106" t="n">
        <x:f>$A14*B$11</x:f>
        <x:v>24</x:v>
      </x:c>
      <x:c r="C14" s="106" t="n">
        <x:f>$A14*C$11</x:f>
        <x:v>30</x:v>
      </x:c>
      <x:c r="D14" s="106" t="n">
        <x:f>$A14*D$11</x:f>
        <x:v>36</x:v>
      </x:c>
      <x:c r="E14" s="106" t="n">
        <x:f>$A14*E$11</x:f>
        <x:v>42</x:v>
      </x:c>
      <x:c r="F14" s="106" t="n">
        <x:f>$A14*F$11</x:f>
        <x:v>48</x:v>
      </x:c>
      <x:c r="G14" s="19"/>
    </x:row>
    <x:row r="15">
      <x:c r="A15" s="19" t="n">
        <x:v>4</x:v>
      </x:c>
      <x:c r="B15" s="106" t="n">
        <x:f>$A15*B$11</x:f>
        <x:v>32</x:v>
      </x:c>
      <x:c r="C15" s="106" t="n">
        <x:f>$A15*C$11</x:f>
        <x:v>40</x:v>
      </x:c>
      <x:c r="D15" s="106" t="n">
        <x:f>$A15*D$11</x:f>
        <x:v>48</x:v>
      </x:c>
      <x:c r="E15" s="106" t="n">
        <x:f>$A15*E$11</x:f>
        <x:v>56</x:v>
      </x:c>
      <x:c r="F15" s="106" t="n">
        <x:f>$A15*F$11</x:f>
        <x:v>64</x:v>
      </x:c>
      <x:c r="G15" s="19"/>
    </x:row>
    <x:row r="16">
      <x:c r="A16" s="22" t="n">
        <x:v>5</x:v>
      </x:c>
      <x:c r="B16" s="144" t="n">
        <x:f>$A16*B$11</x:f>
        <x:v>40</x:v>
      </x:c>
      <x:c r="C16" s="144" t="n">
        <x:f>$A16*C$11</x:f>
        <x:v>50</x:v>
      </x:c>
      <x:c r="D16" s="144" t="n">
        <x:f>$A16*D$11</x:f>
        <x:v>60</x:v>
      </x:c>
      <x:c r="E16" s="144" t="n">
        <x:f>$A16*E$11</x:f>
        <x:v>70</x:v>
      </x:c>
      <x:c r="F16" s="144" t="n">
        <x:f>$A16*F$11</x:f>
        <x:v>80</x:v>
      </x:c>
      <x:c r="G16" s="22"/>
    </x:row>
    <x:row r="19">
      <x:c r="A19" s="25" t="str">
        <x:v>估值限制</x:v>
      </x:c>
      <x:c r="B19" s="26" t="str">
        <x:v>估值限制</x:v>
      </x:c>
      <x:c r="C19" s="26" t="str">
        <x:v>估值限制</x:v>
      </x:c>
      <x:c r="D19" s="26" t="str">
        <x:v>估值限制</x:v>
      </x:c>
      <x:c r="E19" s="26" t="str">
        <x:v>估值限制</x:v>
      </x:c>
      <x:c r="F19" s="26" t="str">
        <x:v>估值限制</x:v>
      </x:c>
      <x:c r="G19" s="26" t="str">
        <x:v>估值限制</x:v>
      </x:c>
      <x:c r="H19" s="26" t="str">
        <x:v>估值限制</x:v>
      </x:c>
      <x:c r="I19" s="27" t="str">
        <x:v>估值限制</x:v>
      </x:c>
    </x:row>
    <x:row r="20">
      <x:c r="A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0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1">
      <x:c r="A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1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2">
      <x:c r="A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2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3">
      <x:c r="A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3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4">
      <x:c r="A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4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  <x:row r="25">
      <x:c r="A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B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C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D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E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F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G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H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  <x:c r="I25" s="52" t="str">
        <x:v>正常化盈利、商品价格、产销量、资本开支与估值倍数均为分析情景，不是公司指引或市场一致预期。模型不把2026H1高景气利润直接年化；P/B只作资本密集型周期股的交叉验证，账面价值仍受减值、汇率、项目执行及关联资产可变现性影响。</x:v>
      </x:c>
    </x:row>
  </x:sheetData>
  <x:mergeCells>
    <x:mergeCell ref="A1:I1"/>
    <x:mergeCell ref="A10:G10"/>
    <x:mergeCell ref="A19:I19"/>
    <x:mergeCell ref="A20:I25"/>
  </x:mergeCells>
  <x:conditionalFormatting sqref="B12:F1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8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IF(COUNTIF(F5:F13,"FAIL")=0,"OK","FAIL")</x:f>
        <x:v>OK</x:v>
      </x:c>
    </x:row>
    <x:row r="4">
      <x:c r="A4" s="25" t="str">
        <x:v>检查项</x:v>
      </x:c>
      <x:c r="B4" s="26" t="str">
        <x:v>实际值</x:v>
      </x:c>
      <x:c r="C4" s="26" t="str">
        <x:v>预期/阈值</x:v>
      </x:c>
      <x:c r="D4" s="26" t="str">
        <x:v>差异</x:v>
      </x:c>
      <x:c r="E4" s="26" t="str">
        <x:v>容差</x:v>
      </x:c>
      <x:c r="F4" s="26" t="str">
        <x:v>状态</x:v>
      </x:c>
      <x:c r="G4" s="27" t="str">
        <x:v>说明</x:v>
      </x:c>
    </x:row>
    <x:row r="5">
      <x:c r="A5" s="16" t="str">
        <x:v>市值桥</x:v>
      </x:c>
      <x:c r="B5" s="16" t="n">
        <x:f>'Assumptions'!B6</x:f>
        <x:v>93.46145206474999</x:v>
      </x:c>
      <x:c r="C5" s="16" t="n">
        <x:f>'Assumptions'!B4*'Assumptions'!B5</x:f>
        <x:v>93.46145206474999</x:v>
      </x:c>
      <x:c r="D5" s="16" t="n">
        <x:f>B5-C5</x:f>
        <x:v>0</x:v>
      </x:c>
      <x:c r="E5" s="16" t="n">
        <x:f>0.0001</x:f>
        <x:v>0.0001</x:v>
      </x:c>
      <x:c r="F5" s="16" t="str">
        <x:f>IF(ABS(D5)&lt;=E5,"OK","FAIL")</x:f>
        <x:v>OK</x:v>
      </x:c>
      <x:c r="G5" s="16" t="str">
        <x:v>价格×股数</x:v>
      </x:c>
    </x:row>
    <x:row r="6">
      <x:c r="A6" s="19" t="str">
        <x:v>BVPS桥</x:v>
      </x:c>
      <x:c r="B6" s="19" t="n">
        <x:f>'Assumptions'!B8</x:f>
        <x:v>11.003902742571315</x:v>
      </x:c>
      <x:c r="C6" s="19" t="n">
        <x:f>'Assumptions'!B7/'Assumptions'!B5</x:f>
        <x:v>11.003902742571315</x:v>
      </x:c>
      <x:c r="D6" s="19" t="n">
        <x:f>B6-C6</x:f>
        <x:v>0</x:v>
      </x:c>
      <x:c r="E6" s="19" t="n">
        <x:f>0.0001</x:f>
        <x:v>0.0001</x:v>
      </x:c>
      <x:c r="F6" s="19" t="str">
        <x:f>IF(ABS(D6)&lt;=E6,"OK","FAIL")</x:f>
        <x:v>OK</x:v>
      </x:c>
      <x:c r="G6" s="19" t="str">
        <x:v>净资产/股数</x:v>
      </x:c>
    </x:row>
    <x:row r="7">
      <x:c r="A7" s="19" t="str">
        <x:v>当前P/B桥</x:v>
      </x:c>
      <x:c r="B7" s="19" t="n">
        <x:f>'Assumptions'!B9</x:f>
        <x:v>2.4491310610859247</x:v>
      </x:c>
      <x:c r="C7" s="19" t="n">
        <x:f>'Assumptions'!B6/'Assumptions'!B7</x:f>
        <x:v>2.4491310610859247</x:v>
      </x:c>
      <x:c r="D7" s="19" t="n">
        <x:f>B7-C7</x:f>
        <x:v>0</x:v>
      </x:c>
      <x:c r="E7" s="19" t="n">
        <x:f>0.0001</x:f>
        <x:v>0.0001</x:v>
      </x:c>
      <x:c r="F7" s="19" t="str">
        <x:f>IF(ABS(D7)&lt;=E7,"OK","FAIL")</x:f>
        <x:v>OK</x:v>
      </x:c>
      <x:c r="G7" s="19" t="str">
        <x:v>市值/净资产</x:v>
      </x:c>
    </x:row>
    <x:row r="8">
      <x:c r="A8" s="19" t="str">
        <x:v>自由现金流桥</x:v>
      </x:c>
      <x:c r="B8" s="19" t="n">
        <x:f>'Balance &amp; Cash'!B22</x:f>
        <x:v>8.1714</x:v>
      </x:c>
      <x:c r="C8" s="19" t="n">
        <x:f>'Historical'!E7-'Historical'!F7</x:f>
        <x:v>8.1714</x:v>
      </x:c>
      <x:c r="D8" s="19" t="n">
        <x:f>B8-C8</x:f>
        <x:v>0</x:v>
      </x:c>
      <x:c r="E8" s="19" t="n">
        <x:f>0.0001</x:f>
        <x:v>0.0001</x:v>
      </x:c>
      <x:c r="F8" s="19" t="str">
        <x:f>IF(ABS(D8)&lt;=E8,"OK","FAIL")</x:f>
        <x:v>OK</x:v>
      </x:c>
      <x:c r="G8" s="19" t="str">
        <x:v>CFO-Capex</x:v>
      </x:c>
    </x:row>
    <x:row r="9">
      <x:c r="A9" s="19" t="str">
        <x:v>净债务桥</x:v>
      </x:c>
      <x:c r="B9" s="19" t="n">
        <x:f>'Balance &amp; Cash'!B15</x:f>
        <x:v>-15.495280999999999</x:v>
      </x:c>
      <x:c r="C9" s="19" t="n">
        <x:f>'Balance &amp; Cash'!B9+'Balance &amp; Cash'!B10+'Balance &amp; Cash'!B11-'Balance &amp; Cash'!B7</x:f>
        <x:v>-15.495280999999999</x:v>
      </x:c>
      <x:c r="D9" s="19" t="n">
        <x:f>B9-C9</x:f>
        <x:v>0</x:v>
      </x:c>
      <x:c r="E9" s="19" t="n">
        <x:f>0.0001</x:f>
        <x:v>0.0001</x:v>
      </x:c>
      <x:c r="F9" s="19" t="str">
        <x:f>IF(ABS(D9)&lt;=E9,"OK","FAIL")</x:f>
        <x:v>OK</x:v>
      </x:c>
      <x:c r="G9" s="19" t="str">
        <x:v>借款+债券+租赁-现金</x:v>
      </x:c>
    </x:row>
    <x:row r="10">
      <x:c r="A10" s="19" t="str">
        <x:v>Base加权价值</x:v>
      </x:c>
      <x:c r="B10" s="19" t="n">
        <x:f>'Valuation'!H6</x:f>
        <x:v>24.098692892374203</x:v>
      </x:c>
      <x:c r="C10" s="19" t="n">
        <x:f>'Valuation'!D6*0.7+'Valuation'!G6*0.30000000000000004</x:f>
        <x:v>24.098692892374203</x:v>
      </x:c>
      <x:c r="D10" s="19" t="n">
        <x:f>B10-C10</x:f>
        <x:v>0</x:v>
      </x:c>
      <x:c r="E10" s="19" t="n">
        <x:f>0.0001</x:f>
        <x:v>0.0001</x:v>
      </x:c>
      <x:c r="F10" s="19" t="str">
        <x:f>IF(ABS(D10)&lt;=E10,"OK","FAIL")</x:f>
        <x:v>OK</x:v>
      </x:c>
      <x:c r="G10" s="19" t="str">
        <x:v>P/E与P/B权重</x:v>
      </x:c>
    </x:row>
    <x:row r="11">
      <x:c r="A11" s="19" t="str">
        <x:v>估值权重</x:v>
      </x:c>
      <x:c r="B11" s="19" t="n">
        <x:f>0.7+0.30000000000000004</x:f>
        <x:v>1</x:v>
      </x:c>
      <x:c r="C11" s="19" t="n">
        <x:f>100%</x:f>
        <x:v>1</x:v>
      </x:c>
      <x:c r="D11" s="19" t="n">
        <x:f>B11-C11</x:f>
        <x:v>0</x:v>
      </x:c>
      <x:c r="E11" s="19" t="n">
        <x:f>0.0001</x:f>
        <x:v>0.0001</x:v>
      </x:c>
      <x:c r="F11" s="19" t="str">
        <x:f>IF(ABS(D11)&lt;=E11,"OK","FAIL")</x:f>
        <x:v>OK</x:v>
      </x:c>
      <x:c r="G11" s="19" t="str">
        <x:v>必须等于100%</x:v>
      </x:c>
    </x:row>
    <x:row r="12">
      <x:c r="A12" s="19" t="str">
        <x:v>情景利润递增</x:v>
      </x:c>
      <x:c r="B12" s="19" t="n">
        <x:f>'Assumptions'!D17-'Assumptions'!B17</x:f>
        <x:v>9.710280734</x:v>
      </x:c>
      <x:c r="C12" s="19" t="n">
        <x:f>0</x:f>
        <x:v>0</x:v>
      </x:c>
      <x:c r="D12" s="19" t="n">
        <x:f>B12-C12</x:f>
        <x:v>9.710280734</x:v>
      </x:c>
      <x:c r="E12" s="19" t="n">
        <x:f>0</x:f>
        <x:v>0</x:v>
      </x:c>
      <x:c r="F12" s="19" t="str">
        <x:f>IF(B12&gt;C12,"OK","FAIL")</x:f>
        <x:v>OK</x:v>
      </x:c>
      <x:c r="G12" s="19" t="str">
        <x:v>Bull高于Bear</x:v>
      </x:c>
    </x:row>
    <x:row r="13">
      <x:c r="A13" s="22" t="str">
        <x:v>情景价值递增</x:v>
      </x:c>
      <x:c r="B13" s="22" t="n">
        <x:f>'Valuation'!H7-'Valuation'!H5</x:f>
        <x:v>25.935522069602808</x:v>
      </x:c>
      <x:c r="C13" s="22" t="n">
        <x:f>0</x:f>
        <x:v>0</x:v>
      </x:c>
      <x:c r="D13" s="22" t="n">
        <x:f>B13-C13</x:f>
        <x:v>25.935522069602808</x:v>
      </x:c>
      <x:c r="E13" s="22" t="n">
        <x:f>0</x:f>
        <x:v>0</x:v>
      </x:c>
      <x:c r="F13" s="22" t="str">
        <x:f>IF(B13&gt;C13,"OK","FAIL")</x:f>
        <x:v>OK</x:v>
      </x:c>
      <x:c r="G13" s="22" t="str">
        <x:v>Bull高于Bear</x:v>
      </x:c>
    </x:row>
  </x:sheetData>
  <x:mergeCells>
    <x:mergeCell ref="A1:G1"/>
    <x:mergeCell ref="A2:E2"/>
  </x:mergeCells>
  <x:conditionalFormatting sqref="F2:F13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22" hidden="0" customWidth="1"/>
    <x:col min="4" max="4" width="22" hidden="0" customWidth="1"/>
    <x:col min="5" max="5" width="82" hidden="0" customWidth="1"/>
    <x:col min="6" max="6" width="42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</x:row>
    <x:row r="3">
      <x:c r="A3" s="25" t="str">
        <x:v>ID</x:v>
      </x:c>
      <x:c r="B3" s="26" t="str">
        <x:v>输入/主题</x:v>
      </x:c>
      <x:c r="C3" s="26" t="str">
        <x:v>来源</x:v>
      </x:c>
      <x:c r="D3" s="26" t="str">
        <x:v>截至/期间</x:v>
      </x:c>
      <x:c r="E3" s="26" t="str">
        <x:v>URL/本地文件</x:v>
      </x:c>
      <x:c r="F3" s="27" t="str">
        <x:v>审计说明</x:v>
      </x:c>
    </x:row>
    <x:row r="4" ht="44" customHeight="1">
      <x:c r="A4" s="16" t="str">
        <x:v>S1</x:v>
      </x:c>
      <x:c r="B4" s="155" t="str">
        <x:v>2026H1财务、分部、产量与分红</x:v>
      </x:c>
      <x:c r="C4" s="155" t="str">
        <x:v>公司2026半年报</x:v>
      </x:c>
      <x:c r="D4" s="155" t="str">
        <x:v>2026H1</x:v>
      </x:c>
      <x:c r="E4" s="156" t="str">
        <x:v>https://money.finance.sina.com.cn/corp/view/vCB_AllBulletinDetail.php?id=12563362&amp;stockid=000807</x:v>
      </x:c>
      <x:c r="F4" s="155" t="str">
        <x:v>公司披露镜像；未经审计；本地PDF已归档</x:v>
      </x:c>
    </x:row>
    <x:row r="5" ht="44" customHeight="1">
      <x:c r="A5" s="19" t="str">
        <x:v>S2</x:v>
      </x:c>
      <x:c r="B5" s="157" t="str">
        <x:v>2025年度财务、产能与绿色电力</x:v>
      </x:c>
      <x:c r="C5" s="157" t="str">
        <x:v>公司2025年报</x:v>
      </x:c>
      <x:c r="D5" s="157" t="str">
        <x:v>FY2025</x:v>
      </x:c>
      <x:c r="E5" s="158" t="str">
        <x:v>https://money.finance.sina.com.cn/corp/view/vCB_AllBulletinDetail.php?id=12031679&amp;stockid=000807</x:v>
      </x:c>
      <x:c r="F5" s="157" t="str">
        <x:v>公司披露镜像；经审计；本地PDF已归档</x:v>
      </x:c>
    </x:row>
    <x:row r="6" ht="44" customHeight="1">
      <x:c r="A6" s="19" t="str">
        <x:v>M1</x:v>
      </x:c>
      <x:c r="B6" s="157" t="str">
        <x:v>A股收盘价</x:v>
      </x:c>
      <x:c r="C6" s="157" t="str">
        <x:v>Yahoo Finance</x:v>
      </x:c>
      <x:c r="D6" s="157" t="str">
        <x:v>2026-09-04</x:v>
      </x:c>
      <x:c r="E6" s="158" t="str">
        <x:v>https://tw.stock.yahoo.com/quote/000807.SZ</x:v>
      </x:c>
      <x:c r="F6" s="157" t="str">
        <x:v>二级市场数据；26.95元</x:v>
      </x:c>
    </x:row>
    <x:row r="7" ht="44" customHeight="1">
      <x:c r="A7" s="19" t="str">
        <x:v>I1</x:v>
      </x:c>
      <x:c r="B7" s="157" t="str">
        <x:v>沪铝主力收盘</x:v>
      </x:c>
      <x:c r="C7" s="157" t="str">
        <x:v>上海有色行情转引</x:v>
      </x:c>
      <x:c r="D7" s="157" t="str">
        <x:v>2026-09-04</x:v>
      </x:c>
      <x:c r="E7" s="158" t="str">
        <x:v>https://hq.smm.cn/futures/104098738</x:v>
      </x:c>
      <x:c r="F7" s="157" t="str">
        <x:v>24,290元/吨</x:v>
      </x:c>
    </x:row>
    <x:row r="8" ht="44" customHeight="1">
      <x:c r="A8" s="19" t="str">
        <x:v>A1</x:v>
      </x:c>
      <x:c r="B8" s="157" t="str">
        <x:v>正常化驱动与利润</x:v>
      </x:c>
      <x:c r="C8" s="157" t="str">
        <x:v>分析假设</x:v>
      </x:c>
      <x:c r="D8" s="157" t="str">
        <x:v>正常化情景</x:v>
      </x:c>
      <x:c r="E8" s="157" t="str"/>
      <x:c r="F8" s="157" t="str">
        <x:v>非公司指引或一致预期</x:v>
      </x:c>
    </x:row>
    <x:row r="9" ht="44" customHeight="1">
      <x:c r="A9" s="19" t="str">
        <x:v>A2</x:v>
      </x:c>
      <x:c r="B9" s="157" t="str">
        <x:v>P/E与P/B倍数</x:v>
      </x:c>
      <x:c r="C9" s="157" t="str">
        <x:v>分析假设</x:v>
      </x:c>
      <x:c r="D9" s="157" t="str">
        <x:v>正常化情景</x:v>
      </x:c>
      <x:c r="E9" s="157" t="str"/>
      <x:c r="F9" s="157" t="str">
        <x:v>周期股估值区间</x:v>
      </x:c>
    </x:row>
    <x:row r="10" ht="44" customHeight="1">
      <x:c r="A10" s="22" t="str">
        <x:v>C1</x:v>
      </x:c>
      <x:c r="B10" s="159" t="str">
        <x:v>净债务与自由现金流</x:v>
      </x:c>
      <x:c r="C10" s="159" t="str">
        <x:v>研究计算</x:v>
      </x:c>
      <x:c r="D10" s="159" t="str">
        <x:v>2026H1</x:v>
      </x:c>
      <x:c r="E10" s="159" t="str"/>
      <x:c r="F10" s="159" t="str">
        <x:v>按模型公式计算</x:v>
      </x:c>
    </x:row>
  </x:sheetData>
  <x:mergeCells>
    <x:mergeCell ref="A1:F1"/>
  </x:mergeCells>
  <x:pageMargins left="0.7" right="0.7" top="0.75" bottom="0.75" header="0.3" footer="0.3"/>
</x:worksheet>
</file>
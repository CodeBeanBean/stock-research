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a1f601a4e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1d478fc371f4495"/>
    <x:sheet xmlns:r="http://schemas.openxmlformats.org/officeDocument/2006/relationships" name="Historical" sheetId="2" r:id="Rc459e00b2d874241"/>
    <x:sheet xmlns:r="http://schemas.openxmlformats.org/officeDocument/2006/relationships" name="Operations" sheetId="3" r:id="R93a13a0000cd4291"/>
    <x:sheet xmlns:r="http://schemas.openxmlformats.org/officeDocument/2006/relationships" name="Balance &amp; Cash" sheetId="4" r:id="R065c669762bd4b26"/>
    <x:sheet xmlns:r="http://schemas.openxmlformats.org/officeDocument/2006/relationships" name="Assumptions" sheetId="5" r:id="Rda29f3c1f85641b1"/>
    <x:sheet xmlns:r="http://schemas.openxmlformats.org/officeDocument/2006/relationships" name="Valuation" sheetId="6" r:id="R03f298301e6b4f80"/>
    <x:sheet xmlns:r="http://schemas.openxmlformats.org/officeDocument/2006/relationships" name="Checks" sheetId="7" r:id="R0907e22285ce4881"/>
    <x:sheet xmlns:r="http://schemas.openxmlformats.org/officeDocument/2006/relationships" name="Sources Audit" sheetId="8" r:id="R38fc3c1747ea49ed"/>
  </x:sheets>
</x:workbook>
</file>

<file path=xl/comments1.xml><?xml version="1.0" encoding="utf-8"?>
<x:comments xmlns:x="http://schemas.openxmlformats.org/spreadsheetml/2006/main">
  <x:authors>
    <x:author>tc={35D259F8-A9F6-45C3-84B3-3CB0C8DC3C01}</x:author>
    <x:author>tc={84AB3908-EE1D-4D33-B601-55ED9B615373}</x:author>
    <x:author>tc={8E295E01-A6AE-430E-BA33-C7FFC3DD1511}</x:author>
    <x:author>tc={D39D4331-4017-47F6-8B47-E33C6233FC19}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赣锋锂业 A-share close RMB50.52 on 2026-09-04.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EPS; not company guidance or market consensus.</x:t>
        </x:r>
      </x:text>
    </x:comment>
    <x:comment ref="C1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P/E multiple reflects cyclicality and business quality.</x:t>
        </x:r>
      </x:text>
    </x:comment>
    <x:comment ref="C2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P/B cross-check; book value is not liquidation value.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yyyy-mm-dd"/>
    <x:numFmt numFmtId="201" formatCode="&quot;RMB &quot;0.00"/>
    <x:numFmt numFmtId="202" formatCode="0.000&quot; bn shares&quot;"/>
    <x:numFmt numFmtId="203" formatCode="0.00&quot; bn&quot;"/>
    <x:numFmt numFmtId="204" formatCode="0.00x"/>
    <x:numFmt numFmtId="205" formatCode="0.0%;[Red](0.0%);-"/>
    <x:numFmt numFmtId="206" formatCode="0.00"/>
    <x:numFmt numFmtId="207" formatCode="0.000"/>
    <x:numFmt numFmtId="208" formatCode="0.0%"/>
    <x:numFmt numFmtId="209" formatCode="0.0x"/>
    <x:numFmt numFmtId="210" formatCode="0.00;[Red](0.00);&quot;-&quot;"/>
    <x:numFmt numFmtId="211" formatCode="0.0%;[Red](0.0%);&quot;-&quot;"/>
    <x:numFmt numFmtId="212" formatCode="0.00;(0.00);0.00"/>
    <x:numFmt numFmtId="213" formatCode="0.000000"/>
  </x:numFmts>
  <x:fonts count="2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563C1"/>
      <x:name val="Carlito"/>
    </x:font>
    <x:font>
      <x:sz val="11"/>
      <x:color rgb="FF008000"/>
      <x:name val="Carlito"/>
    </x:font>
    <x:font>
      <x:b/>
      <x:sz val="11"/>
      <x:color rgb="FF17365D"/>
      <x:name val="Carlito"/>
    </x:font>
    <x:font>
      <x:sz val="11"/>
      <x:color rgb="FF000000"/>
      <x:name val="Carlito"/>
    </x:font>
    <x:font>
      <x:sz val="10"/>
      <x:color rgb="FF607080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1"/>
      <x:color rgb="FF000000"/>
      <x:name val="Microsoft YaHei"/>
    </x:font>
    <x:font>
      <x:sz val="11"/>
      <x:color rgb="FF607080"/>
      <x:name val="Microsoft YaHei"/>
    </x:font>
    <x:font>
      <x:b/>
      <x:sz val="11"/>
      <x:color rgb="FF000000"/>
      <x:name val="Carlito"/>
    </x:font>
    <x:font>
      <x:sz val="11"/>
      <x:color rgb="FF172B3A"/>
      <x:name val="Carlito"/>
    </x:font>
    <x:font>
      <x:sz val="10"/>
      <x:name val="Microsoft YaHei"/>
    </x:font>
    <x:font>
      <x:sz val="11"/>
      <x:color rgb="FF0000FF"/>
      <x:name val="Microsoft YaHei"/>
    </x:font>
    <x:font>
      <x:sz val="10"/>
      <x:color rgb="FF607080"/>
      <x:name val="Microsoft YaHei"/>
    </x:font>
    <x:font>
      <x:sz val="11"/>
      <x:color rgb="FF008000"/>
      <x:name val="Microsoft YaHei"/>
    </x:font>
    <x:font>
      <x:sz val="11"/>
      <x:color rgb="FF172B3A"/>
      <x:name val="Microsoft YaHei"/>
    </x:font>
    <x:font>
      <x:sz val="11"/>
      <x:color rgb="FF17365D"/>
      <x:name val="Carlito"/>
    </x:font>
    <x:font>
      <x:sz val="11"/>
      <x:color rgb="FF17365D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204" fontId="2" fillId="0" borderId="2" xfId="0" applyNumberFormat="1" applyFont="1" applyFill="1" applyBorder="1"/>
    <x:xf numFmtId="201" fontId="2" fillId="0" borderId="2" xfId="0" applyNumberFormat="1" applyFont="1" applyFill="1" applyBorder="1"/>
    <x:xf numFmtId="205" fontId="2" fillId="0" borderId="3" xfId="0" applyNumberFormat="1" applyFont="1" applyFill="1" applyBorder="1"/>
    <x:xf numFmtId="201" fontId="2" fillId="0" borderId="1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5" fontId="2" fillId="0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206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1" xfId="0" applyNumberFormat="1" applyFont="1" applyFill="1" applyBorder="1"/>
    <x:xf numFmtId="203" fontId="0" fillId="0" borderId="2" xfId="0" applyNumberFormat="1" applyFont="1" applyFill="1" applyBorder="1"/>
    <x:xf numFmtId="206" fontId="0" fillId="0" borderId="2" xfId="0" applyNumberFormat="1" applyFont="1" applyFill="1" applyBorder="1"/>
    <x:xf numFmtId="203" fontId="0" fillId="0" borderId="3" xfId="0" applyNumberFormat="1" applyFont="1" applyFill="1" applyBorder="1"/>
    <x:xf numFmtId="206" fontId="0" fillId="0" borderId="3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6" fontId="0" fillId="0" borderId="2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6" fontId="0" fillId="0" borderId="3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/>
    <x:xf numFmtId="205" fontId="0" fillId="0" borderId="2" xfId="0" applyNumberFormat="1" applyFont="1" applyFill="1" applyBorder="1"/>
    <x:xf numFmtId="205" fontId="0" fillId="0" borderId="3" xfId="0" applyNumberFormat="1" applyFont="1" applyFill="1" applyBorder="1"/>
    <x:xf numFmtId="205" fontId="0" fillId="0" borderId="1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203" fontId="0" fillId="4" borderId="3" xfId="0" applyNumberFormat="1" applyFont="1" applyFill="1" applyBorder="1" applyAlignment="1">
      <x:alignment vertical="center"/>
    </x:xf>
    <x:xf numFmtId="206" fontId="0" fillId="4" borderId="3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0" fillId="0" borderId="2" xfId="0" applyNumberFormat="1" applyFont="1" applyFill="1" applyBorder="1"/>
    <x:xf numFmtId="207" fontId="0" fillId="0" borderId="3" xfId="0" applyNumberFormat="1" applyFont="1" applyFill="1" applyBorder="1"/>
    <x:xf numFmtId="207" fontId="0" fillId="0" borderId="1" xfId="0" applyNumberFormat="1" applyFont="1" applyFill="1" applyBorder="1" applyAlignment="1">
      <x:alignment vertical="center"/>
    </x:xf>
    <x:xf numFmtId="207" fontId="0" fillId="0" borderId="2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8" fontId="0" fillId="0" borderId="2" xfId="0" applyNumberFormat="1" applyFont="1" applyFill="1" applyBorder="1"/>
    <x:xf numFmtId="204" fontId="0" fillId="0" borderId="2" xfId="0" applyNumberFormat="1" applyFont="1" applyFill="1" applyBorder="1"/>
    <x:xf numFmtId="208" fontId="0" fillId="0" borderId="3" xfId="0" applyNumberFormat="1" applyFont="1" applyFill="1" applyBorder="1"/>
    <x:xf numFmtId="208" fontId="0" fillId="0" borderId="1" xfId="0" applyNumberFormat="1" applyFont="1" applyFill="1" applyBorder="1" applyAlignment="1">
      <x:alignment vertical="center"/>
    </x:xf>
    <x:xf numFmtId="208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208" fontId="0" fillId="0" borderId="3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203" fontId="0" fillId="6" borderId="2" xfId="0" applyNumberFormat="1" applyFont="1" applyFill="1" applyBorder="1" applyAlignment="1">
      <x:alignment vertical="center"/>
    </x:xf>
    <x:xf numFmtId="204" fontId="0" fillId="6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201" fontId="5" fillId="0" borderId="0" xfId="0" applyNumberFormat="1" applyFont="1" applyFill="1" applyBorder="1"/>
    <x:xf numFmtId="209" fontId="5" fillId="0" borderId="0" xfId="0" applyNumberFormat="1" applyFont="1" applyFill="1" applyBorder="1"/>
    <x:xf numFmtId="201" fontId="5" fillId="0" borderId="2" xfId="0" applyNumberFormat="1" applyFont="1" applyFill="1" applyBorder="1"/>
    <x:xf numFmtId="209" fontId="5" fillId="0" borderId="2" xfId="0" applyNumberFormat="1" applyFont="1" applyFill="1" applyBorder="1"/>
    <x:xf numFmtId="209" fontId="5" fillId="0" borderId="3" xfId="0" applyNumberFormat="1" applyFont="1" applyFill="1" applyBorder="1"/>
    <x:xf numFmtId="201" fontId="5" fillId="0" borderId="2" xfId="0" applyNumberFormat="1" applyFont="1" applyFill="1" applyBorder="1" applyAlignment="1">
      <x:alignment vertical="center"/>
    </x:xf>
    <x:xf numFmtId="209" fontId="5" fillId="0" borderId="2" xfId="0" applyNumberFormat="1" applyFont="1" applyFill="1" applyBorder="1" applyAlignment="1">
      <x:alignment vertical="center"/>
    </x:xf>
    <x:xf numFmtId="209" fontId="5" fillId="0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209" fontId="0" fillId="7" borderId="0" xfId="0" applyNumberFormat="1" applyFont="1" applyFill="1" applyBorder="1"/>
    <x:xf numFmtId="201" fontId="0" fillId="7" borderId="0" xfId="0" applyNumberFormat="1" applyFont="1" applyFill="1" applyBorder="1"/>
    <x:xf numFmtId="205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09" fontId="0" fillId="0" borderId="1" xfId="0" applyNumberFormat="1" applyFont="1" applyFill="1" applyBorder="1"/>
    <x:xf numFmtId="201" fontId="0" fillId="0" borderId="1" xfId="0" applyNumberFormat="1" applyFont="1" applyFill="1" applyBorder="1"/>
    <x:xf numFmtId="201" fontId="3" fillId="0" borderId="1" xfId="0" applyNumberFormat="1" applyFont="1" applyFill="1" applyBorder="1"/>
    <x:xf numFmtId="0" fontId="0" fillId="7" borderId="2" xfId="0" applyNumberFormat="1" applyFont="1" applyFill="1" applyBorder="1"/>
    <x:xf numFmtId="203" fontId="0" fillId="7" borderId="2" xfId="0" applyNumberFormat="1" applyFont="1" applyFill="1" applyBorder="1"/>
    <x:xf numFmtId="209" fontId="0" fillId="7" borderId="2" xfId="0" applyNumberFormat="1" applyFont="1" applyFill="1" applyBorder="1"/>
    <x:xf numFmtId="201" fontId="0" fillId="7" borderId="2" xfId="0" applyNumberFormat="1" applyFont="1" applyFill="1" applyBorder="1"/>
    <x:xf numFmtId="201" fontId="3" fillId="7" borderId="2" xfId="0" applyNumberFormat="1" applyFont="1" applyFill="1" applyBorder="1"/>
    <x:xf numFmtId="205" fontId="0" fillId="7" borderId="2" xfId="0" applyNumberFormat="1" applyFont="1" applyFill="1" applyBorder="1"/>
    <x:xf numFmtId="209" fontId="0" fillId="0" borderId="3" xfId="0" applyNumberFormat="1" applyFont="1" applyFill="1" applyBorder="1"/>
    <x:xf numFmtId="201" fontId="0" fillId="0" borderId="3" xfId="0" applyNumberFormat="1" applyFont="1" applyFill="1" applyBorder="1"/>
    <x:xf numFmtId="201" fontId="3" fillId="0" borderId="3" xfId="0" applyNumberFormat="1" applyFont="1" applyFill="1" applyBorder="1"/>
    <x:xf numFmtId="209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203" fontId="0" fillId="7" borderId="2" xfId="0" applyNumberFormat="1" applyFont="1" applyFill="1" applyBorder="1" applyAlignment="1">
      <x:alignment vertical="center"/>
    </x:xf>
    <x:xf numFmtId="209" fontId="0" fillId="7" borderId="2" xfId="0" applyNumberFormat="1" applyFont="1" applyFill="1" applyBorder="1" applyAlignment="1">
      <x:alignment vertical="center"/>
    </x:xf>
    <x:xf numFmtId="201" fontId="0" fillId="7" borderId="2" xfId="0" applyNumberFormat="1" applyFont="1" applyFill="1" applyBorder="1" applyAlignment="1">
      <x:alignment vertical="center"/>
    </x:xf>
    <x:xf numFmtId="201" fontId="3" fillId="7" borderId="2" xfId="0" applyNumberFormat="1" applyFont="1" applyFill="1" applyBorder="1" applyAlignment="1">
      <x:alignment vertical="center"/>
    </x:xf>
    <x:xf numFmtId="205" fontId="0" fillId="7" borderId="2" xfId="0" applyNumberFormat="1" applyFont="1" applyFill="1" applyBorder="1" applyAlignment="1">
      <x:alignment vertical="center"/>
    </x:xf>
    <x:xf numFmtId="209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1" fontId="8" fillId="0" borderId="1" xfId="0" applyNumberFormat="1" applyFont="1" applyFill="1" applyBorder="1" applyAlignment="1">
      <x:alignment vertical="center"/>
    </x:xf>
    <x:xf numFmtId="202" fontId="8" fillId="0" borderId="2" xfId="0" applyNumberFormat="1" applyFont="1" applyFill="1" applyBorder="1" applyAlignment="1">
      <x:alignment vertical="center"/>
    </x:xf>
    <x:xf numFmtId="203" fontId="8" fillId="0" borderId="2" xfId="0" applyNumberFormat="1" applyFont="1" applyFill="1" applyBorder="1" applyAlignment="1">
      <x:alignment vertical="center"/>
    </x:xf>
    <x:xf numFmtId="204" fontId="8" fillId="0" borderId="2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5" fontId="8" fillId="0" borderId="3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203" fontId="9" fillId="0" borderId="2" xfId="0" applyNumberFormat="1" applyFont="1" applyFill="1" applyBorder="1" applyAlignment="1">
      <x:alignment vertical="center"/>
    </x:xf>
    <x:xf numFmtId="203" fontId="9" fillId="4" borderId="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4" borderId="3" xfId="0" applyNumberFormat="1" applyFont="1" applyFill="1" applyBorder="1" applyAlignment="1">
      <x:alignment vertical="center"/>
    </x:xf>
    <x:xf numFmtId="210" fontId="5" fillId="0" borderId="1" xfId="0" applyNumberFormat="1" applyFont="1" applyFill="1" applyBorder="1" applyAlignment="1">
      <x:alignment vertical="center"/>
    </x:xf>
    <x:xf numFmtId="210" fontId="9" fillId="0" borderId="1" xfId="0" applyNumberFormat="1" applyFont="1" applyFill="1" applyBorder="1" applyAlignment="1">
      <x:alignment vertical="center"/>
    </x:xf>
    <x:xf numFmtId="210" fontId="5" fillId="0" borderId="2" xfId="0" applyNumberFormat="1" applyFont="1" applyFill="1" applyBorder="1" applyAlignment="1">
      <x:alignment vertical="center"/>
    </x:xf>
    <x:xf numFmtId="210" fontId="9" fillId="0" borderId="2" xfId="0" applyNumberFormat="1" applyFont="1" applyFill="1" applyBorder="1" applyAlignment="1">
      <x:alignment vertical="center"/>
    </x:xf>
    <x:xf numFmtId="210" fontId="5" fillId="4" borderId="3" xfId="0" applyNumberFormat="1" applyFont="1" applyFill="1" applyBorder="1" applyAlignment="1">
      <x:alignment vertical="center"/>
    </x:xf>
    <x:xf numFmtId="210" fontId="9" fillId="4" borderId="3" xfId="0" applyNumberFormat="1" applyFont="1" applyFill="1" applyBorder="1" applyAlignment="1">
      <x:alignment vertical="center"/>
    </x:xf>
    <x:xf numFmtId="210" fontId="5" fillId="0" borderId="0" xfId="0" applyNumberFormat="1" applyFont="1" applyFill="1" applyBorder="1"/>
    <x:xf numFmtId="210" fontId="9" fillId="0" borderId="0" xfId="0" applyNumberFormat="1" applyFont="1" applyFill="1" applyBorder="1"/>
    <x:xf numFmtId="0" fontId="0" fillId="8" borderId="0" xfId="0" applyNumberFormat="1" applyFont="1" applyFill="1" applyBorder="1"/>
    <x:xf numFmtId="210" fontId="5" fillId="8" borderId="0" xfId="0" applyNumberFormat="1" applyFont="1" applyFill="1" applyBorder="1"/>
    <x:xf numFmtId="210" fontId="9" fillId="8" borderId="0" xfId="0" applyNumberFormat="1" applyFont="1" applyFill="1" applyBorder="1"/>
    <x:xf numFmtId="206" fontId="0" fillId="8" borderId="0" xfId="0" applyNumberFormat="1" applyFont="1" applyFill="1" applyBorder="1"/>
    <x:xf numFmtId="205" fontId="9" fillId="0" borderId="1" xfId="0" applyNumberFormat="1" applyFont="1" applyFill="1" applyBorder="1" applyAlignment="1">
      <x:alignment vertical="center"/>
    </x:xf>
    <x:xf numFmtId="205" fontId="9" fillId="0" borderId="2" xfId="0" applyNumberFormat="1" applyFont="1" applyFill="1" applyBorder="1" applyAlignment="1">
      <x:alignment vertical="center"/>
    </x:xf>
    <x:xf numFmtId="205" fontId="9" fillId="0" borderId="3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11" fontId="9" fillId="0" borderId="3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1" fontId="9" fillId="0" borderId="0" xfId="0" applyNumberFormat="1" applyFont="1" applyFill="1" applyBorder="1"/>
    <x:xf numFmtId="210" fontId="7" fillId="0" borderId="0" xfId="0" applyNumberFormat="1" applyFont="1" applyFill="1" applyBorder="1"/>
    <x:xf numFmtId="211" fontId="7" fillId="0" borderId="0" xfId="0" applyNumberFormat="1" applyFont="1" applyFill="1" applyBorder="1"/>
    <x:xf numFmtId="203" fontId="9" fillId="6" borderId="2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8" fontId="7" fillId="0" borderId="2" xfId="0" applyNumberFormat="1" applyFont="1" applyFill="1" applyBorder="1" applyAlignment="1">
      <x:alignment vertical="center"/>
    </x:xf>
    <x:xf numFmtId="204" fontId="7" fillId="0" borderId="2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10" fontId="12" fillId="0" borderId="0" xfId="0" applyNumberFormat="1" applyFont="1" applyFill="1" applyBorder="1"/>
    <x:xf numFmtId="210" fontId="13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11" fontId="5" fillId="0" borderId="2" xfId="0" applyNumberFormat="1" applyFont="1" applyFill="1" applyBorder="1" applyAlignment="1">
      <x:alignment vertical="center"/>
    </x:xf>
    <x:xf numFmtId="209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5" fillId="0" borderId="1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209" fontId="7" fillId="7" borderId="2" xfId="0" applyNumberFormat="1" applyFont="1" applyFill="1" applyBorder="1" applyAlignment="1">
      <x:alignment vertical="center"/>
    </x:xf>
    <x:xf numFmtId="201" fontId="7" fillId="7" borderId="2" xfId="0" applyNumberFormat="1" applyFont="1" applyFill="1" applyBorder="1" applyAlignment="1">
      <x:alignment vertical="center"/>
    </x:xf>
    <x:xf numFmtId="201" fontId="9" fillId="7" borderId="2" xfId="0" applyNumberFormat="1" applyFont="1" applyFill="1" applyBorder="1" applyAlignment="1">
      <x:alignment vertical="center"/>
    </x:xf>
    <x:xf numFmtId="201" fontId="15" fillId="7" borderId="2" xfId="0" applyNumberFormat="1" applyFont="1" applyFill="1" applyBorder="1" applyAlignment="1">
      <x:alignment vertical="center"/>
    </x:xf>
    <x:xf numFmtId="205" fontId="7" fillId="7" borderId="2" xfId="0" applyNumberFormat="1" applyFont="1" applyFill="1" applyBorder="1" applyAlignment="1">
      <x:alignment vertical="center"/>
    </x:xf>
    <x:xf numFmtId="209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201" fontId="15" fillId="0" borderId="3" xfId="0" applyNumberFormat="1" applyFont="1" applyFill="1" applyBorder="1" applyAlignment="1">
      <x:alignment vertical="center"/>
    </x:xf>
    <x:xf numFmtId="205" fontId="7" fillId="0" borderId="3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12" fontId="0" fillId="0" borderId="1" xfId="0" applyNumberFormat="1" applyFont="1" applyFill="1" applyBorder="1" applyAlignment="1">
      <x:alignment vertical="center"/>
    </x:xf>
    <x:xf numFmtId="212" fontId="0" fillId="0" borderId="2" xfId="0" applyNumberFormat="1" applyFont="1" applyFill="1" applyBorder="1" applyAlignment="1">
      <x:alignment vertical="center"/>
    </x:xf>
    <x:xf numFmtId="212" fontId="0" fillId="0" borderId="3" xfId="0" applyNumberFormat="1" applyFont="1" applyFill="1" applyBorder="1" applyAlignment="1">
      <x:alignment vertical="center"/>
    </x:xf>
    <x:xf numFmtId="212" fontId="9" fillId="0" borderId="0" xfId="0" applyNumberFormat="1" applyFont="1" applyFill="1" applyBorder="1"/>
    <x:xf numFmtId="213" fontId="7" fillId="0" borderId="0" xfId="0" applyNumberFormat="1" applyFont="1" applyFill="1" applyBorder="1"/>
    <x:xf numFmtId="213" fontId="0" fillId="0" borderId="0" xfId="0" applyNumberFormat="1" applyFont="1" applyFill="1" applyBorder="1"/>
    <x:xf numFmtId="213" fontId="9" fillId="0" borderId="0" xfId="0" applyNumberFormat="1" applyFont="1" applyFill="1" applyBorder="1"/>
    <x:xf numFmtId="212" fontId="16" fillId="0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212" fontId="16" fillId="0" borderId="2" xfId="0" applyNumberFormat="1" applyFont="1" applyFill="1" applyBorder="1" applyAlignment="1">
      <x:alignment vertical="center"/>
    </x:xf>
    <x:xf numFmtId="0" fontId="16" fillId="0" borderId="2" xfId="0" applyNumberFormat="1" applyFont="1" applyFill="1" applyBorder="1" applyAlignment="1">
      <x:alignment vertical="center"/>
    </x:xf>
    <x:xf numFmtId="212" fontId="16" fillId="0" borderId="3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212" fontId="16" fillId="0" borderId="0" xfId="0" applyNumberFormat="1" applyFont="1" applyFill="1" applyBorder="1"/>
    <x:xf numFmtId="213" fontId="16" fillId="0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210" fontId="18" fillId="0" borderId="0" xfId="0" applyNumberFormat="1" applyFont="1" applyFill="1" applyBorder="1"/>
    <x:xf numFmtId="211" fontId="13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210" fontId="20" fillId="0" borderId="0" xfId="0" applyNumberFormat="1" applyFont="1" applyFill="1" applyBorder="1"/>
    <x:xf numFmtId="211" fontId="20" fillId="0" borderId="0" xfId="0" applyNumberFormat="1" applyFont="1" applyFill="1" applyBorder="1"/>
    <x:xf numFmtId="213" fontId="20" fillId="0" borderId="0" xfId="0" applyNumberFormat="1" applyFont="1" applyFill="1" applyBorder="1"/>
    <x:xf numFmtId="213" fontId="12" fillId="0" borderId="0" xfId="0" applyNumberFormat="1" applyFont="1" applyFill="1" applyBorder="1"/>
    <x:xf numFmtId="212" fontId="21" fillId="0" borderId="0" xfId="0" applyNumberFormat="1" applyFont="1" applyFill="1" applyBorder="1"/>
    <x:xf numFmtId="213" fontId="21" fillId="0" borderId="0" xfId="0" applyNumberFormat="1" applyFont="1" applyFill="1" applyBorder="1"/>
    <x:xf numFmtId="0" fontId="21" fillId="0" borderId="0" xfId="0" applyNumberFormat="1" applyFont="1" applyFill="1" applyBorder="1"/>
    <x:xf numFmtId="203" fontId="22" fillId="0" borderId="1" xfId="0" applyNumberFormat="1" applyFont="1" applyFill="1" applyBorder="1" applyAlignment="1">
      <x:alignment vertical="center"/>
    </x:xf>
    <x:xf numFmtId="209" fontId="22" fillId="0" borderId="1" xfId="0" applyNumberFormat="1" applyFont="1" applyFill="1" applyBorder="1" applyAlignment="1">
      <x:alignment vertical="center"/>
    </x:xf>
    <x:xf numFmtId="201" fontId="22" fillId="0" borderId="1" xfId="0" applyNumberFormat="1" applyFont="1" applyFill="1" applyBorder="1" applyAlignment="1">
      <x:alignment vertical="center"/>
    </x:xf>
    <x:xf numFmtId="205" fontId="22" fillId="0" borderId="1" xfId="0" applyNumberFormat="1" applyFont="1" applyFill="1" applyBorder="1" applyAlignment="1">
      <x:alignment vertical="center"/>
    </x:xf>
    <x:xf numFmtId="203" fontId="22" fillId="7" borderId="2" xfId="0" applyNumberFormat="1" applyFont="1" applyFill="1" applyBorder="1" applyAlignment="1">
      <x:alignment vertical="center"/>
    </x:xf>
    <x:xf numFmtId="209" fontId="22" fillId="7" borderId="2" xfId="0" applyNumberFormat="1" applyFont="1" applyFill="1" applyBorder="1" applyAlignment="1">
      <x:alignment vertical="center"/>
    </x:xf>
    <x:xf numFmtId="201" fontId="22" fillId="7" borderId="2" xfId="0" applyNumberFormat="1" applyFont="1" applyFill="1" applyBorder="1" applyAlignment="1">
      <x:alignment vertical="center"/>
    </x:xf>
    <x:xf numFmtId="201" fontId="8" fillId="7" borderId="2" xfId="0" applyNumberFormat="1" applyFont="1" applyFill="1" applyBorder="1" applyAlignment="1">
      <x:alignment vertical="center"/>
    </x:xf>
    <x:xf numFmtId="205" fontId="22" fillId="7" borderId="2" xfId="0" applyNumberFormat="1" applyFont="1" applyFill="1" applyBorder="1" applyAlignment="1">
      <x:alignment vertical="center"/>
    </x:xf>
    <x:xf numFmtId="203" fontId="22" fillId="0" borderId="3" xfId="0" applyNumberFormat="1" applyFont="1" applyFill="1" applyBorder="1" applyAlignment="1">
      <x:alignment vertical="center"/>
    </x:xf>
    <x:xf numFmtId="209" fontId="22" fillId="0" borderId="3" xfId="0" applyNumberFormat="1" applyFont="1" applyFill="1" applyBorder="1" applyAlignment="1">
      <x:alignment vertical="center"/>
    </x:xf>
    <x:xf numFmtId="201" fontId="22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205" fontId="22" fillId="0" borderId="3" xfId="0" applyNumberFormat="1" applyFont="1" applyFill="1" applyBorder="1" applyAlignment="1">
      <x:alignment vertical="center"/>
    </x:xf>
    <x:xf numFmtId="210" fontId="23" fillId="0" borderId="0" xfId="0" applyNumberFormat="1" applyFont="1" applyFill="1" applyBorder="1"/>
    <x:xf numFmtId="212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1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a6e44b4aa47a1" /><Relationship Type="http://schemas.openxmlformats.org/officeDocument/2006/relationships/theme" Target="/xl/theme/theme1.xml" Id="R60e18de7781d41f8" /><Relationship Type="http://schemas.openxmlformats.org/officeDocument/2006/relationships/sharedStrings" Target="/xl/sharedStrings.xml" Id="R879bfe636f2b4f91" /><Relationship Type="http://schemas.openxmlformats.org/officeDocument/2006/relationships/worksheet" Target="/xl/worksheets/sheet1.xml" Id="Re1d478fc371f4495" /><Relationship Type="http://schemas.openxmlformats.org/officeDocument/2006/relationships/worksheet" Target="/xl/worksheets/sheet2.xml" Id="Rc459e00b2d874241" /><Relationship Type="http://schemas.openxmlformats.org/officeDocument/2006/relationships/worksheet" Target="/xl/worksheets/sheet3.xml" Id="R93a13a0000cd4291" /><Relationship Type="http://schemas.openxmlformats.org/officeDocument/2006/relationships/worksheet" Target="/xl/worksheets/sheet4.xml" Id="R065c669762bd4b26" /><Relationship Type="http://schemas.openxmlformats.org/officeDocument/2006/relationships/worksheet" Target="/xl/worksheets/sheet5.xml" Id="Rda29f3c1f85641b1" /><Relationship Type="http://schemas.openxmlformats.org/officeDocument/2006/relationships/worksheet" Target="/xl/worksheets/sheet6.xml" Id="R03f298301e6b4f80" /><Relationship Type="http://schemas.openxmlformats.org/officeDocument/2006/relationships/worksheet" Target="/xl/worksheets/sheet7.xml" Id="R0907e22285ce4881" /><Relationship Type="http://schemas.openxmlformats.org/officeDocument/2006/relationships/worksheet" Target="/xl/worksheets/sheet8.xml" Id="R38fc3c1747ea49ed" /><Relationship Type="http://schemas.microsoft.com/office/2017/10/relationships/person" Target="/xl/persons/person.xml" Id="R2f08a4ff0d6e43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884d2d0a334e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884d2d0a334ed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C651C61A-BDCF-4134-B1AF-1D6FED7D869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5T13:53:07.53" personId="{C651C61A-BDCF-4134-B1AF-1D6FED7D8697}" id="{35D259F8-A9F6-45C3-84B3-3CB0C8DC3C01}">
    <xltc:text>Source M1: 赣锋锂业 A-share close RMB50.52 on 2026-09-04.</xltc:text>
  </xltc:threadedComment>
  <xltc:threadedComment ref="C18" dT="2026-09-05T13:53:07.53" personId="{C651C61A-BDCF-4134-B1AF-1D6FED7D8697}" id="{84AB3908-EE1D-4D33-B601-55ED9B615373}">
    <xltc:text>Analyst assumption: Base normalized EPS; not company guidance or market consensus.</xltc:text>
  </xltc:threadedComment>
  <xltc:threadedComment ref="C19" dT="2026-09-05T13:53:07.53" personId="{C651C61A-BDCF-4134-B1AF-1D6FED7D8697}" id="{8E295E01-A6AE-430E-BA33-C7FFC3DD1511}">
    <xltc:text>Analyst assumption: Base normalized P/E multiple reflects cyclicality and business quality.</xltc:text>
  </xltc:threadedComment>
  <xltc:threadedComment ref="C20" dT="2026-09-05T13:53:07.53" personId="{C651C61A-BDCF-4134-B1AF-1D6FED7D8697}" id="{D39D4331-4017-47F6-8B47-E33C6233FC19}">
    <xltc:text>Analyst assumption: Base P/B cross-check; book value is not liquidation value.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fa452b9d774a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c431e8461b3e4366" /><Relationship Type="http://schemas.openxmlformats.org/officeDocument/2006/relationships/vmlDrawing" Target="/xl/drawings/vmldrawing.vml" Id="R7c9c225988544a86" /><Relationship Type="http://schemas.microsoft.com/office/2017/10/relationships/threadedComment" Target="/xl/threadedcomments/threadedcomment.xml" Id="Recfa3640fa4941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赣锋锂业（002460.SZ / 01772.HK）基本面与估值模型</x:v>
      </x:c>
      <x:c r="B1" s="3" t="str">
        <x:v>赣锋锂业（002460.SZ / 01772.HK）基本面与估值模型</x:v>
      </x:c>
      <x:c r="C1" s="3" t="str">
        <x:v>赣锋锂业（002460.SZ / 01772.HK）基本面与估值模型</x:v>
      </x:c>
      <x:c r="D1" s="3" t="str">
        <x:v>赣锋锂业（002460.SZ / 01772.HK）基本面与估值模型</x:v>
      </x:c>
      <x:c r="E1" s="3" t="str">
        <x:v>赣锋锂业（002460.SZ / 01772.HK）基本面与估值模型</x:v>
      </x:c>
      <x:c r="F1" s="3" t="str">
        <x:v>赣锋锂业（002460.SZ / 01772.HK）基本面与估值模型</x:v>
      </x:c>
      <x:c r="G1" s="3" t="str">
        <x:v>赣锋锂业（002460.SZ / 01772.HK）基本面与估值模型</x:v>
      </x:c>
      <x:c r="H1" s="3" t="str">
        <x:v>赣锋锂业（002460.SZ / 01772.HK）基本面与估值模型</x:v>
      </x:c>
    </x:row>
    <x:row r="2">
      <x:c r="J2" t="str">
        <x:v>当前价格</x:v>
      </x:c>
    </x:row>
    <x:row r="3">
      <x:c r="A3" s="15" t="str">
        <x:v>公司</x:v>
      </x:c>
      <x:c r="B3" s="16" t="str">
        <x:v>江西赣锋锂业集团股份有限公司</x:v>
      </x:c>
      <x:c r="J3" s="162" t="n">
        <x:f>'Assumptions'!B4</x:f>
        <x:v>40.01</x:v>
      </x:c>
    </x:row>
    <x:row r="4">
      <x:c r="A4" s="17" t="str">
        <x:v>价格基准</x:v>
      </x:c>
      <x:c r="B4" s="18" t="str">
        <x:v>2026-10-15收盘</x:v>
      </x:c>
      <x:c r="J4" s="162" t="n">
        <x:f>'Assumptions'!B4</x:f>
        <x:v>40.01</x:v>
      </x:c>
    </x:row>
    <x:row r="5">
      <x:c r="A5" s="17" t="str">
        <x:v>资料截止</x:v>
      </x:c>
      <x:c r="B5" s="19" t="str">
        <x:v>2026-10-15晚间</x:v>
      </x:c>
      <x:c r="J5" s="162" t="n">
        <x:f>'Assumptions'!B4</x:f>
        <x:v>40.01</x:v>
      </x:c>
    </x:row>
    <x:row r="6">
      <x:c r="A6" s="17" t="str">
        <x:v>报告单位</x:v>
      </x:c>
      <x:c r="B6" s="19" t="str">
        <x:v>RMB bn；每股为人民币</x:v>
      </x:c>
    </x:row>
    <x:row r="7">
      <x:c r="A7" s="17" t="str">
        <x:v>模型版本</x:v>
      </x:c>
      <x:c r="B7" s="19" t="str">
        <x:v>三季报更新 / 2027正常化 v2</x:v>
      </x:c>
    </x:row>
    <x:row r="8">
      <x:c r="A8" s="17" t="str">
        <x:v>估值框架</x:v>
      </x:c>
      <x:c r="B8" s="19" t="str">
        <x:v>60% 正常化P/E + 40% P/B</x:v>
      </x:c>
    </x:row>
    <x:row r="9">
      <x:c r="A9" s="17" t="str">
        <x:v>模型状态</x:v>
      </x:c>
      <x:c r="B9" s="20" t="str">
        <x:v>已完成勾稽核对</x:v>
      </x:c>
    </x:row>
    <x:row r="10">
      <x:c r="A10" s="17" t="str">
        <x:v>当前判断</x:v>
      </x:c>
      <x:c r="B10" s="19" t="str">
        <x:v>中性观察</x:v>
      </x:c>
    </x:row>
    <x:row r="11">
      <x:c r="A11" s="17" t="str">
        <x:v>业务质量</x:v>
      </x:c>
      <x:c r="B11" s="19" t="str">
        <x:v>中</x:v>
      </x:c>
    </x:row>
    <x:row r="12">
      <x:c r="A12" s="21" t="str">
        <x:v>估值置信度</x:v>
      </x:c>
      <x:c r="B12" s="22" t="str">
        <x:v>中低</x:v>
      </x:c>
    </x:row>
    <x:row r="14">
      <x:c r="A14" s="25" t="str">
        <x:v>关键输出</x:v>
      </x:c>
      <x:c r="B14" s="26" t="str">
        <x:v>数值</x:v>
      </x:c>
      <x:c r="C14" s="27" t="str">
        <x:v>说明</x:v>
      </x:c>
    </x:row>
    <x:row r="15">
      <x:c r="A15" s="16" t="str">
        <x:v>当前A股价</x:v>
      </x:c>
      <x:c r="B15" s="163" t="n">
        <x:f>'Assumptions'!B4</x:f>
        <x:v>40.01</x:v>
      </x:c>
      <x:c r="C15" s="16" t="str">
        <x:v>10月15日收盘，业绩公布前</x:v>
      </x:c>
    </x:row>
    <x:row r="16">
      <x:c r="A16" s="19" t="str">
        <x:v>总股数</x:v>
      </x:c>
      <x:c r="B16" s="164" t="n">
        <x:f>'Assumptions'!B5</x:f>
        <x:v>2.096694404</x:v>
      </x:c>
      <x:c r="C16" s="19" t="str">
        <x:v>A+H或总股本口径</x:v>
      </x:c>
    </x:row>
    <x:row r="17">
      <x:c r="A17" s="19" t="str">
        <x:v>参考市值</x:v>
      </x:c>
      <x:c r="B17" s="165" t="n">
        <x:f>'Assumptions'!B6</x:f>
        <x:v>83.88874310403999</x:v>
      </x:c>
      <x:c r="C17" s="19" t="str">
        <x:v>A价×全部股份，非A/H实际合计</x:v>
      </x:c>
    </x:row>
    <x:row r="18">
      <x:c r="A18" s="19" t="str">
        <x:v>2026年前三季归母利润</x:v>
      </x:c>
      <x:c r="B18" s="165" t="n">
        <x:f>'Historical'!C8</x:f>
        <x:v>5.01225944147</x:v>
      </x:c>
      <x:c r="C18" s="19" t="str">
        <x:v>不直接年化</x:v>
      </x:c>
    </x:row>
    <x:row r="19">
      <x:c r="A19" s="19" t="str">
        <x:v>前三季简化自由现金流</x:v>
      </x:c>
      <x:c r="B19" s="165" t="n">
        <x:f>'Historical'!G8</x:f>
        <x:v>0.20070988181999994</x:v>
      </x:c>
      <x:c r="C19" s="19" t="str">
        <x:v>CFO−现金购建长期资产</x:v>
      </x:c>
    </x:row>
    <x:row r="20">
      <x:c r="A20" s="19" t="str">
        <x:v>融资净负担观察值</x:v>
      </x:c>
      <x:c r="B20" s="165" t="n">
        <x:f>'Balance &amp; Cash'!B15</x:f>
        <x:v>32.16101889704</x:v>
      </x:c>
      <x:c r="C20" s="19" t="str">
        <x:v>含长期应付款，详见资金表</x:v>
      </x:c>
    </x:row>
    <x:row r="21">
      <x:c r="A21" s="19" t="str">
        <x:v>当前P/B</x:v>
      </x:c>
      <x:c r="B21" s="166" t="n">
        <x:f>'Assumptions'!B9</x:f>
        <x:v>1.7432520458565672</x:v>
      </x:c>
      <x:c r="C21" s="19" t="str">
        <x:v>参考市值/归母净资产</x:v>
      </x:c>
    </x:row>
    <x:row r="22">
      <x:c r="A22" s="19" t="str">
        <x:v>Bear价值</x:v>
      </x:c>
      <x:c r="B22" s="167" t="n">
        <x:f>'Valuation'!H5</x:f>
        <x:v>16.380542789574783</x:v>
      </x:c>
      <x:c r="C22" s="19" t="str">
        <x:v>保守周期情景</x:v>
      </x:c>
    </x:row>
    <x:row r="23">
      <x:c r="A23" s="19" t="str">
        <x:v>Base价值</x:v>
      </x:c>
      <x:c r="B23" s="167" t="n">
        <x:f>'Valuation'!H6</x:f>
        <x:v>38.124977021234606</x:v>
      </x:c>
      <x:c r="C23" s="19" t="str">
        <x:v>正常化中枢</x:v>
      </x:c>
    </x:row>
    <x:row r="24">
      <x:c r="A24" s="19" t="str">
        <x:v>Bull价值</x:v>
      </x:c>
      <x:c r="B24" s="167" t="n">
        <x:f>'Valuation'!H7</x:f>
        <x:v>63.75135697393696</x:v>
      </x:c>
      <x:c r="C24" s="19" t="str">
        <x:v>高景气兑现</x:v>
      </x:c>
    </x:row>
    <x:row r="25">
      <x:c r="A25" s="22" t="str">
        <x:v>Base相对现价</x:v>
      </x:c>
      <x:c r="B25" s="168" t="n">
        <x:f>'Valuation'!I6</x:f>
        <x:v>-0.04711379602012977</x:v>
      </x:c>
      <x:c r="C25" s="22" t="str">
        <x:v>情景差异，不是收益保证</x:v>
      </x:c>
    </x:row>
    <x:row r="28">
      <x:c r="A28" s="25" t="str">
        <x:v>研究结论</x:v>
      </x:c>
      <x:c r="B28" s="26" t="str">
        <x:v>研究结论</x:v>
      </x:c>
      <x:c r="C28" s="26" t="str">
        <x:v>研究结论</x:v>
      </x:c>
      <x:c r="D28" s="26" t="str">
        <x:v>研究结论</x:v>
      </x:c>
      <x:c r="E28" s="26" t="str">
        <x:v>研究结论</x:v>
      </x:c>
      <x:c r="F28" s="26" t="str">
        <x:v>研究结论</x:v>
      </x:c>
      <x:c r="G28" s="26" t="str">
        <x:v>研究结论</x:v>
      </x:c>
      <x:c r="H28" s="27" t="str">
        <x:v>研究结论</x:v>
      </x:c>
    </x:row>
    <x:row r="29" ht="24" customHeight="1">
      <x:c r="A29" s="52" t="str">
        <x:v>Q3收入130.62亿元、扣非7.88亿元，较Q2下降约68%；毛利率降至20.2%。前三季现金购建支出下降，简化自由现金流转正2.01亿元，但融资净负担观察值上升。基准估值38.12元，较40.01元低4.7%，中性观察。</x:v>
      </x:c>
      <x:c r="B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29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0" ht="24" customHeight="1">
      <x:c r="A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0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1" ht="24" customHeight="1">
      <x:c r="A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1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2" ht="24" customHeight="1">
      <x:c r="A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2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3" ht="24" customHeight="1">
      <x:c r="A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3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4" ht="24" customHeight="1">
      <x:c r="A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4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5" ht="24" customHeight="1">
      <x:c r="A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5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  <x:row r="36" ht="24" customHeight="1">
      <x:c r="A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B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C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D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E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F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G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  <x:c r="H36" s="52" t="str">
        <x:v>赣锋拥有最完整的锂生态与最广的资源组合，2026H1锂产品收入和毛利率强劲反弹；但经营现金流仅13.28亿元、资本开支24.35亿元，库存升至151.5亿元，广义净债务约257亿元。50.52元高于Base约45.27元，价格已计入较多锂价与项目爬坡改善。</x:v>
      </x:c>
    </x:row>
  </x:sheetData>
  <x:mergeCells>
    <x:mergeCell ref="A1:H1"/>
    <x:mergeCell ref="A28:H28"/>
    <x:mergeCell ref="A29:H36"/>
  </x:mergeCells>
  <x:pageMargins left="0.7" right="0.7" top="0.75" bottom="0.75" header="0.3" footer="0.3"/>
  <x:drawing xmlns:r="http://schemas.openxmlformats.org/officeDocument/2006/relationships" r:id="R31fa452b9d774af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  <x:c r="H1" s="3" t="str">
        <x:v>历史财务与盈利质量</x:v>
      </x:c>
      <x:c r="I1" s="3" t="str">
        <x:v>历史财务与盈利质量</x:v>
      </x:c>
    </x:row>
    <x:row r="3">
      <x:c r="A3" s="55" t="str">
        <x:v>期间</x:v>
      </x:c>
      <x:c r="B3" s="56" t="str">
        <x:v>营业收入</x:v>
      </x:c>
      <x:c r="C3" s="56" t="str">
        <x:v>归母净利润</x:v>
      </x:c>
      <x:c r="D3" s="56" t="str">
        <x:v>扣非归母</x:v>
      </x:c>
      <x:c r="E3" s="56" t="str">
        <x:v>经营现金流</x:v>
      </x:c>
      <x:c r="F3" s="56" t="str">
        <x:v>现金购建长期资产</x:v>
      </x:c>
      <x:c r="G3" s="56" t="str">
        <x:v>简化自由现金流</x:v>
      </x:c>
      <x:c r="H3" s="56" t="str">
        <x:v>基本EPS</x:v>
      </x:c>
      <x:c r="I3" s="57" t="str">
        <x:v>审计状态</x:v>
      </x:c>
    </x:row>
    <x:row r="4">
      <x:c r="A4" s="16" t="str">
        <x:v>2023A</x:v>
      </x:c>
      <x:c r="B4" s="176" t="n">
        <x:v>32.97168016996</x:v>
      </x:c>
      <x:c r="C4" s="176" t="n">
        <x:v>4.94680950379</x:v>
      </x:c>
      <x:c r="D4" s="176" t="n">
        <x:v>2.67592615258</x:v>
      </x:c>
      <x:c r="E4" s="176" t="n">
        <x:v>0.14648069321</x:v>
      </x:c>
      <x:c r="F4" s="176"/>
      <x:c r="G4" s="177" t="str">
        <x:f>IF(OR(ISBLANK(E4),ISBLANK(F4)),"n.a.",E4-F4)</x:f>
        <x:v>n.a.</x:v>
      </x:c>
      <x:c r="H4" s="66" t="n">
        <x:v>2.46</x:v>
      </x:c>
      <x:c r="I4" s="16" t="str">
        <x:v>CAS经审计</x:v>
      </x:c>
    </x:row>
    <x:row r="5">
      <x:c r="A5" s="19" t="str">
        <x:v>2024A</x:v>
      </x:c>
      <x:c r="B5" s="178" t="n">
        <x:v>18.90640294011</x:v>
      </x:c>
      <x:c r="C5" s="178" t="n">
        <x:v>-2.07401339207</x:v>
      </x:c>
      <x:c r="D5" s="178" t="n">
        <x:v>-0.88730905928</x:v>
      </x:c>
      <x:c r="E5" s="178" t="n">
        <x:v>5.16127199989</x:v>
      </x:c>
      <x:c r="F5" s="178" t="n">
        <x:v>9.22113347214</x:v>
      </x:c>
      <x:c r="G5" s="179" t="n">
        <x:f>IF(OR(ISBLANK(E5),ISBLANK(F5)),"n.a.",E5-F5)</x:f>
        <x:v>-4.05986147225</x:v>
      </x:c>
      <x:c r="H5" s="68" t="n">
        <x:v>-1.03</x:v>
      </x:c>
      <x:c r="I5" s="19" t="str">
        <x:v>CAS经审计</x:v>
      </x:c>
    </x:row>
    <x:row r="6">
      <x:c r="A6" s="19" t="str">
        <x:v>2025A</x:v>
      </x:c>
      <x:c r="B6" s="178" t="n">
        <x:v>23.08173274632</x:v>
      </x:c>
      <x:c r="C6" s="178" t="n">
        <x:v>1.61298099334</x:v>
      </x:c>
      <x:c r="D6" s="178" t="n">
        <x:v>-0.38543634945</x:v>
      </x:c>
      <x:c r="E6" s="178" t="n">
        <x:v>2.94484462719</x:v>
      </x:c>
      <x:c r="F6" s="178" t="n">
        <x:v>7.42173939218</x:v>
      </x:c>
      <x:c r="G6" s="179" t="n">
        <x:f>IF(OR(ISBLANK(E6),ISBLANK(F6)),"n.a.",E6-F6)</x:f>
        <x:v>-4.47689476499</x:v>
      </x:c>
      <x:c r="H6" s="68" t="n">
        <x:v>0.8</x:v>
      </x:c>
      <x:c r="I6" s="19" t="str">
        <x:v>CAS经审计</x:v>
      </x:c>
    </x:row>
    <x:row r="7">
      <x:c r="A7" s="77" t="str">
        <x:v>2026H1</x:v>
      </x:c>
      <x:c r="B7" s="180" t="n">
        <x:v>23.09694542505</x:v>
      </x:c>
      <x:c r="C7" s="180" t="n">
        <x:v>4.2571648421</x:v>
      </x:c>
      <x:c r="D7" s="180" t="n">
        <x:v>3.84822572039</x:v>
      </x:c>
      <x:c r="E7" s="180" t="n">
        <x:v>1.3282460069</x:v>
      </x:c>
      <x:c r="F7" s="180" t="n">
        <x:v>1.8006390221</x:v>
      </x:c>
      <x:c r="G7" s="181" t="n">
        <x:f>IF(OR(ISBLANK(E7),ISBLANK(F7)),"n.a.",E7-F7)</x:f>
        <x:v>-0.4723930152</x:v>
      </x:c>
      <x:c r="H7" s="79" t="n">
        <x:v>2.04</x:v>
      </x:c>
      <x:c r="I7" s="77" t="str">
        <x:v>CAS未经审计</x:v>
      </x:c>
    </x:row>
    <x:row r="8">
      <x:c r="A8" s="184" t="str">
        <x:v>2026年前三季</x:v>
      </x:c>
      <x:c r="B8" s="185" t="n">
        <x:v>36.15873215829</x:v>
      </x:c>
      <x:c r="C8" s="185" t="n">
        <x:v>5.01225944147</x:v>
      </x:c>
      <x:c r="D8" s="185" t="n">
        <x:v>4.63586949431</x:v>
      </x:c>
      <x:c r="E8" s="185" t="n">
        <x:v>2.29470347516</x:v>
      </x:c>
      <x:c r="F8" s="185" t="n">
        <x:v>2.09399359334</x:v>
      </x:c>
      <x:c r="G8" s="186" t="n">
        <x:f>IF(OR(ISBLANK(E8),ISBLANK(F8)),"n.a.",E8-F8)</x:f>
        <x:v>0.20070988181999994</x:v>
      </x:c>
      <x:c r="H8" s="187" t="n">
        <x:v>2.4</x:v>
      </x:c>
      <x:c r="I8" s="184" t="str">
        <x:v>CAS未经审计</x:v>
      </x:c>
    </x:row>
    <x:row r="10">
      <x:c r="A10" s="25" t="str">
        <x:v>指标</x:v>
      </x:c>
      <x:c r="B10" s="26" t="str">
        <x:v>2023A</x:v>
      </x:c>
      <x:c r="C10" s="26" t="str">
        <x:v>2024A</x:v>
      </x:c>
      <x:c r="D10" s="26" t="str">
        <x:v>2025A</x:v>
      </x:c>
      <x:c r="E10" s="26" t="str">
        <x:v>2026H1</x:v>
      </x:c>
      <x:c r="F10" s="26" t="str">
        <x:v>2026年前三季</x:v>
      </x:c>
      <x:c r="G10" s="26"/>
      <x:c r="H10" s="26"/>
      <x:c r="I10" s="27"/>
    </x:row>
    <x:row r="11">
      <x:c r="A11" s="16" t="str">
        <x:v>归母净利率</x:v>
      </x:c>
      <x:c r="B11" s="194" t="n">
        <x:f>C4/B4</x:f>
        <x:v>0.15003207232056567</x:v>
      </x:c>
      <x:c r="C11" s="194" t="n">
        <x:f>C5/B5</x:f>
        <x:v>-0.1096989944961965</x:v>
      </x:c>
      <x:c r="D11" s="194" t="n">
        <x:f>C6/B6</x:f>
        <x:v>0.06988127845805524</x:v>
      </x:c>
      <x:c r="E11" s="194" t="n">
        <x:f>C7/B7</x:f>
        <x:v>0.18431722306807088</x:v>
      </x:c>
      <x:c r="F11" s="194" t="n">
        <x:f>C8/B8</x:f>
        <x:v>0.13861822974124538</x:v>
      </x:c>
    </x:row>
    <x:row r="12">
      <x:c r="A12" s="19" t="str">
        <x:v>CFO/归母净利润</x:v>
      </x:c>
      <x:c r="B12" s="195" t="n">
        <x:f>E4/C4</x:f>
        <x:v>0.029611144940546785</x:v>
      </x:c>
      <x:c r="C12" s="195" t="n">
        <x:f>E5/C5</x:f>
        <x:v>-2.488543236810403</x:v>
      </x:c>
      <x:c r="D12" s="195" t="n">
        <x:f>E6/C6</x:f>
        <x:v>1.8257156403883656</x:v>
      </x:c>
      <x:c r="E12" s="195" t="n">
        <x:f>E7/C7</x:f>
        <x:v>0.31200248432118377</x:v>
      </x:c>
      <x:c r="F12" s="195" t="n">
        <x:f>E8/C8</x:f>
        <x:v>0.4578181760054717</x:v>
      </x:c>
    </x:row>
    <x:row r="13">
      <x:c r="A13" s="22" t="str">
        <x:v>资本开支/CFO</x:v>
      </x:c>
      <x:c r="B13" s="196" t="str">
        <x:f>IF(OR(ISBLANK(F4),E4=0),"n.a.",F4/E4)</x:f>
        <x:v>n.a.</x:v>
      </x:c>
      <x:c r="C13" s="196" t="n">
        <x:f>IF(OR(ISBLANK(F5),E5=0),"n.a.",F5/E5)</x:f>
        <x:v>1.786600952698584</x:v>
      </x:c>
      <x:c r="D13" s="196" t="n">
        <x:f>IF(OR(ISBLANK(F6),E6=0),"n.a.",F6/E6)</x:f>
        <x:v>2.5202482072074197</x:v>
      </x:c>
      <x:c r="E13" s="196" t="n">
        <x:f>IF(OR(ISBLANK(F7),E7=0),"n.a.",F7/E7)</x:f>
        <x:v>1.3556517488070756</x:v>
      </x:c>
      <x:c r="F13" s="196" t="n">
        <x:f>IF(OR(ISBLANK(F8),E8=0),"n.a.",F8/E8)</x:f>
        <x:v>0.9125334127077115</x:v>
      </x:c>
    </x:row>
    <x:row r="15" ht="38" customHeight="1">
      <x:c r="A15" s="198" t="str">
        <x:v>金额人民币十亿元。年度统一为CAS；2023现金购建未补齐。资本新增额与现金支出分开。</x:v>
      </x:c>
      <x:c r="B15" s="198"/>
      <x:c r="C15" s="198"/>
      <x:c r="D15" s="198"/>
      <x:c r="E15" s="198"/>
      <x:c r="F15" s="198"/>
      <x:c r="G15" s="198"/>
      <x:c r="H15" s="198"/>
      <x:c r="I15" s="198"/>
    </x:row>
    <x:row r="17" ht="36" customHeight="1">
      <x:c r="A17" s="211" t="str">
        <x:v>季度计算</x:v>
      </x:c>
      <x:c r="B17" s="211" t="str">
        <x:v>营业收入</x:v>
      </x:c>
      <x:c r="C17" s="211" t="str">
        <x:v>归母利润</x:v>
      </x:c>
      <x:c r="D17" s="211" t="str">
        <x:v>扣非归母</x:v>
      </x:c>
      <x:c r="E17" s="211" t="str">
        <x:v>经营现金流</x:v>
      </x:c>
      <x:c r="F17" s="211" t="str">
        <x:v>现金购建</x:v>
      </x:c>
      <x:c r="G17" s="211" t="str">
        <x:v>简化自由现金流</x:v>
      </x:c>
      <x:c r="H17" s="211" t="str">
        <x:v>毛利率</x:v>
      </x:c>
      <x:c r="I17" s="211" t="str">
        <x:v>扣非净利率</x:v>
      </x:c>
    </x:row>
    <x:row r="18" ht="25" customHeight="1">
      <x:c r="A18" s="212" t="str">
        <x:v>2026Q1</x:v>
      </x:c>
      <x:c r="B18" s="251" t="n">
        <x:v>9.19615831822</x:v>
      </x:c>
      <x:c r="C18" s="251" t="n">
        <x:v>1.83727497124</x:v>
      </x:c>
      <x:c r="D18" s="251" t="n">
        <x:v>1.41884433093</x:v>
      </x:c>
      <x:c r="E18" s="251" t="n">
        <x:v>0.78653707609</x:v>
      </x:c>
      <x:c r="F18" s="251" t="n">
        <x:v>0.82315853509</x:v>
      </x:c>
      <x:c r="G18" s="214" t="n">
        <x:f>E18-F18</x:f>
        <x:v>-0.03662145900000002</x:v>
      </x:c>
      <x:c r="H18" s="252" t="n">
        <x:f>1-B25/B18</x:f>
        <x:v>0.29718673002891416</x:v>
      </x:c>
      <x:c r="I18" s="252" t="n">
        <x:f>D18/B18</x:f>
        <x:v>0.15428663598786654</x:v>
      </x:c>
    </x:row>
    <x:row r="19" ht="25" customHeight="1">
      <x:c r="A19" s="212" t="str">
        <x:v>2026Q2</x:v>
      </x:c>
      <x:c r="B19" s="214" t="n">
        <x:f>B7-B18</x:f>
        <x:v>13.900787106829998</x:v>
      </x:c>
      <x:c r="C19" s="214" t="n">
        <x:f>C7-C18</x:f>
        <x:v>2.4198898708599996</x:v>
      </x:c>
      <x:c r="D19" s="214" t="n">
        <x:f>D7-D18</x:f>
        <x:v>2.4293813894599996</x:v>
      </x:c>
      <x:c r="E19" s="214" t="n">
        <x:f>E7-E18</x:f>
        <x:v>0.5417089308099999</x:v>
      </x:c>
      <x:c r="F19" s="214" t="n">
        <x:f>F7-F18</x:f>
        <x:v>0.9774804870099999</x:v>
      </x:c>
      <x:c r="G19" s="214" t="n">
        <x:f>E19-F19</x:f>
        <x:v>-0.43577155619999997</x:v>
      </x:c>
      <x:c r="H19" s="252" t="n">
        <x:f>1-(C25-B25)/B19</x:f>
        <x:v>0.3269317580928245</x:v>
      </x:c>
      <x:c r="I19" s="252" t="n">
        <x:f>D19/B19</x:f>
        <x:v>0.1747657431762515</x:v>
      </x:c>
    </x:row>
    <x:row r="20" ht="25" customHeight="1">
      <x:c r="A20" s="212" t="str">
        <x:v>2026Q3</x:v>
      </x:c>
      <x:c r="B20" s="214" t="n">
        <x:f>B8-B7</x:f>
        <x:v>13.061786733240002</x:v>
      </x:c>
      <x:c r="C20" s="214" t="n">
        <x:f>C8-C7</x:f>
        <x:v>0.7550945993700005</x:v>
      </x:c>
      <x:c r="D20" s="214" t="n">
        <x:f>D8-D7</x:f>
        <x:v>0.7876437739199997</x:v>
      </x:c>
      <x:c r="E20" s="214" t="n">
        <x:f>E8-E7</x:f>
        <x:v>0.96645746826</x:v>
      </x:c>
      <x:c r="F20" s="214" t="n">
        <x:f>F8-F7</x:f>
        <x:v>0.2933545712400001</x:v>
      </x:c>
      <x:c r="G20" s="214" t="n">
        <x:f>E20-F20</x:f>
        <x:v>0.6731028970199999</x:v>
      </x:c>
      <x:c r="H20" s="252" t="n">
        <x:f>1-(D25-C25)/B20</x:f>
        <x:v>0.20171908868905808</x:v>
      </x:c>
      <x:c r="I20" s="252" t="n">
        <x:f>D20/B20</x:f>
        <x:v>0.060301380661466605</x:v>
      </x:c>
    </x:row>
    <x:row r="21" ht="25" customHeight="1">
      <x:c r="A21" s="212"/>
      <x:c r="B21" s="212"/>
      <x:c r="C21" s="212"/>
      <x:c r="D21" s="212"/>
      <x:c r="E21" s="212"/>
      <x:c r="F21" s="212"/>
      <x:c r="G21" s="212"/>
      <x:c r="H21" s="212"/>
      <x:c r="I21" s="212"/>
    </x:row>
    <x:row r="22" ht="25" customHeight="1">
      <x:c r="A22" s="212"/>
      <x:c r="B22" s="212"/>
      <x:c r="C22" s="212"/>
      <x:c r="D22" s="212"/>
      <x:c r="E22" s="212"/>
      <x:c r="F22" s="212"/>
      <x:c r="G22" s="212"/>
      <x:c r="H22" s="212"/>
      <x:c r="I22" s="212"/>
    </x:row>
    <x:row r="23" ht="25" customHeight="1">
      <x:c r="A23" s="212"/>
      <x:c r="B23" s="212"/>
      <x:c r="C23" s="212"/>
      <x:c r="D23" s="212"/>
      <x:c r="E23" s="212"/>
      <x:c r="F23" s="212"/>
      <x:c r="G23" s="212"/>
      <x:c r="H23" s="212"/>
      <x:c r="I23" s="212"/>
    </x:row>
    <x:row r="24" ht="25" customHeight="1">
      <x:c r="A24" s="211" t="str">
        <x:v>累计损益输入</x:v>
      </x:c>
      <x:c r="B24" s="211" t="str">
        <x:v>2026Q1</x:v>
      </x:c>
      <x:c r="C24" s="211" t="str">
        <x:v>2026H1</x:v>
      </x:c>
      <x:c r="D24" s="211" t="str">
        <x:v>2026年前三季</x:v>
      </x:c>
      <x:c r="E24" s="212"/>
      <x:c r="F24" s="212"/>
      <x:c r="G24" s="212"/>
      <x:c r="H24" s="212"/>
      <x:c r="I24" s="212"/>
    </x:row>
    <x:row r="25" ht="25" customHeight="1">
      <x:c r="A25" s="212" t="str">
        <x:v>营业成本</x:v>
      </x:c>
      <x:c r="B25" s="251" t="n">
        <x:v>6.4631820988</x:v>
      </x:c>
      <x:c r="C25" s="251" t="n">
        <x:v>15.81936043792</x:v>
      </x:c>
      <x:c r="D25" s="251" t="n">
        <x:v>26.24633545468</x:v>
      </x:c>
      <x:c r="E25" s="212"/>
      <x:c r="F25" s="212"/>
      <x:c r="G25" s="212"/>
      <x:c r="H25" s="212"/>
      <x:c r="I25" s="212"/>
    </x:row>
    <x:row r="26" ht="25" customHeight="1">
      <x:c r="A26" s="212" t="str">
        <x:v>所得税费用</x:v>
      </x:c>
      <x:c r="B26" s="251" t="n">
        <x:v>0.32144859571</x:v>
      </x:c>
      <x:c r="C26" s="251" t="n">
        <x:v>1.7699099345</x:v>
      </x:c>
      <x:c r="D26" s="251" t="n">
        <x:v>2.24703943057</x:v>
      </x:c>
      <x:c r="E26" s="212"/>
      <x:c r="F26" s="212"/>
      <x:c r="G26" s="212"/>
      <x:c r="H26" s="212"/>
      <x:c r="I26" s="212"/>
    </x:row>
    <x:row r="27" ht="25" customHeight="1">
      <x:c r="A27" s="212" t="str">
        <x:v>利润总额</x:v>
      </x:c>
      <x:c r="B27" s="251" t="n">
        <x:v>2.24353283615</x:v>
      </x:c>
      <x:c r="C27" s="251" t="n">
        <x:v>6.20114714687</x:v>
      </x:c>
      <x:c r="D27" s="251" t="n">
        <x:v>7.74660656664</x:v>
      </x:c>
      <x:c r="E27" s="212"/>
      <x:c r="F27" s="212"/>
      <x:c r="G27" s="212"/>
      <x:c r="H27" s="212"/>
      <x:c r="I27" s="212"/>
    </x:row>
    <x:row r="28" ht="25" customHeight="1">
      <x:c r="A28" s="212" t="str">
        <x:v>合并净利润</x:v>
      </x:c>
      <x:c r="B28" s="251" t="n">
        <x:v>1.92208424044</x:v>
      </x:c>
      <x:c r="C28" s="251" t="n">
        <x:v>4.43123721237</x:v>
      </x:c>
      <x:c r="D28" s="251" t="n">
        <x:v>5.49956713607</x:v>
      </x:c>
      <x:c r="E28" s="212"/>
      <x:c r="F28" s="212"/>
      <x:c r="G28" s="212"/>
      <x:c r="H28" s="212"/>
      <x:c r="I28" s="212"/>
    </x:row>
    <x:row r="29" ht="25" customHeight="1">
      <x:c r="A29" s="212" t="str">
        <x:v>投资收益</x:v>
      </x:c>
      <x:c r="B29" s="251" t="n">
        <x:v>0.31704844054</x:v>
      </x:c>
      <x:c r="C29" s="251" t="n">
        <x:v>1.13013780104</x:v>
      </x:c>
      <x:c r="D29" s="251" t="n">
        <x:v>1.30953588874</x:v>
      </x:c>
      <x:c r="E29" s="212"/>
      <x:c r="F29" s="212"/>
      <x:c r="G29" s="212"/>
      <x:c r="H29" s="212"/>
      <x:c r="I29" s="212"/>
    </x:row>
    <x:row r="30" ht="25" customHeight="1">
      <x:c r="A30" s="212" t="str">
        <x:v>联营合营收益</x:v>
      </x:c>
      <x:c r="B30" s="251" t="n">
        <x:v>0.18904780105</x:v>
      </x:c>
      <x:c r="C30" s="251" t="n">
        <x:v>0.62551826677</x:v>
      </x:c>
      <x:c r="D30" s="251" t="n">
        <x:v>0.82565481927</x:v>
      </x:c>
      <x:c r="E30" s="212"/>
      <x:c r="F30" s="212"/>
      <x:c r="G30" s="212"/>
      <x:c r="H30" s="212"/>
      <x:c r="I30" s="212"/>
    </x:row>
    <x:row r="31" ht="25" customHeight="1">
      <x:c r="A31" s="212"/>
      <x:c r="B31" s="212"/>
      <x:c r="C31" s="212"/>
      <x:c r="D31" s="212"/>
      <x:c r="E31" s="212"/>
      <x:c r="F31" s="212"/>
      <x:c r="G31" s="212"/>
      <x:c r="H31" s="212"/>
      <x:c r="I31" s="212"/>
    </x:row>
    <x:row r="32" ht="25" customHeight="1">
      <x:c r="A32" s="212"/>
      <x:c r="B32" s="212"/>
      <x:c r="C32" s="212"/>
      <x:c r="D32" s="212"/>
      <x:c r="E32" s="212"/>
      <x:c r="F32" s="212"/>
      <x:c r="G32" s="212"/>
      <x:c r="H32" s="212"/>
      <x:c r="I32" s="212"/>
    </x:row>
    <x:row r="33" ht="25" customHeight="1">
      <x:c r="A33" s="211" t="str">
        <x:v>TTM可比输入</x:v>
      </x:c>
      <x:c r="B33" s="211" t="str">
        <x:v>2025全年</x:v>
      </x:c>
      <x:c r="C33" s="211" t="str">
        <x:v>2025前三季</x:v>
      </x:c>
      <x:c r="D33" s="211" t="str">
        <x:v>2026前三季</x:v>
      </x:c>
      <x:c r="E33" s="212"/>
      <x:c r="F33" s="212"/>
      <x:c r="G33" s="212"/>
      <x:c r="H33" s="212"/>
      <x:c r="I33" s="212"/>
    </x:row>
    <x:row r="34" ht="25" customHeight="1">
      <x:c r="A34" s="212" t="str">
        <x:v>营业收入</x:v>
      </x:c>
      <x:c r="B34" s="214" t="n">
        <x:f>B6</x:f>
        <x:v>23.08173274632</x:v>
      </x:c>
      <x:c r="C34" s="213" t="n">
        <x:v>14.62479850334</x:v>
      </x:c>
      <x:c r="D34" s="214" t="n">
        <x:f>B8</x:f>
        <x:v>36.15873215829</x:v>
      </x:c>
      <x:c r="E34" s="212"/>
      <x:c r="F34" s="212"/>
      <x:c r="G34" s="212"/>
      <x:c r="H34" s="212"/>
      <x:c r="I34" s="212"/>
    </x:row>
    <x:row r="35" ht="25" customHeight="1">
      <x:c r="A35" s="212" t="str">
        <x:v>归母利润</x:v>
      </x:c>
      <x:c r="B35" s="214" t="n">
        <x:f>C6</x:f>
        <x:v>1.61298099334</x:v>
      </x:c>
      <x:c r="C35" s="213" t="n">
        <x:v>0.02552001732</x:v>
      </x:c>
      <x:c r="D35" s="214" t="n">
        <x:f>C8</x:f>
        <x:v>5.01225944147</x:v>
      </x:c>
      <x:c r="E35" s="212"/>
      <x:c r="F35" s="212"/>
      <x:c r="G35" s="212"/>
      <x:c r="H35" s="212"/>
      <x:c r="I35" s="212"/>
    </x:row>
    <x:row r="36" ht="25" customHeight="1">
      <x:c r="A36" s="212" t="str">
        <x:v>扣非归母</x:v>
      </x:c>
      <x:c r="B36" s="214" t="n">
        <x:f>D6</x:f>
        <x:v>-0.38543634945</x:v>
      </x:c>
      <x:c r="C36" s="213" t="n">
        <x:v>-0.94198029041</x:v>
      </x:c>
      <x:c r="D36" s="214" t="n">
        <x:f>D8</x:f>
        <x:v>4.63586949431</x:v>
      </x:c>
      <x:c r="E36" s="212"/>
      <x:c r="F36" s="212"/>
      <x:c r="G36" s="212"/>
      <x:c r="H36" s="212"/>
      <x:c r="I36" s="212"/>
    </x:row>
    <x:row r="37" ht="25" customHeight="1">
      <x:c r="A37" s="212"/>
      <x:c r="B37" s="212"/>
      <x:c r="C37" s="212"/>
      <x:c r="D37" s="212"/>
      <x:c r="E37" s="212"/>
      <x:c r="F37" s="212"/>
      <x:c r="G37" s="212"/>
      <x:c r="H37" s="212"/>
      <x:c r="I37" s="212"/>
    </x:row>
    <x:row r="38" ht="40" customHeight="1">
      <x:c r="A38" s="253" t="str">
        <x:v>2025前三季扣非由年报前三个季度相加。Q2/Q3由累计数相减，不使用新闻中的混合期间。</x:v>
      </x:c>
      <x:c r="B38" s="253"/>
      <x:c r="C38" s="253"/>
      <x:c r="D38" s="253"/>
      <x:c r="E38" s="253"/>
      <x:c r="F38" s="253"/>
      <x:c r="G38" s="253"/>
      <x:c r="H38" s="253"/>
      <x:c r="I38" s="253"/>
    </x:row>
  </x:sheetData>
  <x:mergeCells>
    <x:mergeCell ref="A1:I1"/>
    <x:mergeCell ref="A15:I15"/>
    <x:mergeCell ref="A38:I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</x:cols>
  <x:sheetData>
    <x:row r="1" ht="30" customHeight="1">
      <x:c r="A1" s="3" t="str">
        <x:v>赣锋锂业运营驱动与资产结构</x:v>
      </x:c>
      <x:c r="B1" s="3" t="str">
        <x:v>赣锋锂业运营驱动与资产结构</x:v>
      </x:c>
      <x:c r="C1" s="3" t="str">
        <x:v>赣锋锂业运营驱动与资产结构</x:v>
      </x:c>
      <x:c r="D1" s="3" t="str">
        <x:v>赣锋锂业运营驱动与资产结构</x:v>
      </x:c>
      <x:c r="E1" s="3" t="str">
        <x:v>赣锋锂业运营驱动与资产结构</x:v>
      </x:c>
      <x:c r="F1" s="3" t="str">
        <x:v>赣锋锂业运营驱动与资产结构</x:v>
      </x:c>
    </x:row>
    <x:row r="3">
      <x:c r="A3" s="25" t="str">
        <x:v>指标</x:v>
      </x:c>
      <x:c r="B3" s="26" t="str">
        <x:v>期间</x:v>
      </x:c>
      <x:c r="C3" s="26" t="str">
        <x:v>数值</x:v>
      </x:c>
      <x:c r="D3" s="26" t="str">
        <x:v>单位</x:v>
      </x:c>
      <x:c r="E3" s="26" t="str">
        <x:v>研究观察</x:v>
      </x:c>
      <x:c r="F3" s="27" t="str">
        <x:v>来源性质</x:v>
      </x:c>
    </x:row>
    <x:row r="4">
      <x:c r="A4" s="16" t="str">
        <x:v>锂系列产品产量</x:v>
      </x:c>
      <x:c r="B4" s="16" t="str">
        <x:v>2025A</x:v>
      </x:c>
      <x:c r="C4" s="84" t="n">
        <x:v>182.419</x:v>
      </x:c>
      <x:c r="D4" s="16" t="str">
        <x:v>千吨LCE</x:v>
      </x:c>
      <x:c r="E4" s="16" t="str">
        <x:v>全球多资源路径；产能爬坡</x:v>
      </x:c>
      <x:c r="F4" s="16" t="str">
        <x:v>公司披露</x:v>
      </x:c>
    </x:row>
    <x:row r="5">
      <x:c r="A5" s="19" t="str">
        <x:v>锂系列产品销量</x:v>
      </x:c>
      <x:c r="B5" s="19" t="str">
        <x:v>2025A</x:v>
      </x:c>
      <x:c r="C5" s="85" t="n">
        <x:v>184.829</x:v>
      </x:c>
      <x:c r="D5" s="19" t="str">
        <x:v>千吨LCE</x:v>
      </x:c>
      <x:c r="E5" s="19" t="str">
        <x:v>2025年收入128.76亿元</x:v>
      </x:c>
      <x:c r="F5" s="19" t="str">
        <x:v>公司披露</x:v>
      </x:c>
    </x:row>
    <x:row r="6">
      <x:c r="A6" s="19" t="str">
        <x:v>动力/储能电池产量</x:v>
      </x:c>
      <x:c r="B6" s="19" t="str">
        <x:v>2025A</x:v>
      </x:c>
      <x:c r="C6" s="85" t="n">
        <x:v>26.996</x:v>
      </x:c>
      <x:c r="D6" s="19" t="str">
        <x:v>GWh</x:v>
      </x:c>
      <x:c r="E6" s="19" t="str">
        <x:v>产量显著高于销量，关注库存</x:v>
      </x:c>
      <x:c r="F6" s="19" t="str">
        <x:v>公司披露</x:v>
      </x:c>
    </x:row>
    <x:row r="7">
      <x:c r="A7" s="19" t="str">
        <x:v>动力/储能电池销量</x:v>
      </x:c>
      <x:c r="B7" s="19" t="str">
        <x:v>2025A</x:v>
      </x:c>
      <x:c r="C7" s="85" t="n">
        <x:v>17.818</x:v>
      </x:c>
      <x:c r="D7" s="19" t="str">
        <x:v>GWh</x:v>
      </x:c>
      <x:c r="E7" s="19" t="str">
        <x:v>收入60.25亿元</x:v>
      </x:c>
      <x:c r="F7" s="19" t="str">
        <x:v>公司披露</x:v>
      </x:c>
    </x:row>
    <x:row r="8">
      <x:c r="A8" s="19" t="str">
        <x:v>锂系列产品收入</x:v>
      </x:c>
      <x:c r="B8" s="19" t="str">
        <x:v>2026H1</x:v>
      </x:c>
      <x:c r="C8" s="85" t="n">
        <x:v>14.197</x:v>
      </x:c>
      <x:c r="D8" s="19" t="str">
        <x:v>RMB bn</x:v>
      </x:c>
      <x:c r="E8" s="19" t="str">
        <x:v>毛利率42.44%</x:v>
      </x:c>
      <x:c r="F8" s="19" t="str">
        <x:v>公司披露</x:v>
      </x:c>
    </x:row>
    <x:row r="9">
      <x:c r="A9" s="19" t="str">
        <x:v>锂电池收入</x:v>
      </x:c>
      <x:c r="B9" s="19" t="str">
        <x:v>2026H1</x:v>
      </x:c>
      <x:c r="C9" s="85" t="n">
        <x:v>7.831</x:v>
      </x:c>
      <x:c r="D9" s="19" t="str">
        <x:v>RMB bn</x:v>
      </x:c>
      <x:c r="E9" s="19" t="str">
        <x:v>毛利率12.43%</x:v>
      </x:c>
      <x:c r="F9" s="19" t="str">
        <x:v>公司披露</x:v>
      </x:c>
    </x:row>
    <x:row r="10">
      <x:c r="A10" s="19" t="str">
        <x:v>Cauchari-Olaroz产量</x:v>
      </x:c>
      <x:c r="B10" s="19" t="str">
        <x:v>2025A</x:v>
      </x:c>
      <x:c r="C10" s="85" t="n">
        <x:v>34.1</x:v>
      </x:c>
      <x:c r="D10" s="19" t="str">
        <x:v>千吨</x:v>
      </x:c>
      <x:c r="E10" s="19" t="str">
        <x:v>一期4万吨；2026指引3.5-4万吨</x:v>
      </x:c>
      <x:c r="F10" s="19" t="str">
        <x:v>公司披露</x:v>
      </x:c>
    </x:row>
    <x:row r="11">
      <x:c r="A11" s="19" t="str">
        <x:v>Goulamina精矿产量</x:v>
      </x:c>
      <x:c r="B11" s="19" t="str">
        <x:v>2025A</x:v>
      </x:c>
      <x:c r="C11" s="85" t="n">
        <x:v>336.6</x:v>
      </x:c>
      <x:c r="D11" s="19" t="str">
        <x:v>千吨</x:v>
      </x:c>
      <x:c r="E11" s="19" t="str">
        <x:v>马里项目；65%权益，地缘风险</x:v>
      </x:c>
      <x:c r="F11" s="19" t="str">
        <x:v>公司披露</x:v>
      </x:c>
    </x:row>
    <x:row r="12">
      <x:c r="A12" s="19" t="str">
        <x:v>资本新增（非现金支出）</x:v>
      </x:c>
      <x:c r="B12" s="19" t="str">
        <x:v>2026H1</x:v>
      </x:c>
      <x:c r="C12" s="85" t="n">
        <x:v>2.435</x:v>
      </x:c>
      <x:c r="D12" s="19" t="str">
        <x:v>RMB bn</x:v>
      </x:c>
      <x:c r="E12" s="19" t="str">
        <x:v>IFRS新增资产口径，不能直接减CFO</x:v>
      </x:c>
      <x:c r="F12" s="19" t="str">
        <x:v>公司披露</x:v>
      </x:c>
    </x:row>
    <x:row r="13">
      <x:c r="A13" s="22" t="str">
        <x:v>库存</x:v>
      </x:c>
      <x:c r="B13" s="22" t="str">
        <x:v>2026H1</x:v>
      </x:c>
      <x:c r="C13" s="86" t="n">
        <x:v>15.15</x:v>
      </x:c>
      <x:c r="D13" s="22" t="str">
        <x:v>RMB bn</x:v>
      </x:c>
      <x:c r="E13" s="22" t="str">
        <x:v>半年增加21.48亿元</x:v>
      </x:c>
      <x:c r="F13" s="22" t="str">
        <x:v>公司披露</x:v>
      </x:c>
    </x:row>
    <x:row r="16" ht="30" customHeight="1">
      <x:c r="A16" s="211" t="str">
        <x:v>最新季度比较</x:v>
      </x:c>
      <x:c r="B16" s="211" t="str">
        <x:v>2026Q2</x:v>
      </x:c>
      <x:c r="C16" s="211" t="str">
        <x:v>2026Q3</x:v>
      </x:c>
      <x:c r="D16" s="211" t="str">
        <x:v>环比</x:v>
      </x:c>
      <x:c r="E16" s="211" t="str">
        <x:v>研究观察</x:v>
      </x:c>
      <x:c r="F16" s="211" t="str">
        <x:v>性质</x:v>
      </x:c>
    </x:row>
    <x:row r="17" ht="30" customHeight="1">
      <x:c r="A17" s="212" t="str">
        <x:v>营业收入</x:v>
      </x:c>
      <x:c r="B17" s="254" t="n">
        <x:f>'Historical'!B19</x:f>
        <x:v>13.900787106829998</x:v>
      </x:c>
      <x:c r="C17" s="254" t="n">
        <x:f>'Historical'!B20</x:f>
        <x:v>13.061786733240002</x:v>
      </x:c>
      <x:c r="D17" s="252" t="n">
        <x:f>C17/B17-1</x:f>
        <x:v>-0.060356321346563435</x:v>
      </x:c>
      <x:c r="E17" s="212"/>
      <x:c r="F17" s="212"/>
    </x:row>
    <x:row r="18" ht="30" customHeight="1">
      <x:c r="A18" s="212" t="str">
        <x:v>归母利润</x:v>
      </x:c>
      <x:c r="B18" s="254" t="n">
        <x:f>'Historical'!C19</x:f>
        <x:v>2.4198898708599996</x:v>
      </x:c>
      <x:c r="C18" s="254" t="n">
        <x:f>'Historical'!C20</x:f>
        <x:v>0.7550945993700005</x:v>
      </x:c>
      <x:c r="D18" s="252" t="n">
        <x:f>C18/B18-1</x:f>
        <x:v>-0.6879632381362674</x:v>
      </x:c>
      <x:c r="E18" s="212"/>
      <x:c r="F18" s="212"/>
    </x:row>
    <x:row r="19" ht="30" customHeight="1">
      <x:c r="A19" s="212" t="str">
        <x:v>扣非归母</x:v>
      </x:c>
      <x:c r="B19" s="254" t="n">
        <x:f>'Historical'!D19</x:f>
        <x:v>2.4293813894599996</x:v>
      </x:c>
      <x:c r="C19" s="254" t="n">
        <x:f>'Historical'!D20</x:f>
        <x:v>0.7876437739199997</x:v>
      </x:c>
      <x:c r="D19" s="252" t="n">
        <x:f>C19/B19-1</x:f>
        <x:v>-0.6757842233676301</x:v>
      </x:c>
      <x:c r="E19" s="212"/>
      <x:c r="F19" s="212"/>
    </x:row>
    <x:row r="20" ht="30" customHeight="1">
      <x:c r="A20" s="212" t="str">
        <x:v>经营现金流</x:v>
      </x:c>
      <x:c r="B20" s="254" t="n">
        <x:f>'Historical'!E19</x:f>
        <x:v>0.5417089308099999</x:v>
      </x:c>
      <x:c r="C20" s="254" t="n">
        <x:f>'Historical'!E20</x:f>
        <x:v>0.96645746826</x:v>
      </x:c>
      <x:c r="D20" s="252" t="n">
        <x:f>C20/B20-1</x:f>
        <x:v>0.784089966570954</x:v>
      </x:c>
      <x:c r="E20" s="212"/>
      <x:c r="F20" s="212"/>
    </x:row>
    <x:row r="21" ht="30" customHeight="1">
      <x:c r="A21" s="212" t="str">
        <x:v>毛利率</x:v>
      </x:c>
      <x:c r="B21" s="255" t="n">
        <x:f>'Historical'!H19</x:f>
        <x:v>0.3269317580928245</x:v>
      </x:c>
      <x:c r="C21" s="255" t="n">
        <x:f>'Historical'!H20</x:f>
        <x:v>0.20171908868905808</x:v>
      </x:c>
      <x:c r="D21" s="252" t="n">
        <x:f>C21-B21</x:f>
        <x:v>-0.1252126694037664</x:v>
      </x:c>
      <x:c r="E21" s="212" t="str">
        <x:v>毛利率环比差额，百分点</x:v>
      </x:c>
      <x:c r="F21" s="212"/>
    </x:row>
    <x:row r="22" ht="30" customHeight="1">
      <x:c r="A22" s="212" t="str">
        <x:v>扣非净利率</x:v>
      </x:c>
      <x:c r="B22" s="255" t="n">
        <x:f>'Historical'!I19</x:f>
        <x:v>0.1747657431762515</x:v>
      </x:c>
      <x:c r="C22" s="255" t="n">
        <x:f>'Historical'!I20</x:f>
        <x:v>0.060301380661466605</x:v>
      </x:c>
      <x:c r="D22" s="252" t="n">
        <x:f>C22-B22</x:f>
        <x:v>-0.11446436251478488</x:v>
      </x:c>
      <x:c r="E22" s="212" t="str">
        <x:v>季度利润率明显放缓</x:v>
      </x:c>
      <x:c r="F22" s="212"/>
    </x:row>
    <x:row r="23" ht="30" customHeight="1">
      <x:c r="A23" s="212"/>
      <x:c r="B23" s="212"/>
      <x:c r="C23" s="212"/>
      <x:c r="D23" s="212"/>
      <x:c r="E23" s="212"/>
      <x:c r="F23" s="212"/>
    </x:row>
    <x:row r="24" ht="30" customHeight="1">
      <x:c r="A24" s="253" t="str">
        <x:v>三季报未更新矿山销量、单吨成本及电池毛利率，保留H1历史资料，不冒充Q3产销。</x:v>
      </x:c>
      <x:c r="B24" s="253"/>
      <x:c r="C24" s="253"/>
      <x:c r="D24" s="253"/>
      <x:c r="E24" s="253"/>
      <x:c r="F24" s="253"/>
    </x:row>
  </x:sheetData>
  <x:mergeCells>
    <x:mergeCell ref="A1:F1"/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资产负债表与现金流</x:v>
      </x:c>
      <x:c r="B1" s="3" t="str">
        <x:v>资产负债表与现金流</x:v>
      </x:c>
      <x:c r="C1" s="3" t="str">
        <x:v>资产负债表与现金流</x:v>
      </x:c>
      <x:c r="D1" s="3" t="str">
        <x:v>资产负债表与现金流</x:v>
      </x:c>
      <x:c r="E1" s="3" t="str">
        <x:v>资产负债表与现金流</x:v>
      </x:c>
      <x:c r="F1" s="3" t="str">
        <x:v>资产负债表与现金流</x:v>
      </x:c>
    </x:row>
    <x:row r="3">
      <x:c r="A3" s="25" t="str">
        <x:v>2026-09-30（RMB bn）</x:v>
      </x:c>
      <x:c r="B3" s="26" t="str">
        <x:v>数值</x:v>
      </x:c>
      <x:c r="C3" s="26" t="str">
        <x:v>占总资产/比率</x:v>
      </x:c>
      <x:c r="D3" s="27" t="str">
        <x:v>观察</x:v>
      </x:c>
    </x:row>
    <x:row r="4">
      <x:c r="A4" s="16" t="str">
        <x:v>总资产</x:v>
      </x:c>
      <x:c r="B4" s="65" t="n">
        <x:v>122.48880688328</x:v>
      </x:c>
      <x:c r="C4" s="92" t="n">
        <x:f>B4/$B$4</x:f>
        <x:v>1</x:v>
      </x:c>
      <x:c r="D4" s="16" t="str">
        <x:v>合并口径</x:v>
      </x:c>
    </x:row>
    <x:row r="5">
      <x:c r="A5" s="19" t="str">
        <x:v>归母净资产</x:v>
      </x:c>
      <x:c r="B5" s="67" t="n">
        <x:v>48.12198173146</x:v>
      </x:c>
      <x:c r="C5" s="93" t="n">
        <x:f>B5/$B$4</x:f>
        <x:v>0.39286840125168004</x:v>
      </x:c>
      <x:c r="D5" s="19" t="str">
        <x:v>估值P/B分母</x:v>
      </x:c>
    </x:row>
    <x:row r="6">
      <x:c r="A6" s="19" t="str">
        <x:v>总负债</x:v>
      </x:c>
      <x:c r="B6" s="67" t="n">
        <x:v>67.26014411166</x:v>
      </x:c>
      <x:c r="C6" s="93" t="n">
        <x:f>B6/$B$4</x:f>
        <x:v>0.5491125746351045</x:v>
      </x:c>
      <x:c r="D6" s="19" t="str">
        <x:v>合并口径</x:v>
      </x:c>
    </x:row>
    <x:row r="7">
      <x:c r="A7" s="19" t="str">
        <x:v>现金及现金等价物</x:v>
      </x:c>
      <x:c r="B7" s="67" t="n">
        <x:v>8.74895209228</x:v>
      </x:c>
      <x:c r="C7" s="93" t="n">
        <x:f>B7/$B$4</x:f>
        <x:v>0.07142654349321</x:v>
      </x:c>
      <x:c r="D7" s="19" t="str">
        <x:v>已排除货币资金中受限部分</x:v>
      </x:c>
    </x:row>
    <x:row r="8">
      <x:c r="A8" s="19" t="str">
        <x:v>存货</x:v>
      </x:c>
      <x:c r="B8" s="67" t="n">
        <x:v>15.01596574643</x:v>
      </x:c>
      <x:c r="C8" s="93" t="n">
        <x:f>B8/$B$4</x:f>
        <x:v>0.12259051360291855</x:v>
      </x:c>
      <x:c r="D8" s="19" t="str">
        <x:v>价格与减值敏感</x:v>
      </x:c>
    </x:row>
    <x:row r="9">
      <x:c r="A9" s="19" t="str">
        <x:v>借款及一年内到期负债</x:v>
      </x:c>
      <x:c r="B9" s="170" t="n">
        <x:f>SUM(C28:C30)</x:f>
        <x:v>35.94254808867</x:v>
      </x:c>
      <x:c r="C9" s="93" t="n">
        <x:f>B9/$B$4</x:f>
        <x:v>0.293435367714209</x:v>
      </x:c>
      <x:c r="D9" s="19" t="str">
        <x:v>含少量非融资到期项目</x:v>
      </x:c>
    </x:row>
    <x:row r="10">
      <x:c r="A10" s="19" t="str">
        <x:v>应付债券</x:v>
      </x:c>
      <x:c r="B10" s="67" t="n">
        <x:v>0.94305563232</x:v>
      </x:c>
      <x:c r="C10" s="93" t="n">
        <x:f>B10/$B$4</x:f>
        <x:v>0.007699116811698892</x:v>
      </x:c>
      <x:c r="D10" s="19" t="str">
        <x:v>公开债券</x:v>
      </x:c>
    </x:row>
    <x:row r="11">
      <x:c r="A11" s="19" t="str">
        <x:v>租赁负债</x:v>
      </x:c>
      <x:c r="B11" s="67" t="n">
        <x:v>0.02854746253</x:v>
      </x:c>
      <x:c r="C11" s="93" t="n">
        <x:f>B11/$B$4</x:f>
        <x:v>0.00023306180586119167</x:v>
      </x:c>
      <x:c r="D11" s="19" t="str">
        <x:v>租赁债务</x:v>
      </x:c>
    </x:row>
    <x:row r="12">
      <x:c r="A12" s="19" t="str">
        <x:v>流动资产</x:v>
      </x:c>
      <x:c r="B12" s="67" t="n">
        <x:v>43.3212023025</x:v>
      </x:c>
      <x:c r="C12" s="93" t="n">
        <x:f>B12/$B$4</x:f>
        <x:v>0.3536747838827503</x:v>
      </x:c>
      <x:c r="D12" s="19" t="str">
        <x:v>流动性资产</x:v>
      </x:c>
    </x:row>
    <x:row r="13">
      <x:c r="A13" s="19" t="str">
        <x:v>流动负债</x:v>
      </x:c>
      <x:c r="B13" s="67" t="n">
        <x:v>39.62032298166</x:v>
      </x:c>
      <x:c r="C13" s="93" t="n">
        <x:f>B13/$B$4</x:f>
        <x:v>0.3234607633937878</x:v>
      </x:c>
      <x:c r="D13" s="19" t="str">
        <x:v>短期义务</x:v>
      </x:c>
    </x:row>
    <x:row r="14">
      <x:c r="A14" s="19" t="str">
        <x:v>流动比率</x:v>
      </x:c>
      <x:c r="B14" s="94" t="n">
        <x:f>B12/B13</x:f>
        <x:v>1.0934086105899012</x:v>
      </x:c>
      <x:c r="C14" s="19"/>
      <x:c r="D14" s="19" t="str">
        <x:v>短期偿债能力</x:v>
      </x:c>
    </x:row>
    <x:row r="15">
      <x:c r="A15" s="96" t="str">
        <x:v>融资净负担观察值</x:v>
      </x:c>
      <x:c r="B15" s="206" t="n">
        <x:f>SUM(B9:B11)+C31-B7</x:f>
        <x:v>32.16101889704</x:v>
      </x:c>
      <x:c r="C15" s="96"/>
      <x:c r="D15" s="96" t="str">
        <x:v>另加长期应付款，不含其他流动项</x:v>
      </x:c>
    </x:row>
    <x:row r="16">
      <x:c r="A16" s="96" t="str">
        <x:v>融资净负担/归母权益</x:v>
      </x:c>
      <x:c r="B16" s="98" t="n">
        <x:f>B15/B5</x:f>
        <x:v>0.6683228275284134</x:v>
      </x:c>
      <x:c r="C16" s="96"/>
      <x:c r="D16" s="96" t="str">
        <x:v>观察值/归母权益，非公司杠杆率</x:v>
      </x:c>
    </x:row>
    <x:row r="17">
      <x:c r="A17" s="19" t="str">
        <x:v>前三季经营现金流</x:v>
      </x:c>
      <x:c r="B17" s="207" t="n">
        <x:f>'Historical'!E8</x:f>
        <x:v>2.29470347516</x:v>
      </x:c>
      <x:c r="C17" s="209" t="n">
        <x:f>B17/'Historical'!C8</x:f>
        <x:v>0.4578181760054717</x:v>
      </x:c>
      <x:c r="D17" s="19" t="str">
        <x:v>利润现金转化</x:v>
      </x:c>
    </x:row>
    <x:row r="18">
      <x:c r="A18" s="22" t="str">
        <x:v>前三季现金购建</x:v>
      </x:c>
      <x:c r="B18" s="208" t="n">
        <x:f>'Historical'!F8</x:f>
        <x:v>2.09399359334</x:v>
      </x:c>
      <x:c r="C18" s="95" t="n">
        <x:f>B18/B17</x:f>
        <x:v>0.9125334127077115</x:v>
      </x:c>
      <x:c r="D18" s="22" t="str">
        <x:v>购建长期资产/披露资本开支</x:v>
      </x:c>
    </x:row>
    <x:row r="21">
      <x:c r="A21" s="25" t="str">
        <x:v>现金流指标</x:v>
      </x:c>
      <x:c r="B21" s="26" t="str">
        <x:v>数值</x:v>
      </x:c>
      <x:c r="C21" s="26" t="str">
        <x:v>单位</x:v>
      </x:c>
      <x:c r="D21" s="27" t="str">
        <x:v>说明</x:v>
      </x:c>
    </x:row>
    <x:row r="22">
      <x:c r="A22" s="16" t="str">
        <x:v>前三季简化自由现金流</x:v>
      </x:c>
      <x:c r="B22" s="65" t="n">
        <x:f>B17-B18</x:f>
        <x:v>0.20070988181999994</x:v>
      </x:c>
      <x:c r="C22" s="16" t="str">
        <x:v>RMB bn</x:v>
      </x:c>
      <x:c r="D22" s="16" t="str">
        <x:v>CFO-Capex</x:v>
      </x:c>
    </x:row>
    <x:row r="23">
      <x:c r="A23" s="19" t="str">
        <x:v>自由现金流/净利润</x:v>
      </x:c>
      <x:c r="B23" s="210" t="n">
        <x:f>B22/'Historical'!C8</x:f>
        <x:v>0.040043793455578895</x:v>
      </x:c>
      <x:c r="C23" s="19" t="str">
        <x:v>x</x:v>
      </x:c>
      <x:c r="D23" s="19" t="str">
        <x:v>现金含金量</x:v>
      </x:c>
    </x:row>
    <x:row r="24">
      <x:c r="A24" s="22" t="str">
        <x:v>期末流动性余量</x:v>
      </x:c>
      <x:c r="B24" s="69" t="n">
        <x:f>B12-B13</x:f>
        <x:v>3.700879320839995</x:v>
      </x:c>
      <x:c r="C24" s="22" t="str">
        <x:v>RMB bn</x:v>
      </x:c>
      <x:c r="D24" s="22" t="str">
        <x:v>流动资产-流动负债</x:v>
      </x:c>
    </x:row>
    <x:row r="27" ht="28" customHeight="1">
      <x:c r="A27" s="211" t="str">
        <x:v>融资明细（十亿元）</x:v>
      </x:c>
      <x:c r="B27" s="211" t="str">
        <x:v>2026H1</x:v>
      </x:c>
      <x:c r="C27" s="211" t="str">
        <x:v>2026Q3末</x:v>
      </x:c>
      <x:c r="D27" s="211" t="str">
        <x:v>口径</x:v>
      </x:c>
      <x:c r="E27" s="212"/>
      <x:c r="F27" s="212"/>
    </x:row>
    <x:row r="28" ht="28" customHeight="1">
      <x:c r="A28" s="212" t="str">
        <x:v>短期借款</x:v>
      </x:c>
      <x:c r="B28" s="213" t="n">
        <x:v>8.97940162814</x:v>
      </x:c>
      <x:c r="C28" s="213" t="n">
        <x:v>9.08756750506</x:v>
      </x:c>
      <x:c r="D28" s="277" t="str">
        <x:v>账面融资</x:v>
      </x:c>
      <x:c r="E28" s="212"/>
      <x:c r="F28" s="212"/>
    </x:row>
    <x:row r="29" ht="28" customHeight="1">
      <x:c r="A29" s="212" t="str">
        <x:v>长期借款</x:v>
      </x:c>
      <x:c r="B29" s="213" t="n">
        <x:v>18.90246345097</x:v>
      </x:c>
      <x:c r="C29" s="213" t="n">
        <x:v>19.53849039294</x:v>
      </x:c>
      <x:c r="D29" s="277" t="str">
        <x:v>非流动部分</x:v>
      </x:c>
      <x:c r="E29" s="212"/>
      <x:c r="F29" s="212"/>
    </x:row>
    <x:row r="30" ht="28" customHeight="1">
      <x:c r="A30" s="212" t="str">
        <x:v>一年内到期非流动负债</x:v>
      </x:c>
      <x:c r="B30" s="213" t="n">
        <x:v>6.80911050617</x:v>
      </x:c>
      <x:c r="C30" s="213" t="n">
        <x:v>7.31649019067</x:v>
      </x:c>
      <x:c r="D30" s="277" t="str">
        <x:v>Q3融资/非融资细目未披露</x:v>
      </x:c>
      <x:c r="E30" s="212"/>
      <x:c r="F30" s="212"/>
    </x:row>
    <x:row r="31" ht="28" customHeight="1">
      <x:c r="A31" s="212" t="str">
        <x:v>长期应付款</x:v>
      </x:c>
      <x:c r="B31" s="213" t="n">
        <x:v>4.10001626029</x:v>
      </x:c>
      <x:c r="C31" s="213" t="n">
        <x:v>3.9958198058</x:v>
      </x:c>
      <x:c r="D31" s="277" t="str">
        <x:v>含少数股东融资及融资租赁</x:v>
      </x:c>
      <x:c r="E31" s="212"/>
      <x:c r="F31" s="212"/>
    </x:row>
    <x:row r="32" ht="28" customHeight="1">
      <x:c r="A32" s="212" t="str">
        <x:v>应付债券</x:v>
      </x:c>
      <x:c r="B32" s="213" t="n">
        <x:v>0.94036112223</x:v>
      </x:c>
      <x:c r="C32" s="213" t="n">
        <x:v>0.94305563232</x:v>
      </x:c>
      <x:c r="D32" s="277" t="str">
        <x:v>非流动部分</x:v>
      </x:c>
      <x:c r="E32" s="212"/>
      <x:c r="F32" s="212"/>
    </x:row>
    <x:row r="33" ht="28" customHeight="1">
      <x:c r="A33" s="212" t="str">
        <x:v>租赁负债</x:v>
      </x:c>
      <x:c r="B33" s="213" t="n">
        <x:v>0.03591252668</x:v>
      </x:c>
      <x:c r="C33" s="213" t="n">
        <x:v>0.02854746253</x:v>
      </x:c>
      <x:c r="D33" s="277" t="str">
        <x:v>非流动部分</x:v>
      </x:c>
      <x:c r="E33" s="212"/>
      <x:c r="F33" s="212"/>
    </x:row>
    <x:row r="34" ht="28" customHeight="1">
      <x:c r="A34" s="212" t="str">
        <x:v>现金等价物</x:v>
      </x:c>
      <x:c r="B34" s="213" t="n">
        <x:v>10.96009367532</x:v>
      </x:c>
      <x:c r="C34" s="213" t="n">
        <x:v>8.74895209228</x:v>
      </x:c>
      <x:c r="D34" s="277" t="str">
        <x:v>现金流量表期末余额</x:v>
      </x:c>
      <x:c r="E34" s="212"/>
      <x:c r="F34" s="212"/>
    </x:row>
    <x:row r="35" ht="28" customHeight="1">
      <x:c r="A35" s="212" t="str">
        <x:v>其他流动负债</x:v>
      </x:c>
      <x:c r="B35" s="213" t="n">
        <x:v>1.83520262301</x:v>
      </x:c>
      <x:c r="C35" s="213" t="n">
        <x:v>1.45243582314</x:v>
      </x:c>
      <x:c r="D35" s="277" t="str">
        <x:v>含票据/税费，不全作融资</x:v>
      </x:c>
      <x:c r="E35" s="212"/>
      <x:c r="F35" s="212"/>
    </x:row>
    <x:row r="36" ht="28" customHeight="1">
      <x:c r="A36" s="212"/>
      <x:c r="B36" s="213"/>
      <x:c r="C36" s="213"/>
      <x:c r="D36" s="277"/>
      <x:c r="E36" s="212"/>
      <x:c r="F36" s="212"/>
    </x:row>
    <x:row r="37" ht="28" customHeight="1">
      <x:c r="A37" s="212" t="str">
        <x:v>同口径融资净负担</x:v>
      </x:c>
      <x:c r="B37" s="214" t="n">
        <x:f>SUM(B28:B33)-B34</x:f>
        <x:v>28.80717181916</x:v>
      </x:c>
      <x:c r="C37" s="214" t="n">
        <x:f>SUM(C28:C33)-C34</x:f>
        <x:v>32.16101889704</x:v>
      </x:c>
      <x:c r="D37" s="277" t="str">
        <x:v>上列前六项减现金</x:v>
      </x:c>
      <x:c r="E37" s="212"/>
      <x:c r="F37" s="212"/>
    </x:row>
    <x:row r="38" ht="28" customHeight="1">
      <x:c r="A38" s="212" t="str">
        <x:v>公司披露净负债</x:v>
      </x:c>
      <x:c r="B38" s="213" t="n">
        <x:v>29.25100542454</x:v>
      </x:c>
      <x:c r="C38" s="213" t="str">
        <x:v>未披露</x:v>
      </x:c>
      <x:c r="D38" s="277" t="str">
        <x:v>H1资本管理附注；Q3无同细目</x:v>
      </x:c>
      <x:c r="E38" s="212"/>
      <x:c r="F38" s="212"/>
    </x:row>
    <x:row r="39" ht="42" customHeight="1">
      <x:c r="A39" s="215" t="str">
        <x:v>观察值未纳入其他流动项融资，也未扣其他资产内定期存款。不是精确经济净债务。</x:v>
      </x:c>
      <x:c r="B39" s="215"/>
      <x:c r="C39" s="215"/>
      <x:c r="D39" s="215"/>
      <x:c r="E39" s="215"/>
      <x:c r="F39" s="215"/>
    </x:row>
    <x:row r="40" ht="28" customHeight="1">
      <x:c r="A40" s="212"/>
      <x:c r="B40" s="212"/>
      <x:c r="C40" s="212"/>
      <x:c r="D40" s="277"/>
      <x:c r="E40" s="212"/>
      <x:c r="F40" s="212"/>
    </x:row>
    <x:row r="41" ht="28" customHeight="1">
      <x:c r="A41" s="211" t="str">
        <x:v>现金变动（十亿元）</x:v>
      </x:c>
      <x:c r="B41" s="211" t="str">
        <x:v>2026H1</x:v>
      </x:c>
      <x:c r="C41" s="211" t="str">
        <x:v>2026前三季</x:v>
      </x:c>
      <x:c r="D41" s="211" t="str">
        <x:v>2026Q3</x:v>
      </x:c>
      <x:c r="E41" s="212"/>
      <x:c r="F41" s="212"/>
    </x:row>
    <x:row r="42" ht="28" customHeight="1">
      <x:c r="A42" s="212" t="str">
        <x:v>经营现金流</x:v>
      </x:c>
      <x:c r="B42" s="213" t="n">
        <x:v>1.3282460069</x:v>
      </x:c>
      <x:c r="C42" s="213" t="n">
        <x:v>2.29470347516</x:v>
      </x:c>
      <x:c r="D42" s="278" t="n">
        <x:f>C42-B42</x:f>
        <x:v>0.96645746826</x:v>
      </x:c>
      <x:c r="E42" s="212"/>
      <x:c r="F42" s="212"/>
    </x:row>
    <x:row r="43" ht="28" customHeight="1">
      <x:c r="A43" s="212" t="str">
        <x:v>现金购建长期资产</x:v>
      </x:c>
      <x:c r="B43" s="213" t="n">
        <x:v>1.8006390221</x:v>
      </x:c>
      <x:c r="C43" s="213" t="n">
        <x:v>2.09399359334</x:v>
      </x:c>
      <x:c r="D43" s="278" t="n">
        <x:f>C43-B43</x:f>
        <x:v>0.2933545712400001</x:v>
      </x:c>
      <x:c r="E43" s="212"/>
      <x:c r="F43" s="212"/>
    </x:row>
    <x:row r="44" ht="28" customHeight="1">
      <x:c r="A44" s="212" t="str">
        <x:v>简化自由现金流</x:v>
      </x:c>
      <x:c r="B44" s="214" t="n">
        <x:f>B42-B43</x:f>
        <x:v>-0.4723930152</x:v>
      </x:c>
      <x:c r="C44" s="214" t="n">
        <x:f>C42-C43</x:f>
        <x:v>0.20070988181999994</x:v>
      </x:c>
      <x:c r="D44" s="278" t="n">
        <x:f>D42-D43</x:f>
        <x:v>0.6731028970199999</x:v>
      </x:c>
      <x:c r="E44" s="212"/>
      <x:c r="F44" s="212"/>
    </x:row>
    <x:row r="45" ht="28" customHeight="1">
      <x:c r="A45" s="212" t="str">
        <x:v>投资现金流净额</x:v>
      </x:c>
      <x:c r="B45" s="213" t="n">
        <x:v>0.05294789209</x:v>
      </x:c>
      <x:c r="C45" s="213" t="n">
        <x:v>-2.04525842106</x:v>
      </x:c>
      <x:c r="D45" s="278" t="n">
        <x:f>C45-B45</x:f>
        <x:v>-2.0982063131500004</x:v>
      </x:c>
      <x:c r="E45" s="212"/>
      <x:c r="F45" s="212"/>
    </x:row>
    <x:row r="46" ht="28" customHeight="1">
      <x:c r="A46" s="212" t="str">
        <x:v>筹资现金流净额</x:v>
      </x:c>
      <x:c r="B46" s="213" t="n">
        <x:v>1.77924867683</x:v>
      </x:c>
      <x:c r="C46" s="213" t="n">
        <x:v>0.70649222067</x:v>
      </x:c>
      <x:c r="D46" s="278" t="n">
        <x:f>C46-B46</x:f>
        <x:v>-1.07275645616</x:v>
      </x:c>
      <x:c r="E46" s="212"/>
      <x:c r="F46" s="212"/>
    </x:row>
    <x:row r="47" ht="28" customHeight="1">
      <x:c r="A47" s="212" t="str">
        <x:v>汇率对现金影响</x:v>
      </x:c>
      <x:c r="B47" s="213" t="n">
        <x:v>-0.06859608226</x:v>
      </x:c>
      <x:c r="C47" s="213" t="n">
        <x:v>-0.07523236425</x:v>
      </x:c>
      <x:c r="D47" s="278" t="n">
        <x:f>C47-B47</x:f>
        <x:v>-0.006636281990000006</x:v>
      </x:c>
      <x:c r="E47" s="212"/>
      <x:c r="F47" s="212"/>
    </x:row>
    <x:row r="48" ht="28" customHeight="1">
      <x:c r="A48" s="212" t="str">
        <x:v>现金净增减</x:v>
      </x:c>
      <x:c r="B48" s="214" t="n">
        <x:f>SUM(B45:B47)+B42</x:f>
        <x:v>3.09184649356</x:v>
      </x:c>
      <x:c r="C48" s="214" t="n">
        <x:f>SUM(C45:C47)+C42</x:f>
        <x:v>0.8807049105199998</x:v>
      </x:c>
      <x:c r="D48" s="278" t="n">
        <x:f>SUM(D45:D47)+D42</x:f>
        <x:v>-2.2111415830400007</x:v>
      </x:c>
      <x:c r="E48" s="212"/>
      <x:c r="F48" s="212"/>
    </x:row>
    <x:row r="49" ht="28" customHeight="1">
      <x:c r="A49" s="212" t="str">
        <x:v>经营加投资现金流</x:v>
      </x:c>
      <x:c r="B49" s="214" t="n">
        <x:f>B42+B45</x:f>
        <x:v>1.38119389899</x:v>
      </x:c>
      <x:c r="C49" s="214" t="n">
        <x:f>C42+C45</x:f>
        <x:v>0.24944505409999973</x:v>
      </x:c>
      <x:c r="D49" s="278" t="n">
        <x:f>D42+D45</x:f>
        <x:v>-1.1317488448900004</x:v>
      </x:c>
      <x:c r="E49" s="212"/>
      <x:c r="F49" s="212"/>
    </x:row>
    <x:row r="50" ht="28" customHeight="1">
      <x:c r="A50" s="212" t="str">
        <x:v>投资支付现金</x:v>
      </x:c>
      <x:c r="B50" s="213" t="n">
        <x:v>3.17260007825</x:v>
      </x:c>
      <x:c r="C50" s="213" t="n">
        <x:v>5.12419610516</x:v>
      </x:c>
      <x:c r="D50" s="278" t="n">
        <x:f>C50-B50</x:f>
        <x:v>1.9515960269100003</x:v>
      </x:c>
      <x:c r="E50" s="212"/>
      <x:c r="F50" s="212"/>
    </x:row>
    <x:row r="51" ht="28" customHeight="1">
      <x:c r="A51" s="212" t="str">
        <x:v>取得投资收益现金</x:v>
      </x:c>
      <x:c r="B51" s="213" t="n">
        <x:v>1.14420494007</x:v>
      </x:c>
      <x:c r="C51" s="213" t="n">
        <x:v>1.15514233634</x:v>
      </x:c>
      <x:c r="D51" s="278" t="n">
        <x:f>C51-B51</x:f>
        <x:v>0.0109373962699999</x:v>
      </x:c>
      <x:c r="E51" s="212"/>
      <x:c r="F51" s="212"/>
    </x:row>
  </x:sheetData>
  <x:mergeCells>
    <x:mergeCell ref="A1:F1"/>
    <x:mergeCell ref="A39:F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</x:cols>
  <x:sheetData>
    <x:row r="1" ht="30" customHeight="1">
      <x:c r="A1" s="3" t="str">
        <x:v>市场、股份与正常化情景假设</x:v>
      </x:c>
      <x:c r="B1" s="3" t="str">
        <x:v>市场、股份与正常化情景假设</x:v>
      </x:c>
      <x:c r="C1" s="3" t="str">
        <x:v>市场、股份与正常化情景假设</x:v>
      </x:c>
      <x:c r="D1" s="3" t="str">
        <x:v>市场、股份与正常化情景假设</x:v>
      </x:c>
      <x:c r="E1" s="3" t="str">
        <x:v>市场、股份与正常化情景假设</x:v>
      </x:c>
      <x:c r="F1" s="3" t="str">
        <x:v>市场、股份与正常化情景假设</x:v>
      </x:c>
      <x:c r="G1" s="3" t="str">
        <x:v>市场、股份与正常化情景假设</x:v>
      </x:c>
      <x:c r="H1" s="3" t="str">
        <x:v>市场、股份与正常化情景假设</x:v>
      </x:c>
    </x:row>
    <x:row r="3">
      <x:c r="A3" s="25" t="str">
        <x:v>市场与股份</x:v>
      </x:c>
      <x:c r="B3" s="26" t="str">
        <x:v>数值</x:v>
      </x:c>
      <x:c r="C3" s="27" t="str">
        <x:v>说明</x:v>
      </x:c>
    </x:row>
    <x:row r="4">
      <x:c r="A4" s="16" t="str">
        <x:v>A股收盘价</x:v>
      </x:c>
      <x:c r="B4" s="104" t="n">
        <x:v>40.01</x:v>
      </x:c>
      <x:c r="C4" s="16" t="str">
        <x:v>2026-10-15收盘，业绩公布前</x:v>
      </x:c>
    </x:row>
    <x:row r="5">
      <x:c r="A5" s="19" t="str">
        <x:v>总股数</x:v>
      </x:c>
      <x:c r="B5" s="105" t="n">
        <x:v>2.096694404</x:v>
      </x:c>
      <x:c r="C5" s="19" t="str">
        <x:v>十亿股</x:v>
      </x:c>
    </x:row>
    <x:row r="6">
      <x:c r="A6" s="19" t="str">
        <x:v>参考市值</x:v>
      </x:c>
      <x:c r="B6" s="67" t="n">
        <x:f>B4*B5</x:f>
        <x:v>83.88874310403999</x:v>
      </x:c>
      <x:c r="C6" s="19" t="str">
        <x:v>RMB bn</x:v>
      </x:c>
    </x:row>
    <x:row r="7">
      <x:c r="A7" s="19" t="str">
        <x:v>归母净资产</x:v>
      </x:c>
      <x:c r="B7" s="67" t="n">
        <x:v>48.12198173146</x:v>
      </x:c>
      <x:c r="C7" s="19" t="str">
        <x:v>2026Q3末；RMB bn</x:v>
      </x:c>
    </x:row>
    <x:row r="8">
      <x:c r="A8" s="19" t="str">
        <x:v>BVPS</x:v>
      </x:c>
      <x:c r="B8" s="106" t="n">
        <x:f>B7/B5</x:f>
        <x:v>22.95135697393696</x:v>
      </x:c>
      <x:c r="C8" s="19" t="str">
        <x:v>RMB/股</x:v>
      </x:c>
    </x:row>
    <x:row r="9">
      <x:c r="A9" s="22" t="str">
        <x:v>当前P/B</x:v>
      </x:c>
      <x:c r="B9" s="107" t="n">
        <x:f>B6/B7</x:f>
        <x:v>1.7432520458565672</x:v>
      </x:c>
      <x:c r="C9" s="22" t="str">
        <x:v>x</x:v>
      </x:c>
    </x:row>
    <x:row r="12">
      <x:c r="A12" s="25" t="str">
        <x:v>2027正常化情景</x:v>
      </x:c>
      <x:c r="B12" s="26" t="str">
        <x:v>Bear</x:v>
      </x:c>
      <x:c r="C12" s="26" t="str">
        <x:v>Base</x:v>
      </x:c>
      <x:c r="D12" s="26" t="str">
        <x:v>Bull</x:v>
      </x:c>
      <x:c r="E12" s="26" t="str">
        <x:v>单位</x:v>
      </x:c>
      <x:c r="F12" s="26" t="str">
        <x:v>来源性质</x:v>
      </x:c>
      <x:c r="G12" s="26" t="str">
        <x:v>核心含义</x:v>
      </x:c>
      <x:c r="H12" s="27" t="str">
        <x:v>可证伪条件</x:v>
      </x:c>
    </x:row>
    <x:row r="13">
      <x:c r="A13" s="16" t="str">
        <x:v>碳酸锂情景中枢</x:v>
      </x:c>
      <x:c r="B13" s="102" t="n">
        <x:v>8</x:v>
      </x:c>
      <x:c r="C13" s="102" t="n">
        <x:v>11</x:v>
      </x:c>
      <x:c r="D13" s="102" t="n">
        <x:v>14</x:v>
      </x:c>
      <x:c r="E13" s="16" t="str">
        <x:v>万元/吨</x:v>
      </x:c>
      <x:c r="F13" s="16" t="str">
        <x:v>研究情景</x:v>
      </x:c>
      <x:c r="G13" s="16" t="str">
        <x:v>背景约束，不直接生成EPS</x:v>
      </x:c>
      <x:c r="H13" s="16" t="str">
        <x:v>均价/成本需后续核实</x:v>
      </x:c>
    </x:row>
    <x:row r="14">
      <x:c r="A14" s="19" t="str">
        <x:v>锂系列销量</x:v>
      </x:c>
      <x:c r="B14" s="103" t="n">
        <x:v>200</x:v>
      </x:c>
      <x:c r="C14" s="103" t="n">
        <x:v>240</x:v>
      </x:c>
      <x:c r="D14" s="103" t="n">
        <x:v>280</x:v>
      </x:c>
      <x:c r="E14" s="19" t="str">
        <x:v>千吨LCE</x:v>
      </x:c>
      <x:c r="F14" s="19" t="str">
        <x:v>研究情景</x:v>
      </x:c>
      <x:c r="G14" s="19" t="str">
        <x:v>背景约束，不直接生成EPS</x:v>
      </x:c>
      <x:c r="H14" s="19" t="str">
        <x:v>需销量与回收率验证</x:v>
      </x:c>
    </x:row>
    <x:row r="15">
      <x:c r="A15" s="19" t="str">
        <x:v>电池毛利率</x:v>
      </x:c>
      <x:c r="B15" s="216" t="n">
        <x:v>0.06</x:v>
      </x:c>
      <x:c r="C15" s="216" t="n">
        <x:v>0.12</x:v>
      </x:c>
      <x:c r="D15" s="216" t="n">
        <x:v>0.16</x:v>
      </x:c>
      <x:c r="E15" s="19" t="str">
        <x:v>比例</x:v>
      </x:c>
      <x:c r="F15" s="19" t="str">
        <x:v>研究情景</x:v>
      </x:c>
      <x:c r="G15" s="19" t="str">
        <x:v>H1毛利12.43%，Q3未披露</x:v>
      </x:c>
      <x:c r="H15" s="19" t="str">
        <x:v>收入增长未带来现金回报</x:v>
      </x:c>
    </x:row>
    <x:row r="16">
      <x:c r="A16" s="19" t="str">
        <x:v>年度现金购建</x:v>
      </x:c>
      <x:c r="B16" s="103" t="n">
        <x:v>4</x:v>
      </x:c>
      <x:c r="C16" s="103" t="n">
        <x:v>3</x:v>
      </x:c>
      <x:c r="D16" s="103" t="n">
        <x:v>3</x:v>
      </x:c>
      <x:c r="E16" s="19" t="str">
        <x:v>RMB bn</x:v>
      </x:c>
      <x:c r="F16" s="19" t="str">
        <x:v>研究情景</x:v>
      </x:c>
      <x:c r="G16" s="19" t="str">
        <x:v>不含收购及金融投资</x:v>
      </x:c>
      <x:c r="H16" s="19" t="str">
        <x:v>实际资本计划超出假设</x:v>
      </x:c>
    </x:row>
    <x:row r="17">
      <x:c r="A17" s="19" t="str">
        <x:v>正常化归母净利润</x:v>
      </x:c>
      <x:c r="B17" s="170" t="n">
        <x:f>IF(ISBLANK(B18),"n.a.",B18*$B$5)</x:f>
        <x:v>2.096694404</x:v>
      </x:c>
      <x:c r="C17" s="170" t="n">
        <x:f>IF(ISBLANK(C18),"n.a.",C18*$B$5)</x:f>
        <x:v>5.0320665695999995</x:v>
      </x:c>
      <x:c r="D17" s="170" t="n">
        <x:f>IF(ISBLANK(D18),"n.a.",D18*$B$5)</x:f>
        <x:v>8.386777616</x:v>
      </x:c>
      <x:c r="E17" s="19" t="str">
        <x:v>RMB bn</x:v>
      </x:c>
      <x:c r="F17" s="19" t="str">
        <x:v>公式/校验</x:v>
      </x:c>
      <x:c r="G17" s="19" t="str">
        <x:v>等于正常化EPS×股数</x:v>
      </x:c>
      <x:c r="H17" s="19" t="str">
        <x:v>实际持续偏离情景假设</x:v>
      </x:c>
    </x:row>
    <x:row r="18">
      <x:c r="A18" s="19" t="str">
        <x:v>正常化EPS</x:v>
      </x:c>
      <x:c r="B18" s="114" t="n">
        <x:v>1</x:v>
      </x:c>
      <x:c r="C18" s="114" t="n">
        <x:v>2.4</x:v>
      </x:c>
      <x:c r="D18" s="114" t="n">
        <x:v>4</x:v>
      </x:c>
      <x:c r="E18" s="19" t="str">
        <x:v>RMB/股</x:v>
      </x:c>
      <x:c r="F18" s="19" t="str">
        <x:v>分析假设</x:v>
      </x:c>
      <x:c r="G18" s="19" t="str">
        <x:v>2027正常化扣非EPS，主要输入</x:v>
      </x:c>
      <x:c r="H18" s="19" t="str">
        <x:v>实际持续偏离情景假设</x:v>
      </x:c>
    </x:row>
    <x:row r="19">
      <x:c r="A19" s="19" t="str">
        <x:v>P/E</x:v>
      </x:c>
      <x:c r="B19" s="115" t="n">
        <x:v>12</x:v>
      </x:c>
      <x:c r="C19" s="115" t="n">
        <x:v>15</x:v>
      </x:c>
      <x:c r="D19" s="115" t="n">
        <x:v>17</x:v>
      </x:c>
      <x:c r="E19" s="19" t="str">
        <x:v>x</x:v>
      </x:c>
      <x:c r="F19" s="19" t="str">
        <x:v>分析假设</x:v>
      </x:c>
      <x:c r="G19" s="19" t="str">
        <x:v>盈利放缓、融资负担约束</x:v>
      </x:c>
      <x:c r="H19" s="19" t="str">
        <x:v>实际持续偏离情景假设</x:v>
      </x:c>
    </x:row>
    <x:row r="20">
      <x:c r="A20" s="22" t="str">
        <x:v>P/B</x:v>
      </x:c>
      <x:c r="B20" s="116" t="n">
        <x:v>1</x:v>
      </x:c>
      <x:c r="C20" s="116" t="n">
        <x:v>1.8</x:v>
      </x:c>
      <x:c r="D20" s="116" t="n">
        <x:v>2.5</x:v>
      </x:c>
      <x:c r="E20" s="22" t="str">
        <x:v>x</x:v>
      </x:c>
      <x:c r="F20" s="22" t="str">
        <x:v>分析假设</x:v>
      </x:c>
      <x:c r="G20" s="22" t="str">
        <x:v>账面价值与项目兑现折价</x:v>
      </x:c>
      <x:c r="H20" s="22" t="str">
        <x:v>实际持续偏离情景假设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7c9c225988544a8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2027正常化P/E与P/B情景估值</x:v>
      </x:c>
      <x:c r="B1" s="3" t="str">
        <x:v>60% 正常化P/E + 40% P/B 情景估值</x:v>
      </x:c>
      <x:c r="C1" s="3" t="str">
        <x:v>60% 正常化P/E + 40% P/B 情景估值</x:v>
      </x:c>
      <x:c r="D1" s="3" t="str">
        <x:v>60% 正常化P/E + 40% P/B 情景估值</x:v>
      </x:c>
      <x:c r="E1" s="3" t="str">
        <x:v>60% 正常化P/E + 40% P/B 情景估值</x:v>
      </x:c>
      <x:c r="F1" s="3" t="str">
        <x:v>60% 正常化P/E + 40% P/B 情景估值</x:v>
      </x:c>
      <x:c r="G1" s="3" t="str">
        <x:v>60% 正常化P/E + 40% P/B 情景估值</x:v>
      </x:c>
      <x:c r="H1" s="3" t="str">
        <x:v>60% 正常化P/E + 40% P/B 情景估值</x:v>
      </x:c>
      <x:c r="I1" s="3" t="str">
        <x:v>60% 正常化P/E + 40% P/B 情景估值</x:v>
      </x:c>
    </x:row>
    <x:row r="3">
      <x:c r="A3" s="25" t="str">
        <x:v>情景</x:v>
      </x:c>
      <x:c r="B3" s="26" t="str">
        <x:v>正常化净利润</x:v>
      </x:c>
      <x:c r="C3" s="26" t="str">
        <x:v>P/E</x:v>
      </x:c>
      <x:c r="D3" s="26" t="str">
        <x:v>P/E价值/股</x:v>
      </x:c>
      <x:c r="E3" s="26" t="str">
        <x:v>BVPS</x:v>
      </x:c>
      <x:c r="F3" s="26" t="str">
        <x:v>P/B</x:v>
      </x:c>
      <x:c r="G3" s="26" t="str">
        <x:v>P/B价值/股</x:v>
      </x:c>
      <x:c r="H3" s="26" t="str">
        <x:v>加权价值/股</x:v>
      </x:c>
      <x:c r="I3" s="27" t="str">
        <x:v>相对现价</x:v>
      </x:c>
    </x:row>
    <x:row r="5">
      <x:c r="A5" s="16" t="str">
        <x:v>Bear</x:v>
      </x:c>
      <x:c r="B5" s="261" t="n">
        <x:f>'Assumptions'!B17</x:f>
        <x:v>2.096694404</x:v>
      </x:c>
      <x:c r="C5" s="262" t="n">
        <x:f>IF(ISBLANK('Assumptions'!B19),"n.a.",'Assumptions'!B19)</x:f>
        <x:v>12</x:v>
      </x:c>
      <x:c r="D5" s="263" t="n">
        <x:f>IF(OR(B5="n.a.",C5="n.a."),"n.a.",B5*C5/'Assumptions'!$B$5)</x:f>
        <x:v>12</x:v>
      </x:c>
      <x:c r="E5" s="263" t="n">
        <x:f>'Assumptions'!$B$8</x:f>
        <x:v>22.95135697393696</x:v>
      </x:c>
      <x:c r="F5" s="263" t="n">
        <x:f>IF(ISBLANK('Assumptions'!B20),"n.a.",'Assumptions'!B20)</x:f>
        <x:v>1</x:v>
      </x:c>
      <x:c r="G5" s="263" t="n">
        <x:f>IF(F5="n.a.","n.a.",E5*F5)</x:f>
        <x:v>22.95135697393696</x:v>
      </x:c>
      <x:c r="H5" s="163" t="n">
        <x:f>IF(OR(D5="n.a.",G5="n.a."),"n.a.",D5*60%+G5*40%)</x:f>
        <x:v>16.380542789574783</x:v>
      </x:c>
      <x:c r="I5" s="264" t="n">
        <x:f>IF(H5="n.a.","n.a.",H5/'Assumptions'!$B$4-1)</x:f>
        <x:v>-0.5905887830648642</x:v>
      </x:c>
    </x:row>
    <x:row r="6">
      <x:c r="A6" s="139" t="str">
        <x:v>Base</x:v>
      </x:c>
      <x:c r="B6" s="265" t="n">
        <x:f>'Assumptions'!C17</x:f>
        <x:v>5.0320665695999995</x:v>
      </x:c>
      <x:c r="C6" s="266" t="n">
        <x:f>IF(ISBLANK('Assumptions'!C19),"n.a.",'Assumptions'!C19)</x:f>
        <x:v>15</x:v>
      </x:c>
      <x:c r="D6" s="267" t="n">
        <x:f>IF(OR(B6="n.a.",C6="n.a."),"n.a.",B6*C6/'Assumptions'!$B$5)</x:f>
        <x:v>35.99999999999999</x:v>
      </x:c>
      <x:c r="E6" s="267" t="n">
        <x:f>'Assumptions'!$B$8</x:f>
        <x:v>22.95135697393696</x:v>
      </x:c>
      <x:c r="F6" s="267" t="n">
        <x:f>IF(ISBLANK('Assumptions'!C20),"n.a.",'Assumptions'!C20)</x:f>
        <x:v>1.8</x:v>
      </x:c>
      <x:c r="G6" s="267" t="n">
        <x:f>IF(F6="n.a.","n.a.",E6*F6)</x:f>
        <x:v>41.31244255308653</x:v>
      </x:c>
      <x:c r="H6" s="268" t="n">
        <x:f>IF(OR(D6="n.a.",G6="n.a."),"n.a.",D6*60%+G6*40%)</x:f>
        <x:v>38.124977021234606</x:v>
      </x:c>
      <x:c r="I6" s="269" t="n">
        <x:f>IF(H6="n.a.","n.a.",H6/'Assumptions'!$B$4-1)</x:f>
        <x:v>-0.04711379602012977</x:v>
      </x:c>
    </x:row>
    <x:row r="7">
      <x:c r="A7" s="22" t="str">
        <x:v>Bull</x:v>
      </x:c>
      <x:c r="B7" s="270" t="n">
        <x:f>'Assumptions'!D17</x:f>
        <x:v>8.386777616</x:v>
      </x:c>
      <x:c r="C7" s="271" t="n">
        <x:f>IF(ISBLANK('Assumptions'!D19),"n.a.",'Assumptions'!D19)</x:f>
        <x:v>17</x:v>
      </x:c>
      <x:c r="D7" s="272" t="n">
        <x:f>IF(OR(B7="n.a.",C7="n.a."),"n.a.",B7*C7/'Assumptions'!$B$5)</x:f>
        <x:v>68</x:v>
      </x:c>
      <x:c r="E7" s="272" t="n">
        <x:f>'Assumptions'!$B$8</x:f>
        <x:v>22.95135697393696</x:v>
      </x:c>
      <x:c r="F7" s="272" t="n">
        <x:f>IF(ISBLANK('Assumptions'!D20),"n.a.",'Assumptions'!D20)</x:f>
        <x:v>2.5</x:v>
      </x:c>
      <x:c r="G7" s="272" t="n">
        <x:f>IF(F7="n.a.","n.a.",E7*F7)</x:f>
        <x:v>57.3783924348424</x:v>
      </x:c>
      <x:c r="H7" s="273" t="n">
        <x:f>IF(OR(D7="n.a.",G7="n.a."),"n.a.",D7*60%+G7*40%)</x:f>
        <x:v>63.75135697393696</x:v>
      </x:c>
      <x:c r="I7" s="274" t="n">
        <x:f>IF(H7="n.a.","n.a.",H7/'Assumptions'!$B$4-1)</x:f>
        <x:v>0.5933855779539354</x:v>
      </x:c>
    </x:row>
    <x:row r="10">
      <x:c r="A10" s="25" t="str">
        <x:v>敏感性：正常化EPS × P/E（未含P/B权重）</x:v>
      </x:c>
      <x:c r="B10" s="26" t="str">
        <x:v>敏感性：正常化EPS × P/E（未含P/B权重）</x:v>
      </x:c>
      <x:c r="C10" s="26" t="str">
        <x:v>敏感性：正常化EPS × P/E（未含P/B权重）</x:v>
      </x:c>
      <x:c r="D10" s="26" t="str">
        <x:v>敏感性：正常化EPS × P/E（未含P/B权重）</x:v>
      </x:c>
      <x:c r="E10" s="26" t="str">
        <x:v>敏感性：正常化EPS × P/E（未含P/B权重）</x:v>
      </x:c>
      <x:c r="F10" s="26" t="str">
        <x:v>敏感性：正常化EPS × P/E（未含P/B权重）</x:v>
      </x:c>
      <x:c r="G10" s="27" t="str">
        <x:v>敏感性：正常化EPS × P/E（未含P/B权重）</x:v>
      </x:c>
    </x:row>
    <x:row r="11">
      <x:c r="A11" s="55" t="str">
        <x:v>EPS \ P/E</x:v>
      </x:c>
      <x:c r="B11" s="56" t="n">
        <x:v>8</x:v>
      </x:c>
      <x:c r="C11" s="56" t="n">
        <x:v>10</x:v>
      </x:c>
      <x:c r="D11" s="56" t="n">
        <x:v>12</x:v>
      </x:c>
      <x:c r="E11" s="56" t="n">
        <x:v>14</x:v>
      </x:c>
      <x:c r="F11" s="56" t="n">
        <x:v>16</x:v>
      </x:c>
      <x:c r="G11" s="57" t="str">
        <x:v>RMB/股</x:v>
      </x:c>
    </x:row>
    <x:row r="12">
      <x:c r="A12" s="16" t="n">
        <x:v>1</x:v>
      </x:c>
      <x:c r="B12" s="137" t="n">
        <x:f>$A12*B$11</x:f>
        <x:v>8</x:v>
      </x:c>
      <x:c r="C12" s="137" t="n">
        <x:f>$A12*C$11</x:f>
        <x:v>10</x:v>
      </x:c>
      <x:c r="D12" s="137" t="n">
        <x:f>$A12*D$11</x:f>
        <x:v>12</x:v>
      </x:c>
      <x:c r="E12" s="137" t="n">
        <x:f>$A12*E$11</x:f>
        <x:v>14</x:v>
      </x:c>
      <x:c r="F12" s="137" t="n">
        <x:f>$A12*F$11</x:f>
        <x:v>16</x:v>
      </x:c>
      <x:c r="G12" s="16"/>
    </x:row>
    <x:row r="13">
      <x:c r="A13" s="19" t="n">
        <x:v>2</x:v>
      </x:c>
      <x:c r="B13" s="106" t="n">
        <x:f>$A13*B$11</x:f>
        <x:v>16</x:v>
      </x:c>
      <x:c r="C13" s="106" t="n">
        <x:f>$A13*C$11</x:f>
        <x:v>20</x:v>
      </x:c>
      <x:c r="D13" s="106" t="n">
        <x:f>$A13*D$11</x:f>
        <x:v>24</x:v>
      </x:c>
      <x:c r="E13" s="106" t="n">
        <x:f>$A13*E$11</x:f>
        <x:v>28</x:v>
      </x:c>
      <x:c r="F13" s="106" t="n">
        <x:f>$A13*F$11</x:f>
        <x:v>32</x:v>
      </x:c>
      <x:c r="G13" s="19"/>
    </x:row>
    <x:row r="14">
      <x:c r="A14" s="19" t="n">
        <x:v>3</x:v>
      </x:c>
      <x:c r="B14" s="106" t="n">
        <x:f>$A14*B$11</x:f>
        <x:v>24</x:v>
      </x:c>
      <x:c r="C14" s="106" t="n">
        <x:f>$A14*C$11</x:f>
        <x:v>30</x:v>
      </x:c>
      <x:c r="D14" s="106" t="n">
        <x:f>$A14*D$11</x:f>
        <x:v>36</x:v>
      </x:c>
      <x:c r="E14" s="106" t="n">
        <x:f>$A14*E$11</x:f>
        <x:v>42</x:v>
      </x:c>
      <x:c r="F14" s="106" t="n">
        <x:f>$A14*F$11</x:f>
        <x:v>48</x:v>
      </x:c>
      <x:c r="G14" s="19"/>
    </x:row>
    <x:row r="15">
      <x:c r="A15" s="19" t="n">
        <x:v>4</x:v>
      </x:c>
      <x:c r="B15" s="106" t="n">
        <x:f>$A15*B$11</x:f>
        <x:v>32</x:v>
      </x:c>
      <x:c r="C15" s="106" t="n">
        <x:f>$A15*C$11</x:f>
        <x:v>40</x:v>
      </x:c>
      <x:c r="D15" s="106" t="n">
        <x:f>$A15*D$11</x:f>
        <x:v>48</x:v>
      </x:c>
      <x:c r="E15" s="106" t="n">
        <x:f>$A15*E$11</x:f>
        <x:v>56</x:v>
      </x:c>
      <x:c r="F15" s="106" t="n">
        <x:f>$A15*F$11</x:f>
        <x:v>64</x:v>
      </x:c>
      <x:c r="G15" s="19"/>
    </x:row>
    <x:row r="16">
      <x:c r="A16" s="22" t="n">
        <x:v>5</x:v>
      </x:c>
      <x:c r="B16" s="146" t="n">
        <x:f>$A16*B$11</x:f>
        <x:v>40</x:v>
      </x:c>
      <x:c r="C16" s="146" t="n">
        <x:f>$A16*C$11</x:f>
        <x:v>50</x:v>
      </x:c>
      <x:c r="D16" s="146" t="n">
        <x:f>$A16*D$11</x:f>
        <x:v>60</x:v>
      </x:c>
      <x:c r="E16" s="146" t="n">
        <x:f>$A16*E$11</x:f>
        <x:v>70</x:v>
      </x:c>
      <x:c r="F16" s="146" t="n">
        <x:f>$A16*F$11</x:f>
        <x:v>80</x:v>
      </x:c>
      <x:c r="G16" s="22"/>
    </x:row>
    <x:row r="19">
      <x:c r="A19" s="25" t="str">
        <x:v>估值限制</x:v>
      </x:c>
      <x:c r="B19" s="26" t="str">
        <x:v>估值限制</x:v>
      </x:c>
      <x:c r="C19" s="26" t="str">
        <x:v>估值限制</x:v>
      </x:c>
      <x:c r="D19" s="26" t="str">
        <x:v>估值限制</x:v>
      </x:c>
      <x:c r="E19" s="26" t="str">
        <x:v>估值限制</x:v>
      </x:c>
      <x:c r="F19" s="26" t="str">
        <x:v>估值限制</x:v>
      </x:c>
      <x:c r="G19" s="26" t="str">
        <x:v>估值限制</x:v>
      </x:c>
      <x:c r="H19" s="26" t="str">
        <x:v>估值限制</x:v>
      </x:c>
      <x:c r="I19" s="27" t="str">
        <x:v>估值限制</x:v>
      </x:c>
    </x:row>
    <x:row r="20">
      <x:c r="A20" s="52" t="str">
        <x:v>主估值延续60%正常化P/E+40%P/B。P/E反映盈利，P/B约束资本密集且利润波动的项目资产；二者相关，不是独立证据。净债务已影响利润和权益，不再重复扣。商品价格和产销量仅为背景校准，尚无完整单位成本模型，EPS为研究假设。</x:v>
      </x:c>
      <x:c r="B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1">
      <x:c r="A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2">
      <x:c r="A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3">
      <x:c r="A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4">
      <x:c r="A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5">
      <x:c r="A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8" ht="27" customHeight="1">
      <x:c r="A28" s="211" t="str">
        <x:v>最新参考指标</x:v>
      </x:c>
      <x:c r="B28" s="211" t="str">
        <x:v>数值</x:v>
      </x:c>
      <x:c r="C28" s="211" t="str">
        <x:v>说明</x:v>
      </x:c>
      <x:c r="D28" s="212"/>
      <x:c r="E28" s="212"/>
      <x:c r="F28" s="212"/>
      <x:c r="G28" s="212"/>
      <x:c r="H28" s="212"/>
      <x:c r="I28" s="212"/>
    </x:row>
    <x:row r="29">
      <x:c r="A29" s="212" t="str">
        <x:v>TTM归母利润</x:v>
      </x:c>
      <x:c r="B29" s="275" t="n">
        <x:f>'Historical'!B35-'Historical'!C35+'Historical'!D35</x:f>
        <x:v>6.59972041749</x:v>
      </x:c>
      <x:c r="C29" s="212"/>
      <x:c r="D29" s="212"/>
      <x:c r="E29" s="212"/>
      <x:c r="F29" s="212"/>
      <x:c r="G29" s="212"/>
      <x:c r="H29" s="212"/>
      <x:c r="I29" s="212"/>
    </x:row>
    <x:row r="30">
      <x:c r="A30" s="212" t="str">
        <x:v>TTM扣非归母</x:v>
      </x:c>
      <x:c r="B30" s="275" t="n">
        <x:f>'Historical'!B36-'Historical'!C36+'Historical'!D36</x:f>
        <x:v>5.19241343527</x:v>
      </x:c>
      <x:c r="C30" s="212"/>
      <x:c r="D30" s="212"/>
      <x:c r="E30" s="212"/>
      <x:c r="F30" s="212"/>
      <x:c r="G30" s="212"/>
      <x:c r="H30" s="212"/>
      <x:c r="I30" s="212"/>
    </x:row>
    <x:row r="31">
      <x:c r="A31" s="212" t="str">
        <x:v>A价等价扣非P/E</x:v>
      </x:c>
      <x:c r="B31" s="275" t="n">
        <x:f>'Assumptions'!B6/B30</x:f>
        <x:v>16.15602150133445</x:v>
      </x:c>
      <x:c r="C31" s="212" t="str">
        <x:v>A价×总股本，非A/H合计市值</x:v>
      </x:c>
      <x:c r="D31" s="212"/>
      <x:c r="E31" s="212"/>
      <x:c r="F31" s="212"/>
      <x:c r="G31" s="212"/>
      <x:c r="H31" s="212"/>
      <x:c r="I31" s="212"/>
    </x:row>
    <x:row r="32">
      <x:c r="A32" s="212" t="str">
        <x:v>P/E单独基准价值</x:v>
      </x:c>
      <x:c r="B32" s="275" t="n">
        <x:f>D6</x:f>
        <x:v>35.99999999999999</x:v>
      </x:c>
      <x:c r="C32" s="212"/>
      <x:c r="D32" s="212"/>
      <x:c r="E32" s="212"/>
      <x:c r="F32" s="212"/>
      <x:c r="G32" s="212"/>
      <x:c r="H32" s="212"/>
      <x:c r="I32" s="212"/>
    </x:row>
    <x:row r="33">
      <x:c r="A33" s="212" t="str">
        <x:v>P/B单独基准价值</x:v>
      </x:c>
      <x:c r="B33" s="275" t="n">
        <x:f>G6</x:f>
        <x:v>41.31244255308653</x:v>
      </x:c>
      <x:c r="C33" s="212"/>
      <x:c r="D33" s="212"/>
      <x:c r="E33" s="212"/>
      <x:c r="F33" s="212"/>
      <x:c r="G33" s="212"/>
      <x:c r="H33" s="212"/>
      <x:c r="I33" s="212"/>
    </x:row>
    <x:row r="34">
      <x:c r="A34" s="212" t="str">
        <x:v>P/E权重升至75%</x:v>
      </x:c>
      <x:c r="B34" s="275" t="n">
        <x:f>D6*75%+G6*25%</x:f>
        <x:v>37.328110638271625</x:v>
      </x:c>
      <x:c r="C34" s="212"/>
      <x:c r="D34" s="212"/>
      <x:c r="E34" s="212"/>
      <x:c r="F34" s="212"/>
      <x:c r="G34" s="212"/>
      <x:c r="H34" s="212"/>
      <x:c r="I34" s="212"/>
    </x:row>
  </x:sheetData>
  <x:mergeCells>
    <x:mergeCell ref="A1:I1"/>
    <x:mergeCell ref="A10:G10"/>
    <x:mergeCell ref="A19:I19"/>
    <x:mergeCell ref="A20:I25"/>
  </x:mergeCells>
  <x:conditionalFormatting sqref="B12:F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s="172" t="str">
        <x:f>IF(COUNTIF(F5:F24,"FAIL")=0,"OK","FAIL")</x:f>
        <x:v>OK</x:v>
      </x:c>
    </x:row>
    <x:row r="4">
      <x:c r="A4" s="25" t="str">
        <x:v>检查项</x:v>
      </x:c>
      <x:c r="B4" s="26" t="str">
        <x:v>实际值</x:v>
      </x:c>
      <x:c r="C4" s="26" t="str">
        <x:v>预期/阈值</x:v>
      </x:c>
      <x:c r="D4" s="26" t="str">
        <x:v>差异</x:v>
      </x:c>
      <x:c r="E4" s="26" t="str">
        <x:v>容差</x:v>
      </x:c>
      <x:c r="F4" s="26" t="str">
        <x:v>状态</x:v>
      </x:c>
      <x:c r="G4" s="27" t="str">
        <x:v>说明</x:v>
      </x:c>
    </x:row>
    <x:row r="5">
      <x:c r="A5" s="16" t="str">
        <x:v>市值桥</x:v>
      </x:c>
      <x:c r="B5" s="16" t="n">
        <x:f>'Assumptions'!B6</x:f>
        <x:v>83.88874310403999</x:v>
      </x:c>
      <x:c r="C5" s="16" t="n">
        <x:f>'Assumptions'!B4*'Assumptions'!B5</x:f>
        <x:v>83.88874310403999</x:v>
      </x:c>
      <x:c r="D5" s="240" t="n">
        <x:f>B5-C5</x:f>
        <x:v>0</x:v>
      </x:c>
      <x:c r="E5" s="241" t="n">
        <x:f>0.0001</x:f>
        <x:v>0.0001</x:v>
      </x:c>
      <x:c r="F5" s="241" t="str">
        <x:f>IF(ABS(D5)&lt;=E5,"OK","FAIL")</x:f>
        <x:v>OK</x:v>
      </x:c>
      <x:c r="G5" s="16" t="str">
        <x:v>价格×股数</x:v>
      </x:c>
    </x:row>
    <x:row r="6">
      <x:c r="A6" s="19" t="str">
        <x:v>BVPS桥</x:v>
      </x:c>
      <x:c r="B6" s="19" t="n">
        <x:f>'Assumptions'!B8</x:f>
        <x:v>22.95135697393696</x:v>
      </x:c>
      <x:c r="C6" s="19" t="n">
        <x:f>'Assumptions'!B7/'Assumptions'!B5</x:f>
        <x:v>22.95135697393696</x:v>
      </x:c>
      <x:c r="D6" s="242" t="n">
        <x:f>B6-C6</x:f>
        <x:v>0</x:v>
      </x:c>
      <x:c r="E6" s="243" t="n">
        <x:f>0.0001</x:f>
        <x:v>0.0001</x:v>
      </x:c>
      <x:c r="F6" s="243" t="str">
        <x:f>IF(ABS(D6)&lt;=E6,"OK","FAIL")</x:f>
        <x:v>OK</x:v>
      </x:c>
      <x:c r="G6" s="19" t="str">
        <x:v>净资产/股数</x:v>
      </x:c>
    </x:row>
    <x:row r="7">
      <x:c r="A7" s="19" t="str">
        <x:v>当前P/B桥</x:v>
      </x:c>
      <x:c r="B7" s="19" t="n">
        <x:f>'Assumptions'!B9</x:f>
        <x:v>1.7432520458565672</x:v>
      </x:c>
      <x:c r="C7" s="19" t="n">
        <x:f>'Assumptions'!B6/'Assumptions'!B7</x:f>
        <x:v>1.7432520458565672</x:v>
      </x:c>
      <x:c r="D7" s="242" t="n">
        <x:f>B7-C7</x:f>
        <x:v>0</x:v>
      </x:c>
      <x:c r="E7" s="243" t="n">
        <x:f>0.0001</x:f>
        <x:v>0.0001</x:v>
      </x:c>
      <x:c r="F7" s="243" t="str">
        <x:f>IF(ABS(D7)&lt;=E7,"OK","FAIL")</x:f>
        <x:v>OK</x:v>
      </x:c>
      <x:c r="G7" s="19" t="str">
        <x:v>市值/净资产</x:v>
      </x:c>
    </x:row>
    <x:row r="8">
      <x:c r="A8" s="19" t="str">
        <x:v>自由现金流桥</x:v>
      </x:c>
      <x:c r="B8" s="19" t="n">
        <x:f>'Balance &amp; Cash'!B22</x:f>
        <x:v>0.20070988181999994</x:v>
      </x:c>
      <x:c r="C8" s="232" t="n">
        <x:f>'Historical'!E8-'Historical'!F8</x:f>
        <x:v>0.20070988181999994</x:v>
      </x:c>
      <x:c r="D8" s="242" t="n">
        <x:f>B8-C8</x:f>
        <x:v>0</x:v>
      </x:c>
      <x:c r="E8" s="243" t="n">
        <x:f>0.0001</x:f>
        <x:v>0.0001</x:v>
      </x:c>
      <x:c r="F8" s="243" t="str">
        <x:f>IF(ABS(D8)&lt;=E8,"OK","FAIL")</x:f>
        <x:v>OK</x:v>
      </x:c>
      <x:c r="G8" s="19" t="str">
        <x:v>CFO-Capex</x:v>
      </x:c>
    </x:row>
    <x:row r="9">
      <x:c r="A9" s="19" t="str">
        <x:v>融资净负担桥</x:v>
      </x:c>
      <x:c r="B9" s="19" t="n">
        <x:f>'Balance &amp; Cash'!B15</x:f>
        <x:v>32.16101889704</x:v>
      </x:c>
      <x:c r="C9" s="232" t="n">
        <x:f>SUM('Balance &amp; Cash'!C28:C33)-'Balance &amp; Cash'!C34</x:f>
        <x:v>32.16101889704</x:v>
      </x:c>
      <x:c r="D9" s="242" t="n">
        <x:f>B9-C9</x:f>
        <x:v>0</x:v>
      </x:c>
      <x:c r="E9" s="243" t="n">
        <x:f>0.0001</x:f>
        <x:v>0.0001</x:v>
      </x:c>
      <x:c r="F9" s="243" t="str">
        <x:f>IF(ABS(D9)&lt;=E9,"OK","FAIL")</x:f>
        <x:v>OK</x:v>
      </x:c>
      <x:c r="G9" s="19" t="str">
        <x:v>含长期应付款，未纳其他流动项</x:v>
      </x:c>
    </x:row>
    <x:row r="10">
      <x:c r="A10" s="19" t="str">
        <x:v>Base加权价值</x:v>
      </x:c>
      <x:c r="B10" s="19" t="n">
        <x:f>'Valuation'!H6</x:f>
        <x:v>38.124977021234606</x:v>
      </x:c>
      <x:c r="C10" s="19" t="n">
        <x:f>'Valuation'!D6*0.6+'Valuation'!G6*0.4</x:f>
        <x:v>38.124977021234606</x:v>
      </x:c>
      <x:c r="D10" s="242" t="n">
        <x:f>B10-C10</x:f>
        <x:v>0</x:v>
      </x:c>
      <x:c r="E10" s="243" t="n">
        <x:f>0.0001</x:f>
        <x:v>0.0001</x:v>
      </x:c>
      <x:c r="F10" s="243" t="str">
        <x:f>IF(ABS(D10)&lt;=E10,"OK","FAIL")</x:f>
        <x:v>OK</x:v>
      </x:c>
      <x:c r="G10" s="19" t="str">
        <x:v>P/E与P/B权重</x:v>
      </x:c>
    </x:row>
    <x:row r="11">
      <x:c r="A11" s="19" t="str">
        <x:v>估值权重</x:v>
      </x:c>
      <x:c r="B11" s="19" t="n">
        <x:f>0.6+0.4</x:f>
        <x:v>1</x:v>
      </x:c>
      <x:c r="C11" s="19" t="n">
        <x:f>100%</x:f>
        <x:v>1</x:v>
      </x:c>
      <x:c r="D11" s="242" t="n">
        <x:f>B11-C11</x:f>
        <x:v>0</x:v>
      </x:c>
      <x:c r="E11" s="243" t="n">
        <x:f>0.0001</x:f>
        <x:v>0.0001</x:v>
      </x:c>
      <x:c r="F11" s="243" t="str">
        <x:f>IF(ABS(D11)&lt;=E11,"OK","FAIL")</x:f>
        <x:v>OK</x:v>
      </x:c>
      <x:c r="G11" s="19" t="str">
        <x:v>必须等于100%</x:v>
      </x:c>
    </x:row>
    <x:row r="12">
      <x:c r="A12" s="19" t="str">
        <x:v>情景利润递增</x:v>
      </x:c>
      <x:c r="B12" s="19" t="n">
        <x:f>'Assumptions'!D17-'Assumptions'!B17</x:f>
        <x:v>6.290083212</x:v>
      </x:c>
      <x:c r="C12" s="19" t="n">
        <x:f>0</x:f>
        <x:v>0</x:v>
      </x:c>
      <x:c r="D12" s="242" t="n">
        <x:f>B12-C12</x:f>
        <x:v>6.290083212</x:v>
      </x:c>
      <x:c r="E12" s="243" t="n">
        <x:f>0</x:f>
        <x:v>0</x:v>
      </x:c>
      <x:c r="F12" s="243" t="str">
        <x:f>IF(B12&gt;C12,"OK","FAIL")</x:f>
        <x:v>OK</x:v>
      </x:c>
      <x:c r="G12" s="19" t="str">
        <x:v>Bull高于Bear</x:v>
      </x:c>
    </x:row>
    <x:row r="13">
      <x:c r="A13" s="22" t="str">
        <x:v>情景价值递增</x:v>
      </x:c>
      <x:c r="B13" s="22" t="n">
        <x:f>'Valuation'!H7-'Valuation'!H5</x:f>
        <x:v>47.370814184362175</x:v>
      </x:c>
      <x:c r="C13" s="22" t="n">
        <x:f>0</x:f>
        <x:v>0</x:v>
      </x:c>
      <x:c r="D13" s="244" t="n">
        <x:f>B13-C13</x:f>
        <x:v>47.370814184362175</x:v>
      </x:c>
      <x:c r="E13" s="245" t="n">
        <x:f>0</x:f>
        <x:v>0</x:v>
      </x:c>
      <x:c r="F13" s="245" t="str">
        <x:f>IF(B13&gt;C13,"OK","FAIL")</x:f>
        <x:v>OK</x:v>
      </x:c>
      <x:c r="G13" s="22" t="str">
        <x:v>Bull高于Bear</x:v>
      </x:c>
    </x:row>
    <x:row r="14">
      <x:c r="A14" s="212" t="str">
        <x:v>Q3收入累计差核对</x:v>
      </x:c>
      <x:c r="B14" s="256" t="n">
        <x:f>'Historical'!B20</x:f>
        <x:v>13.061786733240002</x:v>
      </x:c>
      <x:c r="C14" s="257" t="n">
        <x:v>13.06178673324</x:v>
      </x:c>
      <x:c r="D14" s="258" t="n">
        <x:f>ROUND(B14-C14,6)</x:f>
        <x:v>0</x:v>
      </x:c>
      <x:c r="E14" s="259" t="n">
        <x:v>0.000001</x:v>
      </x:c>
      <x:c r="F14" s="260" t="str">
        <x:f>IF(ABS(D14)&lt;=E14,"OK","FAIL")</x:f>
        <x:v>OK</x:v>
      </x:c>
      <x:c r="G14" s="212" t="str">
        <x:v>来源原件/独立重算</x:v>
      </x:c>
    </x:row>
    <x:row r="15">
      <x:c r="A15" s="212" t="str">
        <x:v>Q3归母累计差核对</x:v>
      </x:c>
      <x:c r="B15" s="256" t="n">
        <x:f>'Historical'!C20</x:f>
        <x:v>0.7550945993700005</x:v>
      </x:c>
      <x:c r="C15" s="257" t="n">
        <x:v>0.75509459937</x:v>
      </x:c>
      <x:c r="D15" s="258" t="n">
        <x:f>ROUND(B15-C15,6)</x:f>
        <x:v>0</x:v>
      </x:c>
      <x:c r="E15" s="259" t="n">
        <x:v>0.000001</x:v>
      </x:c>
      <x:c r="F15" s="260" t="str">
        <x:f>IF(ABS(D15)&lt;=E15,"OK","FAIL")</x:f>
        <x:v>OK</x:v>
      </x:c>
      <x:c r="G15" s="212" t="str">
        <x:v>来源原件/独立重算</x:v>
      </x:c>
    </x:row>
    <x:row r="16">
      <x:c r="A16" s="212" t="str">
        <x:v>Q3扣非累计差核对</x:v>
      </x:c>
      <x:c r="B16" s="256" t="n">
        <x:f>'Historical'!D20</x:f>
        <x:v>0.7876437739199997</x:v>
      </x:c>
      <x:c r="C16" s="257" t="n">
        <x:v>0.78764377392</x:v>
      </x:c>
      <x:c r="D16" s="258" t="n">
        <x:f>ROUND(B16-C16,6)</x:f>
        <x:v>0</x:v>
      </x:c>
      <x:c r="E16" s="259" t="n">
        <x:v>0.000001</x:v>
      </x:c>
      <x:c r="F16" s="260" t="str">
        <x:f>IF(ABS(D16)&lt;=E16,"OK","FAIL")</x:f>
        <x:v>OK</x:v>
      </x:c>
      <x:c r="G16" s="212" t="str">
        <x:v>来源原件/独立重算</x:v>
      </x:c>
    </x:row>
    <x:row r="17">
      <x:c r="A17" s="212" t="str">
        <x:v>前三季非经常损益桥</x:v>
      </x:c>
      <x:c r="B17" s="256" t="n">
        <x:f>'Historical'!C8-'Historical'!D8</x:f>
        <x:v>0.37638994716000074</x:v>
      </x:c>
      <x:c r="C17" s="257" t="n">
        <x:v>0.37638994716</x:v>
      </x:c>
      <x:c r="D17" s="258" t="n">
        <x:f>ROUND(B17-C17,6)</x:f>
        <x:v>0</x:v>
      </x:c>
      <x:c r="E17" s="259" t="n">
        <x:v>0.000001</x:v>
      </x:c>
      <x:c r="F17" s="260" t="str">
        <x:f>IF(ABS(D17)&lt;=E17,"OK","FAIL")</x:f>
        <x:v>OK</x:v>
      </x:c>
      <x:c r="G17" s="212" t="str">
        <x:v>来源原件/独立重算</x:v>
      </x:c>
    </x:row>
    <x:row r="18">
      <x:c r="A18" s="212" t="str">
        <x:v>前三季购建现金原件</x:v>
      </x:c>
      <x:c r="B18" s="256" t="n">
        <x:f>'Historical'!F8</x:f>
        <x:v>2.09399359334</x:v>
      </x:c>
      <x:c r="C18" s="257" t="n">
        <x:v>2.09399359334</x:v>
      </x:c>
      <x:c r="D18" s="258" t="n">
        <x:f>ROUND(B18-C18,6)</x:f>
        <x:v>0</x:v>
      </x:c>
      <x:c r="E18" s="259" t="n">
        <x:v>0.000001</x:v>
      </x:c>
      <x:c r="F18" s="260" t="str">
        <x:f>IF(ABS(D18)&lt;=E18,"OK","FAIL")</x:f>
        <x:v>OK</x:v>
      </x:c>
      <x:c r="G18" s="212" t="str">
        <x:v>来源原件/独立重算</x:v>
      </x:c>
    </x:row>
    <x:row r="19">
      <x:c r="A19" s="212" t="str">
        <x:v>H1现金购建原件修正</x:v>
      </x:c>
      <x:c r="B19" s="256" t="n">
        <x:f>'Historical'!F7</x:f>
        <x:v>1.8006390221</x:v>
      </x:c>
      <x:c r="C19" s="257" t="n">
        <x:v>1.8006390221</x:v>
      </x:c>
      <x:c r="D19" s="258" t="n">
        <x:f>ROUND(B19-C19,6)</x:f>
        <x:v>0</x:v>
      </x:c>
      <x:c r="E19" s="259" t="n">
        <x:v>0.000001</x:v>
      </x:c>
      <x:c r="F19" s="260" t="str">
        <x:f>IF(ABS(D19)&lt;=E19,"OK","FAIL")</x:f>
        <x:v>OK</x:v>
      </x:c>
      <x:c r="G19" s="212" t="str">
        <x:v>来源原件/独立重算</x:v>
      </x:c>
    </x:row>
    <x:row r="20">
      <x:c r="A20" s="212" t="str">
        <x:v>融资负担独立核对</x:v>
      </x:c>
      <x:c r="B20" s="256" t="n">
        <x:f>'Balance &amp; Cash'!B15</x:f>
        <x:v>32.16101889704</x:v>
      </x:c>
      <x:c r="C20" s="257" t="n">
        <x:v>32.16101889704</x:v>
      </x:c>
      <x:c r="D20" s="258" t="n">
        <x:f>ROUND(B20-C20,6)</x:f>
        <x:v>0</x:v>
      </x:c>
      <x:c r="E20" s="259" t="n">
        <x:v>0.000001</x:v>
      </x:c>
      <x:c r="F20" s="260" t="str">
        <x:f>IF(ABS(D20)&lt;=E20,"OK","FAIL")</x:f>
        <x:v>OK</x:v>
      </x:c>
      <x:c r="G20" s="212" t="str">
        <x:v>来源原件/独立重算</x:v>
      </x:c>
    </x:row>
    <x:row r="21">
      <x:c r="A21" s="212" t="str">
        <x:v>期末现金变动核对</x:v>
      </x:c>
      <x:c r="B21" s="256" t="n">
        <x:f>'Balance &amp; Cash'!C48</x:f>
        <x:v>0.8807049105199998</x:v>
      </x:c>
      <x:c r="C21" s="257" t="n">
        <x:v>0.88070491052</x:v>
      </x:c>
      <x:c r="D21" s="258" t="n">
        <x:f>ROUND(B21-C21,6)</x:f>
        <x:v>0</x:v>
      </x:c>
      <x:c r="E21" s="259" t="n">
        <x:v>0.000001</x:v>
      </x:c>
      <x:c r="F21" s="260" t="str">
        <x:f>IF(ABS(D21)&lt;=E21,"OK","FAIL")</x:f>
        <x:v>OK</x:v>
      </x:c>
      <x:c r="G21" s="212" t="str">
        <x:v>来源原件/独立重算</x:v>
      </x:c>
    </x:row>
    <x:row r="22">
      <x:c r="A22" s="212" t="str">
        <x:v>A/H股份合计</x:v>
      </x:c>
      <x:c r="B22" s="256" t="n">
        <x:f>'Assumptions'!B5</x:f>
        <x:v>2.096694404</x:v>
      </x:c>
      <x:c r="C22" s="257" t="n">
        <x:v>2.096694404</x:v>
      </x:c>
      <x:c r="D22" s="258" t="n">
        <x:f>ROUND(B22-C22,6)</x:f>
        <x:v>0</x:v>
      </x:c>
      <x:c r="E22" s="259" t="n">
        <x:v>0.000001</x:v>
      </x:c>
      <x:c r="F22" s="260" t="str">
        <x:f>IF(ABS(D22)&lt;=E22,"OK","FAIL")</x:f>
        <x:v>OK</x:v>
      </x:c>
      <x:c r="G22" s="212" t="str">
        <x:v>来源原件/独立重算</x:v>
      </x:c>
    </x:row>
    <x:row r="23">
      <x:c r="A23" s="212" t="str">
        <x:v>Q3现金变化桥</x:v>
      </x:c>
      <x:c r="B23" s="256" t="n">
        <x:f>'Balance &amp; Cash'!D48</x:f>
        <x:v>-2.2111415830400007</x:v>
      </x:c>
      <x:c r="C23" s="257" t="n">
        <x:v>-2.21114158304</x:v>
      </x:c>
      <x:c r="D23" s="258" t="n">
        <x:f>ROUND(B23-C23,6)</x:f>
        <x:v>0</x:v>
      </x:c>
      <x:c r="E23" s="259" t="n">
        <x:v>0.000001</x:v>
      </x:c>
      <x:c r="F23" s="260" t="str">
        <x:f>IF(ABS(D23)&lt;=E23,"OK","FAIL")</x:f>
        <x:v>OK</x:v>
      </x:c>
      <x:c r="G23" s="212" t="str">
        <x:v>来源原件/独立重算</x:v>
      </x:c>
    </x:row>
    <x:row r="24">
      <x:c r="A24" s="212" t="str">
        <x:v>H1公司净负债披露</x:v>
      </x:c>
      <x:c r="B24" s="256" t="n">
        <x:f>'Balance &amp; Cash'!B38</x:f>
        <x:v>29.25100542454</x:v>
      </x:c>
      <x:c r="C24" s="257" t="n">
        <x:v>29.25100542454</x:v>
      </x:c>
      <x:c r="D24" s="258" t="n">
        <x:f>ROUND(B24-C24,6)</x:f>
        <x:v>0</x:v>
      </x:c>
      <x:c r="E24" s="259" t="n">
        <x:v>0.000001</x:v>
      </x:c>
      <x:c r="F24" s="260" t="str">
        <x:f>IF(ABS(D24)&lt;=E24,"OK","FAIL")</x:f>
        <x:v>OK</x:v>
      </x:c>
      <x:c r="G24" s="212" t="str">
        <x:v>来源原件/独立重算</x:v>
      </x:c>
    </x:row>
  </x:sheetData>
  <x:mergeCells>
    <x:mergeCell ref="A1:G1"/>
    <x:mergeCell ref="A2:E2"/>
  </x:mergeCells>
  <x:conditionalFormatting sqref="F2:F13">
    <x:cfRule type="containsText" dxfId="0" priority="1" operator="containsText" text="OK"/>
    <x:cfRule type="containsText" dxfId="1" priority="2" operator="containsText" text="FAIL"/>
  </x:conditionalFormatting>
  <x:conditionalFormatting sqref="D5:D11">
    <x:cfRule type="expression" dxfId="3" priority="3">
      <x:formula>ABS(D5)&gt;0.000001</x:formula>
    </x:cfRule>
  </x:conditionalFormatting>
  <x:conditionalFormatting sqref="D14:D24">
    <x:cfRule type="expression" dxfId="4" priority="4">
      <x:formula>ABS(D14)&gt;0.000001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22" hidden="0" customWidth="1"/>
    <x:col min="5" max="5" width="82" hidden="0" customWidth="1"/>
    <x:col min="6" max="6" width="42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</x:row>
    <x:row r="3">
      <x:c r="A3" s="25" t="str">
        <x:v>ID</x:v>
      </x:c>
      <x:c r="B3" s="26" t="str">
        <x:v>输入/主题</x:v>
      </x:c>
      <x:c r="C3" s="26" t="str">
        <x:v>来源</x:v>
      </x:c>
      <x:c r="D3" s="26" t="str">
        <x:v>截至/期间</x:v>
      </x:c>
      <x:c r="E3" s="26" t="str">
        <x:v>URL/本地文件</x:v>
      </x:c>
      <x:c r="F3" s="27" t="str">
        <x:v>审计说明</x:v>
      </x:c>
    </x:row>
    <x:row r="4" ht="44" customHeight="1">
      <x:c r="A4" s="16" t="str">
        <x:v>S1</x:v>
      </x:c>
      <x:c r="B4" s="157" t="str">
        <x:v>2026H1财务、分部、债务与现金流</x:v>
      </x:c>
      <x:c r="C4" s="157" t="str">
        <x:v>公司2026中期业绩</x:v>
      </x:c>
      <x:c r="D4" s="157" t="str">
        <x:v>2026H1</x:v>
      </x:c>
      <x:c r="E4" s="158" t="str">
        <x:v>https://www1.hkexnews.hk/listedco/listconews/sehk/2026/0828/2026082803928.pdf</x:v>
      </x:c>
      <x:c r="F4" s="157" t="str">
        <x:v>IFRS仅用于业务与资本新增；现金流改用CAS</x:v>
      </x:c>
    </x:row>
    <x:row r="5" ht="44" customHeight="1">
      <x:c r="A5" s="19" t="str">
        <x:v>S2</x:v>
      </x:c>
      <x:c r="B5" s="159" t="str">
        <x:v>2025年度财务、项目与产销</x:v>
      </x:c>
      <x:c r="C5" s="159" t="str">
        <x:v>公司2025年报</x:v>
      </x:c>
      <x:c r="D5" s="159" t="str">
        <x:v>FY2025</x:v>
      </x:c>
      <x:c r="E5" s="160" t="str">
        <x:v>https://www.hkexnews.hk/listedco/listconews/sehk/2026/0430/2026043002397_c.pdf</x:v>
      </x:c>
      <x:c r="F5" s="159" t="str">
        <x:v>历史原件保留；年度财务现统一CAS</x:v>
      </x:c>
    </x:row>
    <x:row r="6" ht="44" customHeight="1">
      <x:c r="A6" s="19" t="str">
        <x:v>S3</x:v>
      </x:c>
      <x:c r="B6" s="159" t="str">
        <x:v>内幕交易案件不起诉决定</x:v>
      </x:c>
      <x:c r="C6" s="159" t="str">
        <x:v>公司公告</x:v>
      </x:c>
      <x:c r="D6" s="159" t="str">
        <x:v>2026-07-10</x:v>
      </x:c>
      <x:c r="E6" s="160" t="str">
        <x:v>https://static.cninfo.com.cn/finalpage/2026-07-11/1225418918.PDF</x:v>
      </x:c>
      <x:c r="F6" s="159" t="str">
        <x:v>刑事程序终结；行政处罚历史仍属治理记录</x:v>
      </x:c>
    </x:row>
    <x:row r="7" ht="44" customHeight="1">
      <x:c r="A7" s="19" t="str">
        <x:v>M1</x:v>
      </x:c>
      <x:c r="B7" s="159" t="str">
        <x:v>A股收盘价</x:v>
      </x:c>
      <x:c r="C7" s="159" t="str">
        <x:v>Investing及观势</x:v>
      </x:c>
      <x:c r="D7" s="159" t="str">
        <x:v>2026-10-15</x:v>
      </x:c>
      <x:c r="E7" s="160" t="str">
        <x:v>https://cn.investing.com/equities/ganfeng-lithium-a-historical-data</x:v>
      </x:c>
      <x:c r="F7" s="159" t="str">
        <x:v>40.01元，闭盘，业绩公布前</x:v>
      </x:c>
    </x:row>
    <x:row r="8" ht="44" customHeight="1">
      <x:c r="A8" s="19" t="str">
        <x:v>I1</x:v>
      </x:c>
      <x:c r="B8" s="159" t="str">
        <x:v>碳酸锂期货主力</x:v>
      </x:c>
      <x:c r="C8" s="159" t="str">
        <x:v>广期所行情转引</x:v>
      </x:c>
      <x:c r="D8" s="159" t="str">
        <x:v>2026-09-04</x:v>
      </x:c>
      <x:c r="E8" s="160" t="str">
        <x:v>https://www.9qihuo.com/hangqing?shichang=GFEX</x:v>
      </x:c>
      <x:c r="F8" s="159" t="str">
        <x:v>历史背景，仅2026-09-04，不作为当前锂价</x:v>
      </x:c>
    </x:row>
    <x:row r="9" ht="44" customHeight="1">
      <x:c r="A9" s="19" t="str">
        <x:v>A1</x:v>
      </x:c>
      <x:c r="B9" s="159" t="str">
        <x:v>正常化驱动与利润</x:v>
      </x:c>
      <x:c r="C9" s="159" t="str">
        <x:v>分析假设</x:v>
      </x:c>
      <x:c r="D9" s="159" t="str">
        <x:v>正常化情景</x:v>
      </x:c>
      <x:c r="E9" s="159" t="str"/>
      <x:c r="F9" s="159" t="str">
        <x:v>非公司指引或一致预期</x:v>
      </x:c>
    </x:row>
    <x:row r="10" ht="44" customHeight="1">
      <x:c r="A10" s="19" t="str">
        <x:v>A2</x:v>
      </x:c>
      <x:c r="B10" s="159" t="str">
        <x:v>P/E与P/B倍数</x:v>
      </x:c>
      <x:c r="C10" s="159" t="str">
        <x:v>分析假设</x:v>
      </x:c>
      <x:c r="D10" s="159" t="str">
        <x:v>正常化情景</x:v>
      </x:c>
      <x:c r="E10" s="159" t="str"/>
      <x:c r="F10" s="159" t="str">
        <x:v>周期股估值区间</x:v>
      </x:c>
    </x:row>
    <x:row r="11" ht="44" customHeight="1">
      <x:c r="A11" s="22" t="str">
        <x:v>C1</x:v>
      </x:c>
      <x:c r="B11" s="161" t="str">
        <x:v>净债务与自由现金流</x:v>
      </x:c>
      <x:c r="C11" s="161" t="str">
        <x:v>研究计算</x:v>
      </x:c>
      <x:c r="D11" s="161" t="str">
        <x:v>2026Q3</x:v>
      </x:c>
      <x:c r="E11" s="161" t="str"/>
      <x:c r="F11" s="161" t="str">
        <x:v>按模型公式计算</x:v>
      </x:c>
    </x:row>
    <x:row r="13" ht="55" customHeight="1">
      <x:c r="A13" s="250" t="str">
        <x:v>N1</x:v>
      </x:c>
      <x:c r="B13" s="250" t="str">
        <x:v>2026年第三季度报告</x:v>
      </x:c>
      <x:c r="C13" s="250" t="str">
        <x:v>公司正式公告</x:v>
      </x:c>
      <x:c r="D13" s="250" t="str">
        <x:v>15日晚获取，落款16日</x:v>
      </x:c>
      <x:c r="E13" s="250" t="str">
        <x:v>https://static.cninfo.com.cn/finalpage/2026-10-16/1225607211.PDF</x:v>
      </x:c>
      <x:c r="F13" s="250" t="str">
        <x:v>本地原件：12页</x:v>
      </x:c>
    </x:row>
    <x:row r="14" ht="55" customHeight="1">
      <x:c r="A14" s="250" t="str">
        <x:v>N2</x:v>
      </x:c>
      <x:c r="B14" s="250" t="str">
        <x:v>第六届董事会第二十二次决议</x:v>
      </x:c>
      <x:c r="C14" s="250" t="str">
        <x:v>公司正式公告</x:v>
      </x:c>
      <x:c r="D14" s="250" t="str">
        <x:v>15日晚获取，落款16日</x:v>
      </x:c>
      <x:c r="E14" s="250" t="str">
        <x:v>https://static.cninfo.com.cn/finalpage/2026-10-16/1225607212.PDF</x:v>
      </x:c>
      <x:c r="F14" s="250" t="str">
        <x:v>本地原件：2页</x:v>
      </x:c>
    </x:row>
    <x:row r="15" ht="55" customHeight="1">
      <x:c r="A15" s="250" t="str">
        <x:v>N3</x:v>
      </x:c>
      <x:c r="B15" s="250" t="str">
        <x:v>增加关联担保额度</x:v>
      </x:c>
      <x:c r="C15" s="250" t="str">
        <x:v>公司正式公告</x:v>
      </x:c>
      <x:c r="D15" s="250" t="str">
        <x:v>15日晚获取，落款16日</x:v>
      </x:c>
      <x:c r="E15" s="250" t="str">
        <x:v>https://static.cninfo.com.cn/finalpage/2026-10-16/1225607214.PDF</x:v>
      </x:c>
      <x:c r="F15" s="250" t="str">
        <x:v>本地原件：7页</x:v>
      </x:c>
    </x:row>
    <x:row r="16" ht="55" customHeight="1">
      <x:c r="A16" s="250" t="str">
        <x:v>N4</x:v>
      </x:c>
      <x:c r="B16" s="250" t="str">
        <x:v>对控股子公司担保进展</x:v>
      </x:c>
      <x:c r="C16" s="250" t="str">
        <x:v>公司正式公告</x:v>
      </x:c>
      <x:c r="D16" s="250" t="str">
        <x:v>15日晚获取，落款16日</x:v>
      </x:c>
      <x:c r="E16" s="250" t="str">
        <x:v>https://static.cninfo.com.cn/finalpage/2026-10-16/1225607213.PDF</x:v>
      </x:c>
      <x:c r="F16" s="250" t="str">
        <x:v>本地原件：4页</x:v>
      </x:c>
    </x:row>
    <x:row r="17" ht="55" customHeight="1">
      <x:c r="A17" s="250" t="str">
        <x:v>N5</x:v>
      </x:c>
      <x:c r="B17" s="250" t="str">
        <x:v>2026半年度报告（CAS）</x:v>
      </x:c>
      <x:c r="C17" s="250" t="str">
        <x:v>公司正式公告</x:v>
      </x:c>
      <x:c r="D17" s="250" t="str">
        <x:v>见文件日期</x:v>
      </x:c>
      <x:c r="E17" s="250" t="str">
        <x:v>https://static.cninfo.com.cn/finalpage/2026-08-28/1225533700.PDF</x:v>
      </x:c>
      <x:c r="F17" s="250" t="str">
        <x:v>本地原件：225页</x:v>
      </x:c>
    </x:row>
    <x:row r="18" ht="55" customHeight="1">
      <x:c r="A18" s="250" t="str">
        <x:v>N6</x:v>
      </x:c>
      <x:c r="B18" s="250" t="str">
        <x:v>2026第一季度报告（CAS）</x:v>
      </x:c>
      <x:c r="C18" s="250" t="str">
        <x:v>公司正式公告</x:v>
      </x:c>
      <x:c r="D18" s="250" t="str">
        <x:v>见文件日期</x:v>
      </x:c>
      <x:c r="E18" s="250" t="str">
        <x:v>https://static.cninfo.com.cn/finalpage/2026-04-30/1225255341.PDF</x:v>
      </x:c>
      <x:c r="F18" s="250" t="str">
        <x:v>本地原件：11页</x:v>
      </x:c>
    </x:row>
    <x:row r="19" ht="55" customHeight="1">
      <x:c r="A19" s="250" t="str">
        <x:v>N7</x:v>
      </x:c>
      <x:c r="B19" s="250" t="str">
        <x:v>2025年度报告（CAS）</x:v>
      </x:c>
      <x:c r="C19" s="250" t="str">
        <x:v>公司正式公告</x:v>
      </x:c>
      <x:c r="D19" s="250" t="str">
        <x:v>见文件日期</x:v>
      </x:c>
      <x:c r="E19" s="250" t="str">
        <x:v>https://www.hkexnews.hk/listedco/listconews/sehk/2026/0331/2026033100487_c.pdf</x:v>
      </x:c>
      <x:c r="F19" s="250" t="str">
        <x:v>本地原件：277页</x:v>
      </x:c>
    </x:row>
    <x:row r="20" ht="55" customHeight="1">
      <x:c r="A20" s="250" t="str">
        <x:v>N8</x:v>
      </x:c>
      <x:c r="B20" s="250" t="str">
        <x:v>2026年9月股份月报</x:v>
      </x:c>
      <x:c r="C20" s="250" t="str">
        <x:v>公司正式公告</x:v>
      </x:c>
      <x:c r="D20" s="250" t="str">
        <x:v>见文件日期</x:v>
      </x:c>
      <x:c r="E20" s="250" t="str">
        <x:v>https://static.cninfo.com.cn/finalpage/2026-10-08/1225590578.PDF</x:v>
      </x:c>
      <x:c r="F20" s="250" t="str">
        <x:v>本地原件：10页</x:v>
      </x:c>
    </x:row>
    <x:row r="21" ht="55" customHeight="1">
      <x:c r="A21" s="250" t="str">
        <x:v>M2</x:v>
      </x:c>
      <x:c r="B21" s="250" t="str">
        <x:v>收盘行情交叉核对</x:v>
      </x:c>
      <x:c r="C21" s="250" t="str">
        <x:v>观势</x:v>
      </x:c>
      <x:c r="D21" s="250" t="str">
        <x:v>2026-10-15</x:v>
      </x:c>
      <x:c r="E21" s="250" t="str">
        <x:v>https://www.lvzen.top/stock/002460.html</x:v>
      </x:c>
      <x:c r="F21" s="250" t="str">
        <x:v>仅用价格，不采页面估值</x:v>
      </x:c>
    </x:row>
  </x:sheetData>
  <x:mergeCells>
    <x:mergeCell ref="A1:F1"/>
  </x:mergeCells>
  <x:pageMargins left="0.7" right="0.7" top="0.75" bottom="0.75" header="0.3" footer="0.3"/>
</x:worksheet>
</file>
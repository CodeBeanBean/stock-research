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e8b46eccf145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99e2ccfe02bb4702"/>
    <x:sheet xmlns:r="http://schemas.openxmlformats.org/officeDocument/2006/relationships" name="Valuation" sheetId="2" r:id="R0559ac15a95e4dcd"/>
    <x:sheet xmlns:r="http://schemas.openxmlformats.org/officeDocument/2006/relationships" name="Assumptions" sheetId="3" r:id="R5eabff70b79a4fd9"/>
    <x:sheet xmlns:r="http://schemas.openxmlformats.org/officeDocument/2006/relationships" name="Actuals" sheetId="4" r:id="Rd850670f18854168"/>
    <x:sheet xmlns:r="http://schemas.openxmlformats.org/officeDocument/2006/relationships" name="Operations" sheetId="5" r:id="R5acc4a36dd11490e"/>
    <x:sheet xmlns:r="http://schemas.openxmlformats.org/officeDocument/2006/relationships" name="Cash" sheetId="6" r:id="R783ca78060b246d8"/>
    <x:sheet xmlns:r="http://schemas.openxmlformats.org/officeDocument/2006/relationships" name="Audit" sheetId="7" r:id="Red673ccab3a149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;(#,##0.00);&quot;-&quot;"/>
    <x:numFmt numFmtId="201" formatCode="0.0%;(0.0%);&quot;-&quot;"/>
    <x:numFmt numFmtId="202" formatCode="0"/>
    <x:numFmt numFmtId="203" formatCode="0.0"/>
    <x:numFmt numFmtId="204" formatCode="#,##0"/>
    <x:numFmt numFmtId="205" formatCode="0.00;(0.00);0.00"/>
  </x:numFmts>
  <x:fonts count="8">
    <x:font>
      <x:sz val="11"/>
      <x:name val="Carlito"/>
    </x:font>
    <x:font>
      <x:sz val="10"/>
      <x:color rgb="FF172B3A"/>
      <x:name val="Microsoft YaHei"/>
    </x:font>
    <x:font>
      <x:b/>
      <x:sz val="17"/>
      <x:color rgb="FF172B3A"/>
      <x:name val="Microsoft YaHei"/>
    </x:font>
    <x:font>
      <x:sz val="10"/>
      <x:color rgb="FF667085"/>
      <x:name val="Microsoft YaHei"/>
    </x:font>
    <x:font>
      <x:sz val="10"/>
      <x:color rgb="FF008000"/>
      <x:name val="Microsoft YaHei"/>
    </x:font>
    <x:font>
      <x:b/>
      <x:sz val="10"/>
      <x:color rgb="FFFFFFFF"/>
      <x:name val="Microsoft YaHei"/>
    </x:font>
    <x:font>
      <x:sz val="10"/>
      <x:color rgb="FF0000FF"/>
      <x:name val="Microsoft YaHei"/>
    </x:font>
    <x:font>
      <x:sz val="10"/>
      <x:color rgb="FF000000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43C55"/>
      </x:patternFill>
    </x:fill>
    <x:fill>
      <x:patternFill patternType="solid">
        <x:fgColor rgb="FFEDF1F5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43C55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7" fillId="3" borderId="0" xfId="0" applyNumberFormat="1" applyFont="1" applyFill="1" applyBorder="1" applyAlignment="1">
      <x:alignment vertical="center"/>
    </x:xf>
    <x:xf numFmtId="201" fontId="7" fillId="3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fb8dacd67649ad" /><Relationship Type="http://schemas.openxmlformats.org/officeDocument/2006/relationships/theme" Target="/xl/theme/theme1.xml" Id="Rfb460e4ca0274863" /><Relationship Type="http://schemas.openxmlformats.org/officeDocument/2006/relationships/sharedStrings" Target="/xl/sharedStrings.xml" Id="R0e08f09d713647fa" /><Relationship Type="http://schemas.openxmlformats.org/officeDocument/2006/relationships/worksheet" Target="/xl/worksheets/sheet1.xml" Id="R99e2ccfe02bb4702" /><Relationship Type="http://schemas.openxmlformats.org/officeDocument/2006/relationships/worksheet" Target="/xl/worksheets/sheet2.xml" Id="R0559ac15a95e4dcd" /><Relationship Type="http://schemas.openxmlformats.org/officeDocument/2006/relationships/worksheet" Target="/xl/worksheets/sheet3.xml" Id="R5eabff70b79a4fd9" /><Relationship Type="http://schemas.openxmlformats.org/officeDocument/2006/relationships/worksheet" Target="/xl/worksheets/sheet4.xml" Id="Rd850670f18854168" /><Relationship Type="http://schemas.openxmlformats.org/officeDocument/2006/relationships/worksheet" Target="/xl/worksheets/sheet5.xml" Id="R5acc4a36dd11490e" /><Relationship Type="http://schemas.openxmlformats.org/officeDocument/2006/relationships/worksheet" Target="/xl/worksheets/sheet6.xml" Id="R783ca78060b246d8" /><Relationship Type="http://schemas.openxmlformats.org/officeDocument/2006/relationships/worksheet" Target="/xl/worksheets/sheet7.xml" Id="Red673ccab3a1497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9934cadc9304572" /><Relationship Type="http://schemas.openxmlformats.org/officeDocument/2006/relationships/chart" Target="/xl/drawings/charts/chart2.xml" Id="R0437ffdd897044e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每股价值与参考价（元）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每股价值</c:v>
          </c:tx>
          <c:spPr>
            <a:solidFill xmlns:a="http://schemas.openxmlformats.org/drawingml/2006/main">
              <a:srgbClr val="2E6B63"/>
            </a:solidFill>
          </c:spPr>
          <c:invertIfNegative val="0"/>
          <c:cat>
            <c:strRef>
              <c:f>'Cover'!$C$15:$C$17</c:f>
              <c:strCache>
                <c:ptCount val="0"/>
              </c:strCache>
            </c:strRef>
          </c:cat>
          <c:val>
            <c:numRef>
              <c:f>'Cover'!$D$15:$D$17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参考价</c:v>
          </c:tx>
          <c:spPr>
            <a:solidFill xmlns:a="http://schemas.openxmlformats.org/drawingml/2006/main">
              <a:srgbClr val="A9B8C7"/>
            </a:solidFill>
          </c:spPr>
          <c:invertIfNegative val="0"/>
          <c:cat>
            <c:strRef>
              <c:f>'Cover'!$C$15:$C$17</c:f>
              <c:strCache>
                <c:ptCount val="0"/>
              </c:strCache>
            </c:strRef>
          </c:cat>
          <c:val>
            <c:numRef>
              <c:f>'Cover'!$E$15:$E$17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H1现金与资本开支（百万元）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经营现金</c:v>
          </c:tx>
          <c:spPr>
            <a:solidFill xmlns:a="http://schemas.openxmlformats.org/drawingml/2006/main">
              <a:srgbClr val="2E6B63"/>
            </a:solidFill>
          </c:spPr>
          <c:invertIfNegative val="0"/>
          <c:cat>
            <c:strRef>
              <c:f>'Cover'!$C$24:$C$25</c:f>
              <c:strCache>
                <c:ptCount val="0"/>
              </c:strCache>
            </c:strRef>
          </c:cat>
          <c:val>
            <c:numRef>
              <c:f>'Cover'!$D$24:$D$25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资本开支</c:v>
          </c:tx>
          <c:spPr>
            <a:solidFill xmlns:a="http://schemas.openxmlformats.org/drawingml/2006/main">
              <a:srgbClr val="A9B8C7"/>
            </a:solidFill>
          </c:spPr>
          <c:invertIfNegative val="0"/>
          <c:cat>
            <c:strRef>
              <c:f>'Cover'!$C$24:$C$25</c:f>
              <c:strCache>
                <c:ptCount val="0"/>
              </c:strCache>
            </c:strRef>
          </c:cat>
          <c:val>
            <c:numRef>
              <c:f>'Cover'!$E$24:$E$25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5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934cadc9304572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12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37ffdd897044e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0eb62abd4e547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9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2"/>
      <x:c r="B2" s="2"/>
      <x:c r="C2" s="3" t="str">
        <x:v>赛轮轮胎财务与估值</x:v>
      </x:c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5" customHeight="1">
      <x:c r="A4" s="2"/>
      <x:c r="B4" s="2"/>
      <x:c r="C4" s="5" t="str">
        <x:v>601058.SH，资料截止2026-10-14，价格采用2026-10-13收盘。</x:v>
      </x:c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5" customHeight="1">
      <x:c r="A6" s="2"/>
      <x:c r="B6" s="2"/>
      <x:c r="C6" s="2" t="str">
        <x:v>当前判断</x:v>
      </x:c>
      <x:c r="D6" s="2" t="str">
        <x:v>中性偏积极</x:v>
      </x:c>
      <x:c r="E6" s="2"/>
      <x:c r="F6" s="2"/>
      <x:c r="G6" s="2"/>
      <x:c r="H6" s="2"/>
      <x:c r="I6" s="2"/>
      <x:c r="J6" s="2"/>
      <x:c r="K6" s="2"/>
      <x:c r="L6" s="2"/>
    </x:row>
    <x:row r="7" ht="2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5" customHeight="1">
      <x:c r="A8" s="2"/>
      <x:c r="B8" s="2"/>
      <x:c r="C8" s="2" t="str">
        <x:v>参考价（元）</x:v>
      </x:c>
      <x:c r="D8" s="18" t="n">
        <x:f>'Valuation'!D8</x:f>
        <x:v>12.63</x:v>
      </x:c>
      <x:c r="E8" s="2"/>
      <x:c r="F8" s="2"/>
      <x:c r="G8" s="2"/>
      <x:c r="H8" s="2"/>
      <x:c r="I8" s="2"/>
      <x:c r="J8" s="2"/>
      <x:c r="K8" s="2"/>
      <x:c r="L8" s="2"/>
    </x:row>
    <x:row r="9" ht="25" customHeight="1">
      <x:c r="A9" s="2"/>
      <x:c r="B9" s="2"/>
      <x:c r="C9" s="2" t="str">
        <x:v>基准价值（元）</x:v>
      </x:c>
      <x:c r="D9" s="18" t="n">
        <x:f>'Valuation'!E37</x:f>
        <x:v>15.355371193990106</x:v>
      </x:c>
      <x:c r="E9" s="2"/>
      <x:c r="F9" s="2"/>
      <x:c r="G9" s="2"/>
      <x:c r="H9" s="2"/>
      <x:c r="I9" s="2"/>
      <x:c r="J9" s="2"/>
      <x:c r="K9" s="2"/>
      <x:c r="L9" s="2"/>
    </x:row>
    <x:row r="10" ht="25" customHeight="1">
      <x:c r="A10" s="2"/>
      <x:c r="B10" s="2"/>
      <x:c r="C10" s="2" t="str">
        <x:v>基准空间</x:v>
      </x:c>
      <x:c r="D10" s="20" t="n">
        <x:f>'Valuation'!E38</x:f>
        <x:v>0.21578552604830592</x:v>
      </x:c>
      <x:c r="E10" s="2"/>
      <x:c r="F10" s="2"/>
      <x:c r="G10" s="2"/>
      <x:c r="H10" s="2"/>
      <x:c r="I10" s="2"/>
      <x:c r="J10" s="2"/>
      <x:c r="K10" s="2"/>
      <x:c r="L10" s="2"/>
    </x:row>
    <x:row r="11" ht="25" customHeight="1">
      <x:c r="A11" s="2"/>
      <x:c r="B11" s="2"/>
      <x:c r="C11" s="2" t="str">
        <x:v>当前情景</x:v>
      </x:c>
      <x:c r="D11" s="6" t="str">
        <x:f>'Assumptions'!D40</x:f>
        <x:v>Base</x:v>
      </x:c>
      <x:c r="E11" s="2"/>
      <x:c r="F11" s="2"/>
      <x:c r="G11" s="2"/>
      <x:c r="H11" s="2"/>
      <x:c r="I11" s="2"/>
      <x:c r="J11" s="2"/>
      <x:c r="K11" s="2"/>
      <x:c r="L11" s="2"/>
    </x:row>
    <x:row r="12" ht="2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5" customHeight="1">
      <x:c r="A14" s="2"/>
      <x:c r="B14" s="2"/>
      <x:c r="C14" s="8" t="str">
        <x:v>情景</x:v>
      </x:c>
      <x:c r="D14" s="8" t="str">
        <x:v>每股价值</x:v>
      </x:c>
      <x:c r="E14" s="8" t="str">
        <x:v>参考价</x:v>
      </x:c>
      <x:c r="F14" s="2"/>
      <x:c r="G14" s="2"/>
      <x:c r="H14" s="2"/>
      <x:c r="I14" s="2"/>
      <x:c r="J14" s="2"/>
      <x:c r="K14" s="2"/>
      <x:c r="L14" s="2"/>
    </x:row>
    <x:row r="15" ht="25" customHeight="1">
      <x:c r="A15" s="2"/>
      <x:c r="B15" s="2"/>
      <x:c r="C15" s="2" t="str">
        <x:v>Bear</x:v>
      </x:c>
      <x:c r="D15" s="24" t="n">
        <x:f>'Valuation'!D37</x:f>
        <x:v>8.211428445984014</x:v>
      </x:c>
      <x:c r="E15" s="24" t="n">
        <x:f>'Valuation'!D8</x:f>
        <x:v>12.63</x:v>
      </x:c>
      <x:c r="F15" s="2"/>
      <x:c r="G15" s="2"/>
      <x:c r="H15" s="2"/>
      <x:c r="I15" s="2"/>
      <x:c r="J15" s="2"/>
      <x:c r="K15" s="2"/>
      <x:c r="L15" s="2"/>
    </x:row>
    <x:row r="16" ht="25" customHeight="1">
      <x:c r="A16" s="2"/>
      <x:c r="B16" s="2"/>
      <x:c r="C16" s="2" t="str">
        <x:v>Base</x:v>
      </x:c>
      <x:c r="D16" s="24" t="n">
        <x:f>'Valuation'!E37</x:f>
        <x:v>15.355371193990106</x:v>
      </x:c>
      <x:c r="E16" s="24" t="n">
        <x:f>'Valuation'!D8</x:f>
        <x:v>12.63</x:v>
      </x:c>
      <x:c r="F16" s="2"/>
      <x:c r="G16" s="2"/>
      <x:c r="H16" s="2"/>
      <x:c r="I16" s="2"/>
      <x:c r="J16" s="2"/>
      <x:c r="K16" s="2"/>
      <x:c r="L16" s="2"/>
    </x:row>
    <x:row r="17" ht="25" customHeight="1">
      <x:c r="A17" s="2"/>
      <x:c r="B17" s="2"/>
      <x:c r="C17" s="2" t="str">
        <x:v>Bull</x:v>
      </x:c>
      <x:c r="D17" s="24" t="n">
        <x:f>'Valuation'!F37</x:f>
        <x:v>23.72190439950937</x:v>
      </x:c>
      <x:c r="E17" s="24" t="n">
        <x:f>'Valuation'!D8</x:f>
        <x:v>12.63</x:v>
      </x:c>
      <x:c r="F17" s="2"/>
      <x:c r="G17" s="2"/>
      <x:c r="H17" s="2"/>
      <x:c r="I17" s="2"/>
      <x:c r="J17" s="2"/>
      <x:c r="K17" s="2"/>
      <x:c r="L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5" customHeight="1">
      <x:c r="A23" s="2"/>
      <x:c r="B23" s="2"/>
      <x:c r="C23" s="8" t="str">
        <x:v>H1资金（百万元）</x:v>
      </x:c>
      <x:c r="D23" s="8" t="str">
        <x:v>经营现金</x:v>
      </x:c>
      <x:c r="E23" s="8" t="str">
        <x:v>资本开支</x:v>
      </x:c>
      <x:c r="F23" s="2"/>
      <x:c r="G23" s="2"/>
      <x:c r="H23" s="2"/>
      <x:c r="I23" s="2"/>
      <x:c r="J23" s="2"/>
      <x:c r="K23" s="2"/>
      <x:c r="L23" s="2"/>
    </x:row>
    <x:row r="24" ht="25" customHeight="1">
      <x:c r="A24" s="2"/>
      <x:c r="B24" s="2"/>
      <x:c r="C24" s="2" t="str">
        <x:v>2025H1</x:v>
      </x:c>
      <x:c r="D24" s="25" t="n">
        <x:f>'Actuals'!F13</x:f>
        <x:v>883.54754632</x:v>
      </x:c>
      <x:c r="E24" s="25" t="n">
        <x:f>'Actuals'!F14</x:f>
        <x:v>1749.64582522</x:v>
      </x:c>
      <x:c r="F24" s="2"/>
      <x:c r="G24" s="2"/>
      <x:c r="H24" s="2"/>
      <x:c r="I24" s="2"/>
      <x:c r="J24" s="2"/>
      <x:c r="K24" s="2"/>
      <x:c r="L24" s="2"/>
    </x:row>
    <x:row r="25" ht="25" customHeight="1">
      <x:c r="A25" s="2"/>
      <x:c r="B25" s="2"/>
      <x:c r="C25" s="2" t="str">
        <x:v>2026H1</x:v>
      </x:c>
      <x:c r="D25" s="25" t="n">
        <x:f>'Actuals'!G13</x:f>
        <x:v>1032.80476359</x:v>
      </x:c>
      <x:c r="E25" s="25" t="n">
        <x:f>'Actuals'!G14</x:f>
        <x:v>2598.30475631</x:v>
      </x:c>
      <x:c r="F25" s="2"/>
      <x:c r="G25" s="2"/>
      <x:c r="H25" s="2"/>
      <x:c r="I25" s="2"/>
      <x:c r="J25" s="2"/>
      <x:c r="K25" s="2"/>
      <x:c r="L25" s="2"/>
    </x:row>
    <x:row r="26" ht="2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38" customHeight="1">
      <x:c r="A29" s="2"/>
      <x:c r="B29" s="2"/>
      <x:c r="C29" s="16" t="str">
        <x:v>海外爬坡、成本传导和现金转化</x:v>
      </x:c>
      <x:c r="D29" s="16"/>
      <x:c r="E29" s="16"/>
      <x:c r="F29" s="2"/>
      <x:c r="G29" s="2"/>
      <x:c r="H29" s="2"/>
      <x:c r="I29" s="2"/>
      <x:c r="J29" s="2"/>
      <x:c r="K29" s="2"/>
      <x:c r="L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38" customHeight="1">
      <x:c r="A32" s="2"/>
      <x:c r="B32" s="2"/>
      <x:c r="C32" s="16" t="str">
        <x:v>利润恢复需覆盖营运资金和扩产需求。</x:v>
      </x:c>
      <x:c r="D32" s="16"/>
      <x:c r="E32" s="16"/>
      <x:c r="F32" s="2"/>
      <x:c r="G32" s="2"/>
      <x:c r="H32" s="2"/>
      <x:c r="I32" s="2"/>
      <x:c r="J32" s="2"/>
      <x:c r="K32" s="2"/>
      <x:c r="L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38" customHeight="1">
      <x:c r="A35" s="2"/>
      <x:c r="B35" s="2"/>
      <x:c r="C35" s="16" t="str">
        <x:v>关税、原料和净债务约束估值倍数。</x:v>
      </x:c>
      <x:c r="D35" s="16"/>
      <x:c r="E35" s="16"/>
      <x:c r="F35" s="2"/>
      <x:c r="G35" s="2"/>
      <x:c r="H35" s="2"/>
      <x:c r="I35" s="2"/>
      <x:c r="J35" s="2"/>
      <x:c r="K35" s="2"/>
      <x:c r="L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</x:sheetData>
  <x:mergeCells>
    <x:mergeCell ref="C2:L2"/>
    <x:mergeCell ref="C4:L4"/>
    <x:mergeCell ref="C29:E29"/>
    <x:mergeCell ref="C32:E32"/>
    <x:mergeCell ref="C35:E35"/>
  </x:mergeCells>
  <x:pageMargins left="0.7" right="0.7" top="0.75" bottom="0.75" header="0.3" footer="0.3"/>
  <x:drawing xmlns:r="http://schemas.openxmlformats.org/officeDocument/2006/relationships" r:id="R60eb62abd4e5476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9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2"/>
      <x:c r="B2" s="2"/>
      <x:c r="C2" s="3" t="str">
        <x:v>正常化利润估值与资金压力</x:v>
      </x:c>
      <x:c r="D2" s="2"/>
      <x:c r="E2" s="2"/>
      <x:c r="F2" s="2"/>
      <x:c r="G2" s="2"/>
      <x:c r="H2" s="2"/>
      <x:c r="I2" s="2"/>
    </x:row>
    <x:row r="3" ht="25" customHeight="1">
      <x:c r="A3" s="2"/>
      <x:c r="B3" s="2"/>
      <x:c r="C3" s="4"/>
      <x:c r="D3" s="4"/>
      <x:c r="E3" s="4"/>
      <x:c r="F3" s="4"/>
      <x:c r="G3" s="4"/>
      <x:c r="H3" s="4"/>
      <x:c r="I3" s="4"/>
    </x:row>
    <x:row r="4" ht="25" customHeight="1">
      <x:c r="A4" s="2"/>
      <x:c r="B4" s="2"/>
      <x:c r="C4" s="5" t="str">
        <x:v>人民币百万元及每股人民币元。2027E为研究情景。</x:v>
      </x:c>
      <x:c r="D4" s="2"/>
      <x:c r="E4" s="2"/>
      <x:c r="F4" s="2"/>
      <x:c r="G4" s="2"/>
      <x:c r="H4" s="2"/>
      <x:c r="I4" s="2"/>
    </x:row>
    <x:row r="5" ht="25" customHeight="1">
      <x:c r="A5" s="2"/>
      <x:c r="B5" s="2"/>
      <x:c r="C5" s="2" t="str">
        <x:v>当前情景</x:v>
      </x:c>
      <x:c r="D5" s="6" t="str">
        <x:f>'Assumptions'!D40</x:f>
        <x:v>Base</x:v>
      </x:c>
      <x:c r="E5" s="2"/>
      <x:c r="F5" s="2"/>
      <x:c r="G5" s="2"/>
      <x:c r="H5" s="2"/>
      <x:c r="I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25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25" customHeight="1">
      <x:c r="A8" s="2"/>
      <x:c r="B8" s="2"/>
      <x:c r="C8" s="2" t="str">
        <x:v>参考价（元）</x:v>
      </x:c>
      <x:c r="D8" s="18" t="n">
        <x:f>'Assumptions'!D7</x:f>
        <x:v>12.63</x:v>
      </x:c>
      <x:c r="E8" s="2"/>
      <x:c r="F8" s="2"/>
      <x:c r="G8" s="2"/>
      <x:c r="H8" s="2"/>
      <x:c r="I8" s="2"/>
    </x:row>
    <x:row r="9" ht="25" customHeight="1">
      <x:c r="A9" s="2"/>
      <x:c r="B9" s="2"/>
      <x:c r="C9" s="2" t="str">
        <x:v>估值股数（百万股）</x:v>
      </x:c>
      <x:c r="D9" s="18" t="n">
        <x:f>'Assumptions'!D8</x:f>
        <x:v>3288.100259</x:v>
      </x:c>
      <x:c r="E9" s="2"/>
      <x:c r="F9" s="2"/>
      <x:c r="G9" s="2"/>
      <x:c r="H9" s="2"/>
      <x:c r="I9" s="2"/>
    </x:row>
    <x:row r="10" ht="25" customHeight="1">
      <x:c r="A10" s="2"/>
      <x:c r="B10" s="2"/>
      <x:c r="C10" s="2" t="str">
        <x:v>参考总市值（百万元）</x:v>
      </x:c>
      <x:c r="D10" s="14" t="n">
        <x:f>D8*D9</x:f>
        <x:v>41528.70627117</x:v>
      </x:c>
      <x:c r="E10" s="2"/>
      <x:c r="F10" s="2"/>
      <x:c r="G10" s="2"/>
      <x:c r="H10" s="2"/>
      <x:c r="I10" s="2"/>
    </x:row>
    <x:row r="11" ht="25" customHeight="1">
      <x:c r="A11" s="2"/>
      <x:c r="B11" s="2"/>
      <x:c r="C11" s="2" t="str">
        <x:v>TTM归母净利润</x:v>
      </x:c>
      <x:c r="D11" s="18" t="n">
        <x:f>'Actuals'!E10-'Actuals'!F10+'Actuals'!G10</x:f>
        <x:v>3851.44034738</x:v>
      </x:c>
      <x:c r="E11" s="2"/>
      <x:c r="F11" s="2"/>
      <x:c r="G11" s="2"/>
      <x:c r="H11" s="2"/>
      <x:c r="I11" s="2"/>
    </x:row>
    <x:row r="12" ht="25" customHeight="1">
      <x:c r="A12" s="2"/>
      <x:c r="B12" s="2"/>
      <x:c r="C12" s="2" t="str">
        <x:v>TTM扣非归母净利润</x:v>
      </x:c>
      <x:c r="D12" s="18" t="n">
        <x:f>'Actuals'!E11-'Actuals'!F11+'Actuals'!G11</x:f>
        <x:v>3690.2179947100003</x:v>
      </x:c>
      <x:c r="E12" s="2"/>
      <x:c r="F12" s="2"/>
      <x:c r="G12" s="2"/>
      <x:c r="H12" s="2"/>
      <x:c r="I12" s="2"/>
    </x:row>
    <x:row r="13" ht="25" customHeight="1">
      <x:c r="A13" s="2"/>
      <x:c r="B13" s="2"/>
      <x:c r="C13" s="2" t="str">
        <x:v>TTM归母P/E</x:v>
      </x:c>
      <x:c r="D13" s="14" t="n">
        <x:f>D10/D11</x:f>
        <x:v>10.782642992100481</x:v>
      </x:c>
      <x:c r="E13" s="2"/>
      <x:c r="F13" s="2"/>
      <x:c r="G13" s="2"/>
      <x:c r="H13" s="2"/>
      <x:c r="I13" s="2"/>
    </x:row>
    <x:row r="14" ht="25" customHeight="1">
      <x:c r="A14" s="2"/>
      <x:c r="B14" s="2"/>
      <x:c r="C14" s="2" t="str">
        <x:v>TTM扣非P/E</x:v>
      </x:c>
      <x:c r="D14" s="14" t="n">
        <x:f>D10/D12</x:f>
        <x:v>11.25372710520143</x:v>
      </x:c>
      <x:c r="E14" s="2"/>
      <x:c r="F14" s="2"/>
      <x:c r="G14" s="2"/>
      <x:c r="H14" s="2"/>
      <x:c r="I14" s="2"/>
    </x:row>
    <x:row r="15" ht="25" customHeight="1">
      <x:c r="A15" s="2"/>
      <x:c r="B15" s="2"/>
      <x:c r="C15" s="2"/>
      <x:c r="D15" s="9"/>
      <x:c r="E15" s="2"/>
      <x:c r="F15" s="2"/>
      <x:c r="G15" s="2"/>
      <x:c r="H15" s="2"/>
      <x:c r="I15" s="2"/>
    </x:row>
    <x:row r="16" ht="25" customHeight="1">
      <x:c r="A16" s="2"/>
      <x:c r="B16" s="2"/>
      <x:c r="C16" s="2"/>
      <x:c r="D16" s="9"/>
      <x:c r="E16" s="2"/>
      <x:c r="F16" s="2"/>
      <x:c r="G16" s="2"/>
      <x:c r="H16" s="2"/>
      <x:c r="I16" s="2"/>
    </x:row>
    <x:row r="17" ht="25" customHeight="1">
      <x:c r="A17" s="2"/>
      <x:c r="B17" s="2"/>
      <x:c r="C17" s="2" t="str">
        <x:v>2027正常化营业收入</x:v>
      </x:c>
      <x:c r="D17" s="18" t="n">
        <x:f>'Assumptions'!D17</x:f>
        <x:v>45000</x:v>
      </x:c>
      <x:c r="E17" s="2"/>
      <x:c r="F17" s="2"/>
      <x:c r="G17" s="2"/>
      <x:c r="H17" s="2"/>
      <x:c r="I17" s="2"/>
    </x:row>
    <x:row r="18" ht="25" customHeight="1">
      <x:c r="A18" s="2"/>
      <x:c r="B18" s="2"/>
      <x:c r="C18" s="2" t="str">
        <x:v>正常化扣非归母净利率</x:v>
      </x:c>
      <x:c r="D18" s="20" t="n">
        <x:f>'Assumptions'!D23</x:f>
        <x:v>0.102</x:v>
      </x:c>
      <x:c r="E18" s="2"/>
      <x:c r="F18" s="2"/>
      <x:c r="G18" s="2"/>
      <x:c r="H18" s="2"/>
      <x:c r="I18" s="2"/>
    </x:row>
    <x:row r="19" ht="25" customHeight="1">
      <x:c r="A19" s="2"/>
      <x:c r="B19" s="2"/>
      <x:c r="C19" s="2" t="str">
        <x:v>2027估值归母利润</x:v>
      </x:c>
      <x:c r="D19" s="14" t="n">
        <x:f>IF(OR(D17="n.a.",D18="n.a."),"n.a.",D17*D18)</x:f>
        <x:v>4590</x:v>
      </x:c>
      <x:c r="E19" s="2"/>
      <x:c r="F19" s="2"/>
      <x:c r="G19" s="2"/>
      <x:c r="H19" s="2"/>
      <x:c r="I19" s="2"/>
    </x:row>
    <x:row r="20" ht="25" customHeight="1">
      <x:c r="A20" s="2"/>
      <x:c r="B20" s="2"/>
      <x:c r="C20" s="2" t="str">
        <x:v>合理P/E</x:v>
      </x:c>
      <x:c r="D20" s="18" t="n">
        <x:f>'Assumptions'!D29</x:f>
        <x:v>11</x:v>
      </x:c>
      <x:c r="E20" s="2"/>
      <x:c r="F20" s="2"/>
      <x:c r="G20" s="2"/>
      <x:c r="H20" s="2"/>
      <x:c r="I20" s="2"/>
    </x:row>
    <x:row r="21" ht="25" customHeight="1">
      <x:c r="A21" s="2"/>
      <x:c r="B21" s="2"/>
      <x:c r="C21" s="21" t="str">
        <x:v>每股价值（元）</x:v>
      </x:c>
      <x:c r="D21" s="22" t="n">
        <x:f>IF(OR(D19="n.a.",D20="n.a."),"n.a.",D19*D20/D9)</x:f>
        <x:v>15.355371193990106</x:v>
      </x:c>
      <x:c r="E21" s="2"/>
      <x:c r="F21" s="2"/>
      <x:c r="G21" s="2"/>
      <x:c r="H21" s="2"/>
      <x:c r="I21" s="2"/>
    </x:row>
    <x:row r="22" ht="25" customHeight="1">
      <x:c r="A22" s="2"/>
      <x:c r="B22" s="2"/>
      <x:c r="C22" s="21" t="str">
        <x:v>相对参考价</x:v>
      </x:c>
      <x:c r="D22" s="23" t="n">
        <x:f>IF(OR(D21="n.a.",D8&lt;=0),"n.a.",D21/D8-1)</x:f>
        <x:v>0.21578552604830592</x:v>
      </x:c>
      <x:c r="E22" s="2"/>
      <x:c r="F22" s="2"/>
      <x:c r="G22" s="2"/>
      <x:c r="H22" s="2"/>
      <x:c r="I22" s="2"/>
    </x:row>
    <x:row r="23" ht="25" customHeight="1">
      <x:c r="A23" s="2"/>
      <x:c r="B23" s="2"/>
      <x:c r="C23" s="2"/>
      <x:c r="D23" s="9"/>
      <x:c r="E23" s="2"/>
      <x:c r="F23" s="2"/>
      <x:c r="G23" s="2"/>
      <x:c r="H23" s="2"/>
      <x:c r="I23" s="2"/>
    </x:row>
    <x:row r="24" ht="25" customHeight="1">
      <x:c r="A24" s="2"/>
      <x:c r="B24" s="2"/>
      <x:c r="C24" s="2" t="str">
        <x:v>2027 CFO现金代理</x:v>
      </x:c>
      <x:c r="D24" s="18" t="n">
        <x:f>IF(D19="n.a.","n.a.",D19*'Assumptions'!D11)</x:f>
        <x:v>5967</x:v>
      </x:c>
      <x:c r="E24" s="2"/>
      <x:c r="F24" s="2"/>
      <x:c r="G24" s="2"/>
      <x:c r="H24" s="2"/>
      <x:c r="I24" s="2"/>
    </x:row>
    <x:row r="25" ht="25" customHeight="1">
      <x:c r="A25" s="2"/>
      <x:c r="B25" s="2"/>
      <x:c r="C25" s="2" t="str">
        <x:v>现金资本开支</x:v>
      </x:c>
      <x:c r="D25" s="18" t="n">
        <x:f>'Assumptions'!D35</x:f>
        <x:v>6000</x:v>
      </x:c>
      <x:c r="E25" s="2"/>
      <x:c r="F25" s="2"/>
      <x:c r="G25" s="2"/>
      <x:c r="H25" s="2"/>
      <x:c r="I25" s="2"/>
    </x:row>
    <x:row r="26" ht="25" customHeight="1">
      <x:c r="A26" s="2"/>
      <x:c r="B26" s="2"/>
      <x:c r="C26" s="2" t="str">
        <x:v>现金利息及租赁</x:v>
      </x:c>
      <x:c r="D26" s="18" t="n">
        <x:f>SUM('Assumptions'!D12:D13)</x:f>
        <x:v>570</x:v>
      </x:c>
      <x:c r="E26" s="2"/>
      <x:c r="F26" s="2"/>
      <x:c r="G26" s="2"/>
      <x:c r="H26" s="2"/>
      <x:c r="I26" s="2"/>
    </x:row>
    <x:row r="27" ht="25" customHeight="1">
      <x:c r="A27" s="2"/>
      <x:c r="B27" s="2"/>
      <x:c r="C27" s="2" t="str">
        <x:v>资本开支后现金代理</x:v>
      </x:c>
      <x:c r="D27" s="14" t="n">
        <x:f>IF(OR(D24="n.a.",D25="n.a."),"n.a.",D24-D25-D26)</x:f>
        <x:v>-603</x:v>
      </x:c>
      <x:c r="E27" s="2"/>
      <x:c r="F27" s="2"/>
      <x:c r="G27" s="2"/>
      <x:c r="H27" s="2"/>
      <x:c r="I27" s="2"/>
    </x:row>
    <x:row r="28" ht="25" customHeight="1">
      <x:c r="A28" s="2"/>
      <x:c r="B28" s="2"/>
      <x:c r="C28" s="2" t="str">
        <x:v>假设未来DPS（元）</x:v>
      </x:c>
      <x:c r="D28" s="18" t="n">
        <x:f>IF(D19="n.a.","n.a.",D19/D9*'Assumptions'!D10)</x:f>
        <x:v>0.4187828507451847</x:v>
      </x:c>
      <x:c r="E28" s="2"/>
      <x:c r="F28" s="2"/>
      <x:c r="G28" s="2"/>
      <x:c r="H28" s="2"/>
      <x:c r="I28" s="2"/>
    </x:row>
    <x:row r="29" ht="25" customHeight="1">
      <x:c r="A29" s="2"/>
      <x:c r="B29" s="2"/>
      <x:c r="C29" s="2" t="str">
        <x:v>假设未来股息率</x:v>
      </x:c>
      <x:c r="D29" s="12" t="n">
        <x:f>IF(OR(D28="n.a.",D8&lt;=0),"n.a.",D28/D8)</x:f>
        <x:v>0.03315778707404471</x:v>
      </x:c>
      <x:c r="E29" s="2"/>
      <x:c r="F29" s="2"/>
      <x:c r="G29" s="2"/>
      <x:c r="H29" s="2"/>
      <x:c r="I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25" customHeight="1">
      <x:c r="A32" s="2"/>
      <x:c r="B32" s="2"/>
      <x:c r="C32" s="8" t="str">
        <x:v>简明收入利润倍数比较</x:v>
      </x:c>
      <x:c r="D32" s="8" t="str">
        <x:v>Bear</x:v>
      </x:c>
      <x:c r="E32" s="8" t="str">
        <x:v>Base</x:v>
      </x:c>
      <x:c r="F32" s="8" t="str">
        <x:v>Bull</x:v>
      </x:c>
      <x:c r="G32" s="2"/>
      <x:c r="H32" s="2"/>
      <x:c r="I32" s="2"/>
    </x:row>
    <x:row r="33" ht="25" customHeight="1">
      <x:c r="A33" s="2"/>
      <x:c r="B33" s="2"/>
      <x:c r="C33" s="2" t="str">
        <x:v>正常化收入</x:v>
      </x:c>
      <x:c r="D33" s="18" t="n">
        <x:f>IF(ISBLANK('Assumptions'!D18),"n.a.",'Assumptions'!D18)</x:f>
        <x:v>40000</x:v>
      </x:c>
      <x:c r="E33" s="18" t="n">
        <x:f>IF(ISBLANK('Assumptions'!D19),"n.a.",'Assumptions'!D19)</x:f>
        <x:v>45000</x:v>
      </x:c>
      <x:c r="F33" s="18" t="n">
        <x:f>IF(ISBLANK('Assumptions'!D20),"n.a.",'Assumptions'!D20)</x:f>
        <x:v>50000</x:v>
      </x:c>
      <x:c r="G33" s="2"/>
      <x:c r="H33" s="2"/>
      <x:c r="I33" s="2"/>
    </x:row>
    <x:row r="34" ht="25" customHeight="1">
      <x:c r="A34" s="2"/>
      <x:c r="B34" s="2"/>
      <x:c r="C34" s="2" t="str">
        <x:v>扣非归母净利率</x:v>
      </x:c>
      <x:c r="D34" s="20" t="n">
        <x:f>IF(ISBLANK('Assumptions'!D24),"n.a.",'Assumptions'!D24)</x:f>
        <x:v>0.075</x:v>
      </x:c>
      <x:c r="E34" s="20" t="n">
        <x:f>IF(ISBLANK('Assumptions'!D25),"n.a.",'Assumptions'!D25)</x:f>
        <x:v>0.102</x:v>
      </x:c>
      <x:c r="F34" s="20" t="n">
        <x:f>IF(ISBLANK('Assumptions'!D26),"n.a.",'Assumptions'!D26)</x:f>
        <x:v>0.12</x:v>
      </x:c>
      <x:c r="G34" s="2"/>
      <x:c r="H34" s="2"/>
      <x:c r="I34" s="2"/>
    </x:row>
    <x:row r="35" ht="25" customHeight="1">
      <x:c r="A35" s="2"/>
      <x:c r="B35" s="2"/>
      <x:c r="C35" s="2" t="str">
        <x:v>估值归母利润</x:v>
      </x:c>
      <x:c r="D35" s="14" t="n">
        <x:f>IF(OR(D33="n.a.",D34="n.a."),"n.a.",D33*D34)</x:f>
        <x:v>3000</x:v>
      </x:c>
      <x:c r="E35" s="14" t="n">
        <x:f>IF(OR(E33="n.a.",E34="n.a."),"n.a.",E33*E34)</x:f>
        <x:v>4590</x:v>
      </x:c>
      <x:c r="F35" s="14" t="n">
        <x:f>IF(OR(F33="n.a.",F34="n.a."),"n.a.",F33*F34)</x:f>
        <x:v>6000</x:v>
      </x:c>
      <x:c r="G35" s="2"/>
      <x:c r="H35" s="2"/>
      <x:c r="I35" s="2"/>
    </x:row>
    <x:row r="36" ht="25" customHeight="1">
      <x:c r="A36" s="2"/>
      <x:c r="B36" s="2"/>
      <x:c r="C36" s="2" t="str">
        <x:v>合理P/E</x:v>
      </x:c>
      <x:c r="D36" s="18" t="n">
        <x:f>IF(ISBLANK('Assumptions'!D30),"n.a.",'Assumptions'!D30)</x:f>
        <x:v>9</x:v>
      </x:c>
      <x:c r="E36" s="18" t="n">
        <x:f>IF(ISBLANK('Assumptions'!D31),"n.a.",'Assumptions'!D31)</x:f>
        <x:v>11</x:v>
      </x:c>
      <x:c r="F36" s="18" t="n">
        <x:f>IF(ISBLANK('Assumptions'!D32),"n.a.",'Assumptions'!D32)</x:f>
        <x:v>13</x:v>
      </x:c>
      <x:c r="G36" s="2"/>
      <x:c r="H36" s="2"/>
      <x:c r="I36" s="2"/>
    </x:row>
    <x:row r="37" ht="25" customHeight="1">
      <x:c r="A37" s="2"/>
      <x:c r="B37" s="2"/>
      <x:c r="C37" s="21" t="str">
        <x:v>每股价值（元）</x:v>
      </x:c>
      <x:c r="D37" s="22" t="n">
        <x:f>IF(OR(D35="n.a.",D36="n.a."),"n.a.",D35*D36/$D$9)</x:f>
        <x:v>8.211428445984014</x:v>
      </x:c>
      <x:c r="E37" s="22" t="n">
        <x:f>IF(OR(E35="n.a.",E36="n.a."),"n.a.",E35*E36/$D$9)</x:f>
        <x:v>15.355371193990106</x:v>
      </x:c>
      <x:c r="F37" s="22" t="n">
        <x:f>IF(OR(F35="n.a.",F36="n.a."),"n.a.",F35*F36/$D$9)</x:f>
        <x:v>23.72190439950937</x:v>
      </x:c>
      <x:c r="G37" s="2"/>
      <x:c r="H37" s="2"/>
      <x:c r="I37" s="2"/>
    </x:row>
    <x:row r="38" ht="25" customHeight="1">
      <x:c r="A38" s="2"/>
      <x:c r="B38" s="2"/>
      <x:c r="C38" s="21" t="str">
        <x:v>相对参考价</x:v>
      </x:c>
      <x:c r="D38" s="23" t="n">
        <x:f>IF(OR(D37="n.a.",$D$8&lt;=0),"n.a.",D37/$D$8-1)</x:f>
        <x:v>-0.3498473122736332</x:v>
      </x:c>
      <x:c r="E38" s="23" t="n">
        <x:f>IF(OR(E37="n.a.",$D$8&lt;=0),"n.a.",E37/$D$8-1)</x:f>
        <x:v>0.21578552604830592</x:v>
      </x:c>
      <x:c r="F38" s="23" t="n">
        <x:f>IF(OR(F37="n.a.",$D$8&lt;=0),"n.a.",F37/$D$8-1)</x:f>
        <x:v>0.8782188756539484</x:v>
      </x:c>
      <x:c r="G38" s="2"/>
      <x:c r="H38" s="2"/>
      <x:c r="I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38" customHeight="1">
      <x:c r="A40" s="2"/>
      <x:c r="B40" s="2"/>
      <x:c r="C40" s="16" t="str">
        <x:v>Base资本支出后现金代理为负，派息可能需要融资支持。不能只看利润增速。</x:v>
      </x:c>
      <x:c r="D40" s="16"/>
      <x:c r="E40" s="16"/>
      <x:c r="F40" s="16"/>
      <x:c r="G40" s="16"/>
      <x:c r="H40" s="16"/>
      <x:c r="I40" s="16"/>
    </x:row>
    <x:row r="41" ht="25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38" customHeight="1">
      <x:c r="A42" s="2"/>
      <x:c r="B42" s="2"/>
      <x:c r="C42" s="16" t="str">
        <x:v>利润和倍数均非市场一致预测。主方法P/E，现金及股息只是约束和交叉检验。</x:v>
      </x:c>
      <x:c r="D42" s="16"/>
      <x:c r="E42" s="16"/>
      <x:c r="F42" s="16"/>
      <x:c r="G42" s="16"/>
      <x:c r="H42" s="16"/>
      <x:c r="I42" s="16"/>
    </x:row>
    <x:row r="43" ht="25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38" customHeight="1">
      <x:c r="A44" s="2"/>
      <x:c r="B44" s="2"/>
      <x:c r="C44" s="16" t="str">
        <x:v>股本含员工持股已发行股份，不按锁定期解锁重复新增。保留全部股份作保守分母。</x:v>
      </x:c>
      <x:c r="D44" s="16"/>
      <x:c r="E44" s="16"/>
      <x:c r="F44" s="16"/>
      <x:c r="G44" s="16"/>
      <x:c r="H44" s="16"/>
      <x:c r="I44" s="16"/>
    </x:row>
    <x:row r="45" ht="25" customHeight="1">
      <x:c r="A45" s="2"/>
      <x:c r="B45" s="2"/>
      <x:c r="C45" s="2"/>
      <x:c r="D45" s="2"/>
      <x:c r="E45" s="2"/>
      <x:c r="F45" s="2"/>
      <x:c r="G45" s="2"/>
      <x:c r="H45" s="2"/>
      <x:c r="I45" s="2"/>
    </x:row>
  </x:sheetData>
  <x:mergeCells>
    <x:mergeCell ref="C2:I2"/>
    <x:mergeCell ref="C4:I4"/>
    <x:mergeCell ref="C40:I40"/>
    <x:mergeCell ref="C42:I42"/>
    <x:mergeCell ref="C44:I4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9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2"/>
      <x:c r="B2" s="2"/>
      <x:c r="C2" s="3" t="str">
        <x:v>2027年正常化假设</x:v>
      </x:c>
      <x:c r="D2" s="2"/>
      <x:c r="E2" s="2"/>
      <x:c r="F2" s="2"/>
      <x:c r="G2" s="2"/>
      <x:c r="H2" s="2"/>
      <x:c r="I2" s="2"/>
    </x:row>
    <x:row r="3" ht="25" customHeight="1">
      <x:c r="A3" s="2"/>
      <x:c r="B3" s="2"/>
      <x:c r="C3" s="4"/>
      <x:c r="D3" s="4"/>
      <x:c r="E3" s="4"/>
      <x:c r="F3" s="4"/>
      <x:c r="G3" s="4"/>
      <x:c r="H3" s="4"/>
      <x:c r="I3" s="4"/>
    </x:row>
    <x:row r="4" ht="25" customHeight="1">
      <x:c r="A4" s="2"/>
      <x:c r="B4" s="2"/>
      <x:c r="C4" s="5" t="str">
        <x:v>人民币百万元。利润率包括成本、税、财务费用和少数股东影响。</x:v>
      </x:c>
      <x:c r="D4" s="2"/>
      <x:c r="E4" s="2"/>
      <x:c r="F4" s="2"/>
      <x:c r="G4" s="2"/>
      <x:c r="H4" s="2"/>
      <x:c r="I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5" customHeight="1">
      <x:c r="A6" s="2"/>
      <x:c r="B6" s="2"/>
      <x:c r="C6" s="8" t="str">
        <x:v>市场与共同输入</x:v>
      </x:c>
      <x:c r="D6" s="8" t="str">
        <x:v>数值</x:v>
      </x:c>
      <x:c r="E6" s="8" t="str">
        <x:v>来源/性质</x:v>
      </x:c>
      <x:c r="F6" s="2"/>
      <x:c r="G6" s="2"/>
      <x:c r="H6" s="2"/>
      <x:c r="I6" s="2"/>
    </x:row>
    <x:row r="7" ht="25" customHeight="1">
      <x:c r="A7" s="2"/>
      <x:c r="B7" s="2"/>
      <x:c r="C7" s="2" t="str">
        <x:v>参考价（元）</x:v>
      </x:c>
      <x:c r="D7" s="10" t="n">
        <x:v>12.63</x:v>
      </x:c>
      <x:c r="E7" s="2" t="str">
        <x:v>S11 2026-10-13已收盘</x:v>
      </x:c>
      <x:c r="F7" s="2"/>
      <x:c r="G7" s="2"/>
      <x:c r="H7" s="2"/>
      <x:c r="I7" s="2"/>
    </x:row>
    <x:row r="8" ht="25" customHeight="1">
      <x:c r="A8" s="2"/>
      <x:c r="B8" s="2"/>
      <x:c r="C8" s="2" t="str">
        <x:v>估值股份（百万股）</x:v>
      </x:c>
      <x:c r="D8" s="10" t="n">
        <x:v>3288.100259</x:v>
      </x:c>
      <x:c r="E8" s="2" t="str">
        <x:v>S5 9月分红实施总股本</x:v>
      </x:c>
      <x:c r="F8" s="2"/>
      <x:c r="G8" s="2"/>
      <x:c r="H8" s="2"/>
      <x:c r="I8" s="2"/>
    </x:row>
    <x:row r="9" ht="25" customHeight="1">
      <x:c r="A9" s="2"/>
      <x:c r="B9" s="2"/>
      <x:c r="C9" s="2" t="str">
        <x:v>情景选择 1/2/3</x:v>
      </x:c>
      <x:c r="D9" s="19" t="n">
        <x:v>2</x:v>
      </x:c>
      <x:c r="E9" s="2" t="str">
        <x:v>Bear/Base/Bull</x:v>
      </x:c>
      <x:c r="F9" s="2"/>
      <x:c r="G9" s="2"/>
      <x:c r="H9" s="2"/>
      <x:c r="I9" s="2"/>
    </x:row>
    <x:row r="10" ht="25" customHeight="1">
      <x:c r="A10" s="2"/>
      <x:c r="B10" s="2"/>
      <x:c r="C10" s="2" t="str">
        <x:v>未来派息率</x:v>
      </x:c>
      <x:c r="D10" s="15" t="n">
        <x:v>0.3</x:v>
      </x:c>
      <x:c r="E10" s="2" t="str">
        <x:v>S2 p65政策，归母口径代理</x:v>
      </x:c>
      <x:c r="F10" s="2"/>
      <x:c r="G10" s="2"/>
      <x:c r="H10" s="2"/>
      <x:c r="I10" s="2"/>
    </x:row>
    <x:row r="11" ht="25" customHeight="1">
      <x:c r="A11" s="2"/>
      <x:c r="B11" s="2"/>
      <x:c r="C11" s="2" t="str">
        <x:v>CFO/归母利润代理</x:v>
      </x:c>
      <x:c r="D11" s="10" t="n">
        <x:v>1.3</x:v>
      </x:c>
      <x:c r="E11" s="2" t="str">
        <x:v>研究假设，含折旧/营运资本</x:v>
      </x:c>
      <x:c r="F11" s="2"/>
      <x:c r="G11" s="2"/>
      <x:c r="H11" s="2"/>
      <x:c r="I11" s="2"/>
    </x:row>
    <x:row r="12" ht="25" customHeight="1">
      <x:c r="A12" s="2"/>
      <x:c r="B12" s="2"/>
      <x:c r="C12" s="2" t="str">
        <x:v>年度现金借款利息</x:v>
      </x:c>
      <x:c r="D12" s="10" t="n">
        <x:v>500</x:v>
      </x:c>
      <x:c r="E12" s="2" t="str">
        <x:v>现金敏感性，非损益重复扣减</x:v>
      </x:c>
      <x:c r="F12" s="2"/>
      <x:c r="G12" s="2"/>
      <x:c r="H12" s="2"/>
      <x:c r="I12" s="2"/>
    </x:row>
    <x:row r="13" ht="25" customHeight="1">
      <x:c r="A13" s="2"/>
      <x:c r="B13" s="2"/>
      <x:c r="C13" s="2" t="str">
        <x:v>年度租赁支付</x:v>
      </x:c>
      <x:c r="D13" s="10" t="n">
        <x:v>70</x:v>
      </x:c>
      <x:c r="E13" s="2" t="str">
        <x:v>研究假设，近2025实际</x:v>
      </x:c>
      <x:c r="F13" s="2"/>
      <x:c r="G13" s="2"/>
      <x:c r="H13" s="2"/>
      <x:c r="I13" s="2"/>
    </x:row>
    <x:row r="14" ht="25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25" customHeight="1">
      <x:c r="A16" s="2"/>
      <x:c r="B16" s="2"/>
      <x:c r="C16" s="8" t="str">
        <x:v>正常化营业收入</x:v>
      </x:c>
      <x:c r="D16" s="8" t="str">
        <x:v>2027E</x:v>
      </x:c>
      <x:c r="E16" s="2"/>
      <x:c r="F16" s="2"/>
      <x:c r="G16" s="2"/>
      <x:c r="H16" s="2"/>
      <x:c r="I16" s="2"/>
    </x:row>
    <x:row r="17" ht="25" customHeight="1">
      <x:c r="A17" s="2"/>
      <x:c r="B17" s="2"/>
      <x:c r="C17" s="2" t="str">
        <x:v>Active Selection</x:v>
      </x:c>
      <x:c r="D17" s="14" t="n">
        <x:f>IF(CHOOSE($D$9,ISBLANK(D18),ISBLANK(D19),ISBLANK(D20)),"n.a.",CHOOSE($D$9,D18,D19,D20))</x:f>
        <x:v>45000</x:v>
      </x:c>
      <x:c r="E17" s="2"/>
      <x:c r="F17" s="2"/>
      <x:c r="G17" s="2"/>
      <x:c r="H17" s="2"/>
      <x:c r="I17" s="2"/>
    </x:row>
    <x:row r="18" ht="25" customHeight="1">
      <x:c r="A18" s="2"/>
      <x:c r="B18" s="2"/>
      <x:c r="C18" s="2" t="str">
        <x:v>Bear</x:v>
      </x:c>
      <x:c r="D18" s="10" t="n">
        <x:v>40000</x:v>
      </x:c>
      <x:c r="E18" s="2"/>
      <x:c r="F18" s="2"/>
      <x:c r="G18" s="2"/>
      <x:c r="H18" s="2"/>
      <x:c r="I18" s="2"/>
    </x:row>
    <x:row r="19" ht="25" customHeight="1">
      <x:c r="A19" s="2"/>
      <x:c r="B19" s="2"/>
      <x:c r="C19" s="2" t="str">
        <x:v>Base</x:v>
      </x:c>
      <x:c r="D19" s="10" t="n">
        <x:v>45000</x:v>
      </x:c>
      <x:c r="E19" s="2"/>
      <x:c r="F19" s="2"/>
      <x:c r="G19" s="2"/>
      <x:c r="H19" s="2"/>
      <x:c r="I19" s="2"/>
    </x:row>
    <x:row r="20" ht="25" customHeight="1">
      <x:c r="A20" s="2"/>
      <x:c r="B20" s="2"/>
      <x:c r="C20" s="2" t="str">
        <x:v>Bull</x:v>
      </x:c>
      <x:c r="D20" s="10" t="n">
        <x:v>50000</x:v>
      </x:c>
      <x:c r="E20" s="2"/>
      <x:c r="F20" s="2"/>
      <x:c r="G20" s="2"/>
      <x:c r="H20" s="2"/>
      <x:c r="I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25" customHeight="1">
      <x:c r="A22" s="2"/>
      <x:c r="B22" s="2"/>
      <x:c r="C22" s="8" t="str">
        <x:v>正常化扣非归母净利率</x:v>
      </x:c>
      <x:c r="D22" s="8" t="str">
        <x:v>2027E</x:v>
      </x:c>
      <x:c r="E22" s="2"/>
      <x:c r="F22" s="2"/>
      <x:c r="G22" s="2"/>
      <x:c r="H22" s="2"/>
      <x:c r="I22" s="2"/>
    </x:row>
    <x:row r="23" ht="25" customHeight="1">
      <x:c r="A23" s="2"/>
      <x:c r="B23" s="2"/>
      <x:c r="C23" s="2" t="str">
        <x:v>Active Selection</x:v>
      </x:c>
      <x:c r="D23" s="12" t="n">
        <x:f>IF(CHOOSE($D$9,ISBLANK(D24),ISBLANK(D25),ISBLANK(D26)),"n.a.",CHOOSE($D$9,D24,D25,D26))</x:f>
        <x:v>0.102</x:v>
      </x:c>
      <x:c r="E23" s="2"/>
      <x:c r="F23" s="2"/>
      <x:c r="G23" s="2"/>
      <x:c r="H23" s="2"/>
      <x:c r="I23" s="2"/>
    </x:row>
    <x:row r="24" ht="25" customHeight="1">
      <x:c r="A24" s="2"/>
      <x:c r="B24" s="2"/>
      <x:c r="C24" s="2" t="str">
        <x:v>Bear</x:v>
      </x:c>
      <x:c r="D24" s="15" t="n">
        <x:v>0.075</x:v>
      </x:c>
      <x:c r="E24" s="2"/>
      <x:c r="F24" s="2"/>
      <x:c r="G24" s="2"/>
      <x:c r="H24" s="2"/>
      <x:c r="I24" s="2"/>
    </x:row>
    <x:row r="25" ht="25" customHeight="1">
      <x:c r="A25" s="2"/>
      <x:c r="B25" s="2"/>
      <x:c r="C25" s="2" t="str">
        <x:v>Base</x:v>
      </x:c>
      <x:c r="D25" s="15" t="n">
        <x:v>0.102</x:v>
      </x:c>
      <x:c r="E25" s="2"/>
      <x:c r="F25" s="2"/>
      <x:c r="G25" s="2"/>
      <x:c r="H25" s="2"/>
      <x:c r="I25" s="2"/>
    </x:row>
    <x:row r="26" ht="25" customHeight="1">
      <x:c r="A26" s="2"/>
      <x:c r="B26" s="2"/>
      <x:c r="C26" s="2" t="str">
        <x:v>Bull</x:v>
      </x:c>
      <x:c r="D26" s="15" t="n">
        <x:v>0.12</x:v>
      </x:c>
      <x:c r="E26" s="2"/>
      <x:c r="F26" s="2"/>
      <x:c r="G26" s="2"/>
      <x:c r="H26" s="2"/>
      <x:c r="I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25" customHeight="1">
      <x:c r="A28" s="2"/>
      <x:c r="B28" s="2"/>
      <x:c r="C28" s="8" t="str">
        <x:v>合理P/E</x:v>
      </x:c>
      <x:c r="D28" s="8" t="str">
        <x:v>2027E</x:v>
      </x:c>
      <x:c r="E28" s="2"/>
      <x:c r="F28" s="2"/>
      <x:c r="G28" s="2"/>
      <x:c r="H28" s="2"/>
      <x:c r="I28" s="2"/>
    </x:row>
    <x:row r="29" ht="25" customHeight="1">
      <x:c r="A29" s="2"/>
      <x:c r="B29" s="2"/>
      <x:c r="C29" s="2" t="str">
        <x:v>Active Selection</x:v>
      </x:c>
      <x:c r="D29" s="14" t="n">
        <x:f>IF(CHOOSE($D$9,ISBLANK(D30),ISBLANK(D31),ISBLANK(D32)),"n.a.",CHOOSE($D$9,D30,D31,D32))</x:f>
        <x:v>11</x:v>
      </x:c>
      <x:c r="E29" s="2"/>
      <x:c r="F29" s="2"/>
      <x:c r="G29" s="2"/>
      <x:c r="H29" s="2"/>
      <x:c r="I29" s="2"/>
    </x:row>
    <x:row r="30" ht="25" customHeight="1">
      <x:c r="A30" s="2"/>
      <x:c r="B30" s="2"/>
      <x:c r="C30" s="2" t="str">
        <x:v>Bear</x:v>
      </x:c>
      <x:c r="D30" s="10" t="n">
        <x:v>9</x:v>
      </x:c>
      <x:c r="E30" s="2"/>
      <x:c r="F30" s="2"/>
      <x:c r="G30" s="2"/>
      <x:c r="H30" s="2"/>
      <x:c r="I30" s="2"/>
    </x:row>
    <x:row r="31" ht="25" customHeight="1">
      <x:c r="A31" s="2"/>
      <x:c r="B31" s="2"/>
      <x:c r="C31" s="2" t="str">
        <x:v>Base</x:v>
      </x:c>
      <x:c r="D31" s="10" t="n">
        <x:v>11</x:v>
      </x:c>
      <x:c r="E31" s="2"/>
      <x:c r="F31" s="2"/>
      <x:c r="G31" s="2"/>
      <x:c r="H31" s="2"/>
      <x:c r="I31" s="2"/>
    </x:row>
    <x:row r="32" ht="25" customHeight="1">
      <x:c r="A32" s="2"/>
      <x:c r="B32" s="2"/>
      <x:c r="C32" s="2" t="str">
        <x:v>Bull</x:v>
      </x:c>
      <x:c r="D32" s="10" t="n">
        <x:v>13</x:v>
      </x:c>
      <x:c r="E32" s="2"/>
      <x:c r="F32" s="2"/>
      <x:c r="G32" s="2"/>
      <x:c r="H32" s="2"/>
      <x:c r="I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5" customHeight="1">
      <x:c r="A34" s="2"/>
      <x:c r="B34" s="2"/>
      <x:c r="C34" s="8" t="str">
        <x:v>年度现金资本开支</x:v>
      </x:c>
      <x:c r="D34" s="8" t="str">
        <x:v>2027E</x:v>
      </x:c>
      <x:c r="E34" s="2"/>
      <x:c r="F34" s="2"/>
      <x:c r="G34" s="2"/>
      <x:c r="H34" s="2"/>
      <x:c r="I34" s="2"/>
    </x:row>
    <x:row r="35" ht="25" customHeight="1">
      <x:c r="A35" s="2"/>
      <x:c r="B35" s="2"/>
      <x:c r="C35" s="2" t="str">
        <x:v>Active Selection</x:v>
      </x:c>
      <x:c r="D35" s="14" t="n">
        <x:f>IF(CHOOSE($D$9,ISBLANK(D36),ISBLANK(D37),ISBLANK(D38)),"n.a.",CHOOSE($D$9,D36,D37,D38))</x:f>
        <x:v>6000</x:v>
      </x:c>
      <x:c r="E35" s="2"/>
      <x:c r="F35" s="2"/>
      <x:c r="G35" s="2"/>
      <x:c r="H35" s="2"/>
      <x:c r="I35" s="2"/>
    </x:row>
    <x:row r="36" ht="25" customHeight="1">
      <x:c r="A36" s="2"/>
      <x:c r="B36" s="2"/>
      <x:c r="C36" s="2" t="str">
        <x:v>Bear</x:v>
      </x:c>
      <x:c r="D36" s="10" t="n">
        <x:v>4500</x:v>
      </x:c>
      <x:c r="E36" s="2"/>
      <x:c r="F36" s="2"/>
      <x:c r="G36" s="2"/>
      <x:c r="H36" s="2"/>
      <x:c r="I36" s="2"/>
    </x:row>
    <x:row r="37" ht="25" customHeight="1">
      <x:c r="A37" s="2"/>
      <x:c r="B37" s="2"/>
      <x:c r="C37" s="2" t="str">
        <x:v>Base</x:v>
      </x:c>
      <x:c r="D37" s="10" t="n">
        <x:v>6000</x:v>
      </x:c>
      <x:c r="E37" s="2"/>
      <x:c r="F37" s="2"/>
      <x:c r="G37" s="2"/>
      <x:c r="H37" s="2"/>
      <x:c r="I37" s="2"/>
    </x:row>
    <x:row r="38" ht="25" customHeight="1">
      <x:c r="A38" s="2"/>
      <x:c r="B38" s="2"/>
      <x:c r="C38" s="2" t="str">
        <x:v>Bull</x:v>
      </x:c>
      <x:c r="D38" s="10" t="n">
        <x:v>7000</x:v>
      </x:c>
      <x:c r="E38" s="2"/>
      <x:c r="F38" s="2"/>
      <x:c r="G38" s="2"/>
      <x:c r="H38" s="2"/>
      <x:c r="I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5" customHeight="1">
      <x:c r="A40" s="2"/>
      <x:c r="B40" s="2"/>
      <x:c r="C40" s="2" t="str">
        <x:v>当前情景</x:v>
      </x:c>
      <x:c r="D40" s="11" t="str">
        <x:f>CHOOSE(D9,"Bear","Base","Bull")</x:f>
        <x:v>Base</x:v>
      </x:c>
      <x:c r="E40" s="2"/>
      <x:c r="F40" s="2"/>
      <x:c r="G40" s="2"/>
      <x:c r="H40" s="2"/>
      <x:c r="I40" s="2"/>
    </x:row>
    <x:row r="41" ht="25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38" customHeight="1">
      <x:c r="A42" s="2"/>
      <x:c r="B42" s="2"/>
      <x:c r="C42" s="16" t="str">
        <x:v>收入400/450/500亿元，由2025实际367.92亿元及2026H1增长、海外爬坡约束。</x:v>
      </x:c>
      <x:c r="D42" s="16"/>
      <x:c r="E42" s="16"/>
      <x:c r="F42" s="16"/>
      <x:c r="G42" s="16"/>
      <x:c r="H42" s="16"/>
      <x:c r="I42" s="16"/>
    </x:row>
    <x:row r="43" ht="25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38" customHeight="1">
      <x:c r="A44" s="2"/>
      <x:c r="B44" s="2"/>
      <x:c r="C44" s="16" t="str">
        <x:v>净利率7.5%/10.2%/12.0%已考虑原料、关税、税负和利息。12%需重回较好周期。</x:v>
      </x:c>
      <x:c r="D44" s="16"/>
      <x:c r="E44" s="16"/>
      <x:c r="F44" s="16"/>
      <x:c r="G44" s="16"/>
      <x:c r="H44" s="16"/>
      <x:c r="I44" s="16"/>
    </x:row>
    <x:row r="45" ht="25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38" customHeight="1">
      <x:c r="A46" s="2"/>
      <x:c r="B46" s="2"/>
      <x:c r="C46" s="16" t="str">
        <x:v>资本支出为2027研究假设。共同现金输入仅做资金压力敏感性，不是完整现金流预测。</x:v>
      </x:c>
      <x:c r="D46" s="16"/>
      <x:c r="E46" s="16"/>
      <x:c r="F46" s="16"/>
      <x:c r="G46" s="16"/>
      <x:c r="H46" s="16"/>
      <x:c r="I46" s="16"/>
    </x:row>
    <x:row r="47" ht="25" customHeight="1">
      <x:c r="A47" s="2"/>
      <x:c r="B47" s="2"/>
      <x:c r="C47" s="2"/>
      <x:c r="D47" s="2"/>
      <x:c r="E47" s="2"/>
      <x:c r="F47" s="2"/>
      <x:c r="G47" s="2"/>
      <x:c r="H47" s="2"/>
      <x:c r="I47" s="2"/>
    </x:row>
  </x:sheetData>
  <x:mergeCells>
    <x:mergeCell ref="C2:I2"/>
    <x:mergeCell ref="C4:I4"/>
    <x:mergeCell ref="C42:I42"/>
    <x:mergeCell ref="C44:I44"/>
    <x:mergeCell ref="C46:I46"/>
  </x:mergeCells>
  <x:dataValidations count="1">
    <x:dataValidation type="whole" operator="between" sqref="D9">
      <x:formula1>1</x:formula1>
      <x:formula2>3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9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  <x:col min="9" max="9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2"/>
      <x:c r="B2" s="2"/>
      <x:c r="C2" s="3" t="str">
        <x:v>实际业绩与季度恢复</x:v>
      </x:c>
      <x:c r="D2" s="2"/>
      <x:c r="E2" s="2"/>
      <x:c r="F2" s="2"/>
      <x:c r="G2" s="2"/>
      <x:c r="H2" s="2"/>
      <x:c r="I2" s="2"/>
    </x:row>
    <x:row r="3" ht="25" customHeight="1">
      <x:c r="A3" s="2"/>
      <x:c r="B3" s="2"/>
      <x:c r="C3" s="4"/>
      <x:c r="D3" s="4"/>
      <x:c r="E3" s="4"/>
      <x:c r="F3" s="4"/>
      <x:c r="G3" s="4"/>
      <x:c r="H3" s="4"/>
      <x:c r="I3" s="4"/>
    </x:row>
    <x:row r="4" ht="25" customHeight="1">
      <x:c r="A4" s="2"/>
      <x:c r="B4" s="2"/>
      <x:c r="C4" s="5" t="str">
        <x:v>人民币百万元。2025年度审计，2026半年及季度未经审计。</x:v>
      </x:c>
      <x:c r="D4" s="2"/>
      <x:c r="E4" s="2"/>
      <x:c r="F4" s="2"/>
      <x:c r="G4" s="2"/>
      <x:c r="H4" s="2"/>
      <x:c r="I4" s="2"/>
    </x:row>
    <x:row r="5" ht="25" customHeight="1">
      <x:c r="A5" s="2"/>
      <x:c r="B5" s="2"/>
      <x:c r="C5" s="2" t="str">
        <x:v>当前情景</x:v>
      </x:c>
      <x:c r="D5" s="6" t="str">
        <x:f>'Assumptions'!D40</x:f>
        <x:v>Base</x:v>
      </x:c>
      <x:c r="E5" s="2"/>
      <x:c r="F5" s="2"/>
      <x:c r="G5" s="2"/>
      <x:c r="H5" s="2"/>
      <x:c r="I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25" customHeight="1">
      <x:c r="A7" s="2"/>
      <x:c r="B7" s="2"/>
      <x:c r="C7" s="8" t="str">
        <x:v>项目</x:v>
      </x:c>
      <x:c r="D7" s="8" t="str">
        <x:v>2024A</x:v>
      </x:c>
      <x:c r="E7" s="8" t="str">
        <x:v>2025A</x:v>
      </x:c>
      <x:c r="F7" s="8" t="str">
        <x:v>2025H1</x:v>
      </x:c>
      <x:c r="G7" s="8" t="str">
        <x:v>2026H1</x:v>
      </x:c>
      <x:c r="H7" s="8" t="str">
        <x:v>来源</x:v>
      </x:c>
      <x:c r="I7" s="2"/>
    </x:row>
    <x:row r="8" ht="25" customHeight="1">
      <x:c r="A8" s="2"/>
      <x:c r="B8" s="2"/>
      <x:c r="C8" s="2" t="str">
        <x:v>营业收入</x:v>
      </x:c>
      <x:c r="D8" s="10" t="n">
        <x:v>31802.38810278</x:v>
      </x:c>
      <x:c r="E8" s="10" t="n">
        <x:v>36792.43395712</x:v>
      </x:c>
      <x:c r="F8" s="10" t="n">
        <x:v>17586.67969639</x:v>
      </x:c>
      <x:c r="G8" s="10" t="n">
        <x:v>20027.01025802</x:v>
      </x:c>
      <x:c r="H8" s="2" t="str">
        <x:v>S2 p6/96–100，S1 p5/46–50</x:v>
      </x:c>
      <x:c r="I8" s="2"/>
    </x:row>
    <x:row r="9" ht="25" customHeight="1">
      <x:c r="A9" s="2"/>
      <x:c r="B9" s="2"/>
      <x:c r="C9" s="2" t="str">
        <x:v>营业成本</x:v>
      </x:c>
      <x:c r="D9" s="10" t="n">
        <x:v>23030.3418536</x:v>
      </x:c>
      <x:c r="E9" s="10" t="n">
        <x:v>27711.17061866</x:v>
      </x:c>
      <x:c r="F9" s="10" t="n">
        <x:v>13272.06589351</x:v>
      </x:c>
      <x:c r="G9" s="10" t="n">
        <x:v>14622.66984515</x:v>
      </x:c>
      <x:c r="H9" s="2" t="str">
        <x:v>S2 p6/96–100，S1 p5/46–50</x:v>
      </x:c>
      <x:c r="I9" s="2"/>
    </x:row>
    <x:row r="10" ht="25" customHeight="1">
      <x:c r="A10" s="2"/>
      <x:c r="B10" s="2"/>
      <x:c r="C10" s="2" t="str">
        <x:v>归母净利润</x:v>
      </x:c>
      <x:c r="D10" s="10" t="n">
        <x:v>4062.6740027</x:v>
      </x:c>
      <x:c r="E10" s="10" t="n">
        <x:v>3522.49308351</x:v>
      </x:c>
      <x:c r="F10" s="10" t="n">
        <x:v>1830.90242355</x:v>
      </x:c>
      <x:c r="G10" s="10" t="n">
        <x:v>2159.84968742</x:v>
      </x:c>
      <x:c r="H10" s="2" t="str">
        <x:v>S2 p6/96–100，S1 p5/46–50</x:v>
      </x:c>
      <x:c r="I10" s="2"/>
    </x:row>
    <x:row r="11" ht="25" customHeight="1">
      <x:c r="A11" s="2"/>
      <x:c r="B11" s="2"/>
      <x:c r="C11" s="2" t="str">
        <x:v>扣非归母利润</x:v>
      </x:c>
      <x:c r="D11" s="10" t="n">
        <x:v>3992.34732383</x:v>
      </x:c>
      <x:c r="E11" s="10" t="n">
        <x:v>3457.52673</x:v>
      </x:c>
      <x:c r="F11" s="10" t="n">
        <x:v>1825.08883876</x:v>
      </x:c>
      <x:c r="G11" s="10" t="n">
        <x:v>2057.78010347</x:v>
      </x:c>
      <x:c r="H11" s="2" t="str">
        <x:v>S2 p6/96–100，S1 p5/46–50</x:v>
      </x:c>
      <x:c r="I11" s="2"/>
    </x:row>
    <x:row r="12" ht="25" customHeight="1">
      <x:c r="A12" s="2"/>
      <x:c r="B12" s="2"/>
      <x:c r="C12" s="2" t="str">
        <x:v>合并净利润</x:v>
      </x:c>
      <x:c r="D12" s="10" t="n">
        <x:v>4123.49745639</x:v>
      </x:c>
      <x:c r="E12" s="10" t="n">
        <x:v>3616.8042856</x:v>
      </x:c>
      <x:c r="F12" s="10" t="n">
        <x:v>1882.59690329</x:v>
      </x:c>
      <x:c r="G12" s="10" t="n">
        <x:v>2196.88160707</x:v>
      </x:c>
      <x:c r="H12" s="2" t="str">
        <x:v>S2 p6/96–100，S1 p5/46–50</x:v>
      </x:c>
      <x:c r="I12" s="2"/>
    </x:row>
    <x:row r="13" ht="25" customHeight="1">
      <x:c r="A13" s="2"/>
      <x:c r="B13" s="2"/>
      <x:c r="C13" s="2" t="str">
        <x:v>经营现金流</x:v>
      </x:c>
      <x:c r="D13" s="10" t="n">
        <x:v>2288.78460599</x:v>
      </x:c>
      <x:c r="E13" s="10" t="n">
        <x:v>4178.79750536</x:v>
      </x:c>
      <x:c r="F13" s="10" t="n">
        <x:v>883.54754632</x:v>
      </x:c>
      <x:c r="G13" s="10" t="n">
        <x:v>1032.80476359</x:v>
      </x:c>
      <x:c r="H13" s="2" t="str">
        <x:v>S2 p6/96–100，S1 p5/46–50</x:v>
      </x:c>
      <x:c r="I13" s="2"/>
    </x:row>
    <x:row r="14" ht="25" customHeight="1">
      <x:c r="A14" s="2"/>
      <x:c r="B14" s="2"/>
      <x:c r="C14" s="2" t="str">
        <x:v>现金购建长期资产</x:v>
      </x:c>
      <x:c r="D14" s="10" t="n">
        <x:v>4024.46250992</x:v>
      </x:c>
      <x:c r="E14" s="10" t="n">
        <x:v>4817.73114036</x:v>
      </x:c>
      <x:c r="F14" s="10" t="n">
        <x:v>1749.64582522</x:v>
      </x:c>
      <x:c r="G14" s="10" t="n">
        <x:v>2598.30475631</x:v>
      </x:c>
      <x:c r="H14" s="2" t="str">
        <x:v>S2 p6/96–100，S1 p5/46–50</x:v>
      </x:c>
      <x:c r="I14" s="2"/>
    </x:row>
    <x:row r="15" ht="25" customHeight="1">
      <x:c r="A15" s="2"/>
      <x:c r="B15" s="2"/>
      <x:c r="C15" s="2" t="str">
        <x:v>租赁款支付</x:v>
      </x:c>
      <x:c r="D15" s="10" t="n">
        <x:v>54.64412791</x:v>
      </x:c>
      <x:c r="E15" s="10" t="n">
        <x:v>64.6507572</x:v>
      </x:c>
      <x:c r="F15" s="10" t="n">
        <x:v>32.47879987</x:v>
      </x:c>
      <x:c r="G15" s="10" t="n">
        <x:v>39.71952061</x:v>
      </x:c>
      <x:c r="H15" s="2" t="str">
        <x:v>S2 p6/96–100，S1 p5/46–50</x:v>
      </x:c>
      <x:c r="I15" s="2"/>
    </x:row>
    <x:row r="16" ht="25" customHeight="1">
      <x:c r="A16" s="2"/>
      <x:c r="B16" s="2"/>
      <x:c r="C16" s="2" t="str">
        <x:v>利息费用（损益）</x:v>
      </x:c>
      <x:c r="D16" s="10" t="n">
        <x:v>387.31202603</x:v>
      </x:c>
      <x:c r="E16" s="10" t="n">
        <x:v>474.61448346</x:v>
      </x:c>
      <x:c r="F16" s="10" t="n">
        <x:v>243.76924825</x:v>
      </x:c>
      <x:c r="G16" s="10" t="n">
        <x:v>229.37245053</x:v>
      </x:c>
      <x:c r="H16" s="2" t="str">
        <x:v>S2 p6/96–100，S1 p5/46–50</x:v>
      </x:c>
      <x:c r="I16" s="2"/>
    </x:row>
    <x:row r="17" ht="25" customHeight="1">
      <x:c r="A17" s="2"/>
      <x:c r="B17" s="2"/>
      <x:c r="C17" s="2" t="str">
        <x:v>销售费用</x:v>
      </x:c>
      <x:c r="D17" s="10" t="n">
        <x:v>1530.7835623</x:v>
      </x:c>
      <x:c r="E17" s="10" t="n">
        <x:v>1918.60956311</x:v>
      </x:c>
      <x:c r="F17" s="10" t="n">
        <x:v>825.87642818</x:v>
      </x:c>
      <x:c r="G17" s="10" t="n">
        <x:v>954.44682844</x:v>
      </x:c>
      <x:c r="H17" s="2" t="str">
        <x:v>S2 p6/96–100，S1 p5/46–50</x:v>
      </x:c>
      <x:c r="I17" s="2"/>
    </x:row>
    <x:row r="18" ht="25" customHeight="1">
      <x:c r="A18" s="2"/>
      <x:c r="B18" s="2"/>
      <x:c r="C18" s="2" t="str">
        <x:v>管理费用</x:v>
      </x:c>
      <x:c r="D18" s="10" t="n">
        <x:v>1013.45375031</x:v>
      </x:c>
      <x:c r="E18" s="10" t="n">
        <x:v>1227.87994336</x:v>
      </x:c>
      <x:c r="F18" s="10" t="n">
        <x:v>514.56634872</x:v>
      </x:c>
      <x:c r="G18" s="10" t="n">
        <x:v>656.65894236</x:v>
      </x:c>
      <x:c r="H18" s="2" t="str">
        <x:v>S2 p6/96–100，S1 p5/46–50</x:v>
      </x:c>
      <x:c r="I18" s="2"/>
    </x:row>
    <x:row r="19" ht="25" customHeight="1">
      <x:c r="A19" s="2"/>
      <x:c r="B19" s="2"/>
      <x:c r="C19" s="2" t="str">
        <x:v>税前利润</x:v>
      </x:c>
      <x:c r="D19" s="10" t="n">
        <x:v>4660.28406618</x:v>
      </x:c>
      <x:c r="E19" s="10" t="n">
        <x:v>4175.99276672</x:v>
      </x:c>
      <x:c r="F19" s="10" t="n">
        <x:v>2148.20691418</x:v>
      </x:c>
      <x:c r="G19" s="10" t="n">
        <x:v>2574.09482968</x:v>
      </x:c>
      <x:c r="H19" s="2" t="str">
        <x:v>S2 p6/96–100，S1 p5/46–50</x:v>
      </x:c>
      <x:c r="I19" s="2"/>
    </x:row>
    <x:row r="20" ht="25" customHeight="1">
      <x:c r="A20" s="2"/>
      <x:c r="B20" s="2"/>
      <x:c r="C20" s="2" t="str">
        <x:v>所得税费用</x:v>
      </x:c>
      <x:c r="D20" s="10" t="n">
        <x:v>536.78660979</x:v>
      </x:c>
      <x:c r="E20" s="10" t="n">
        <x:v>559.18848112</x:v>
      </x:c>
      <x:c r="F20" s="10" t="n">
        <x:v>265.61001089</x:v>
      </x:c>
      <x:c r="G20" s="10" t="n">
        <x:v>377.21322261</x:v>
      </x:c>
      <x:c r="H20" s="2" t="str">
        <x:v>S2 p6/96–100，S1 p5/46–50</x:v>
      </x:c>
      <x:c r="I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25" customHeight="1">
      <x:c r="A23" s="2"/>
      <x:c r="B23" s="2"/>
      <x:c r="C23" s="2" t="str">
        <x:v>毛利率</x:v>
      </x:c>
      <x:c r="D23" s="12" t="n">
        <x:f>1-D9/D8</x:f>
        <x:v>0.27582979683255915</x:v>
      </x:c>
      <x:c r="E23" s="12" t="n">
        <x:f>1-E9/E8</x:f>
        <x:v>0.24682420709224695</x:v>
      </x:c>
      <x:c r="F23" s="12" t="n">
        <x:f>1-F9/F8</x:f>
        <x:v>0.24533418913438543</x:v>
      </x:c>
      <x:c r="G23" s="12" t="n">
        <x:f>1-G9/G8</x:f>
        <x:v>0.2698525812511522</x:v>
      </x:c>
      <x:c r="H23" s="2"/>
      <x:c r="I23" s="2"/>
    </x:row>
    <x:row r="24" ht="25" customHeight="1">
      <x:c r="A24" s="2"/>
      <x:c r="B24" s="2"/>
      <x:c r="C24" s="2" t="str">
        <x:v>归母净利率</x:v>
      </x:c>
      <x:c r="D24" s="12" t="n">
        <x:f>D10/D8</x:f>
        <x:v>0.1277474505867332</x:v>
      </x:c>
      <x:c r="E24" s="12" t="n">
        <x:f>E10/E8</x:f>
        <x:v>0.09573960471371135</x:v>
      </x:c>
      <x:c r="F24" s="12" t="n">
        <x:f>F10/F8</x:f>
        <x:v>0.10410733891547633</x:v>
      </x:c>
      <x:c r="G24" s="12" t="n">
        <x:f>G10/G8</x:f>
        <x:v>0.10784683582788242</x:v>
      </x:c>
      <x:c r="H24" s="2"/>
      <x:c r="I24" s="2"/>
    </x:row>
    <x:row r="25" ht="25" customHeight="1">
      <x:c r="A25" s="2"/>
      <x:c r="B25" s="2"/>
      <x:c r="C25" s="2" t="str">
        <x:v>扣非归母净利率</x:v>
      </x:c>
      <x:c r="D25" s="12" t="n">
        <x:f>D11/D8</x:f>
        <x:v>0.12553608587277787</x:v>
      </x:c>
      <x:c r="E25" s="12" t="n">
        <x:f>E11/E8</x:f>
        <x:v>0.093973851635627</x:v>
      </x:c>
      <x:c r="F25" s="12" t="n">
        <x:f>F11/F8</x:f>
        <x:v>0.10377677141266375</x:v>
      </x:c>
      <x:c r="G25" s="12" t="n">
        <x:f>G11/G8</x:f>
        <x:v>0.10275023964927282</x:v>
      </x:c>
      <x:c r="H25" s="2"/>
      <x:c r="I25" s="2"/>
    </x:row>
    <x:row r="26" ht="25" customHeight="1">
      <x:c r="A26" s="2"/>
      <x:c r="B26" s="2"/>
      <x:c r="C26" s="2" t="str">
        <x:v>经营现金/合并利润</x:v>
      </x:c>
      <x:c r="D26" s="12" t="n">
        <x:f>D13/D12</x:f>
        <x:v>0.5550590561037385</x:v>
      </x:c>
      <x:c r="E26" s="12" t="n">
        <x:f>E13/E12</x:f>
        <x:v>1.1553839177855236</x:v>
      </x:c>
      <x:c r="F26" s="12" t="n">
        <x:f>F13/F12</x:f>
        <x:v>0.4693238073301431</x:v>
      </x:c>
      <x:c r="G26" s="12" t="n">
        <x:f>G13/G12</x:f>
        <x:v>0.470123087318966</x:v>
      </x:c>
      <x:c r="H26" s="2"/>
      <x:c r="I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5" customHeight="1">
      <x:c r="A29" s="2"/>
      <x:c r="B29" s="2"/>
      <x:c r="C29" s="8" t="str">
        <x:v>季度比较</x:v>
      </x:c>
      <x:c r="D29" s="8" t="str">
        <x:v>2025Q1</x:v>
      </x:c>
      <x:c r="E29" s="8" t="str">
        <x:v>2026Q1</x:v>
      </x:c>
      <x:c r="F29" s="8" t="str">
        <x:v>2025Q2</x:v>
      </x:c>
      <x:c r="G29" s="8" t="str">
        <x:v>2026Q2</x:v>
      </x:c>
      <x:c r="H29" s="8" t="str">
        <x:v>Q2同比</x:v>
      </x:c>
      <x:c r="I29" s="2"/>
    </x:row>
    <x:row r="30" ht="25" customHeight="1">
      <x:c r="A30" s="2"/>
      <x:c r="B30" s="2"/>
      <x:c r="C30" s="2" t="str">
        <x:v>收入</x:v>
      </x:c>
      <x:c r="D30" s="10" t="n">
        <x:v>8411.46654924</x:v>
      </x:c>
      <x:c r="E30" s="10" t="n">
        <x:v>9460.82979947</x:v>
      </x:c>
      <x:c r="F30" s="14" t="n">
        <x:f>$F$8-D30</x:f>
        <x:v>9175.213147150002</x:v>
      </x:c>
      <x:c r="G30" s="14" t="n">
        <x:f>$G$8-E30</x:f>
        <x:v>10566.18045855</x:v>
      </x:c>
      <x:c r="H30" s="12" t="n">
        <x:f>G30/F30-1</x:f>
        <x:v>0.1516005447603208</x:v>
      </x:c>
      <x:c r="I30" s="2"/>
    </x:row>
    <x:row r="31" ht="25" customHeight="1">
      <x:c r="A31" s="2"/>
      <x:c r="B31" s="2"/>
      <x:c r="C31" s="2" t="str">
        <x:v>归母利润</x:v>
      </x:c>
      <x:c r="D31" s="10" t="n">
        <x:v>1038.52408804</x:v>
      </x:c>
      <x:c r="E31" s="10" t="n">
        <x:v>1056.35092031</x:v>
      </x:c>
      <x:c r="F31" s="14" t="n">
        <x:f>$F$10-D31</x:f>
        <x:v>792.3783355100002</x:v>
      </x:c>
      <x:c r="G31" s="14" t="n">
        <x:f>$G$10-E31</x:f>
        <x:v>1103.49876711</x:v>
      </x:c>
      <x:c r="H31" s="12" t="n">
        <x:f>G31/F31-1</x:f>
        <x:v>0.39264126447848025</x:v>
      </x:c>
      <x:c r="I31" s="2"/>
    </x:row>
    <x:row r="32" ht="25" customHeight="1">
      <x:c r="A32" s="2"/>
      <x:c r="B32" s="2"/>
      <x:c r="C32" s="2" t="str">
        <x:v>扣非利润</x:v>
      </x:c>
      <x:c r="D32" s="10" t="n">
        <x:v>1007.43063008</x:v>
      </x:c>
      <x:c r="E32" s="10" t="n">
        <x:v>1030.07852189</x:v>
      </x:c>
      <x:c r="F32" s="14" t="n">
        <x:f>$F$11-D32</x:f>
        <x:v>817.65820868</x:v>
      </x:c>
      <x:c r="G32" s="14" t="n">
        <x:f>$G$11-E32</x:f>
        <x:v>1027.70158158</x:v>
      </x:c>
      <x:c r="H32" s="12" t="n">
        <x:f>G32/F32-1</x:f>
        <x:v>0.2568840753633319</x:v>
      </x:c>
      <x:c r="I32" s="2"/>
    </x:row>
    <x:row r="33" ht="25" customHeight="1">
      <x:c r="A33" s="2"/>
      <x:c r="B33" s="2"/>
      <x:c r="C33" s="2" t="str">
        <x:v>营业成本</x:v>
      </x:c>
      <x:c r="D33" s="10" t="n">
        <x:v>6330.77363787</x:v>
      </x:c>
      <x:c r="E33" s="10" t="n">
        <x:v>6919.44385339</x:v>
      </x:c>
      <x:c r="F33" s="14" t="n">
        <x:f>$F$9-D33</x:f>
        <x:v>6941.29225564</x:v>
      </x:c>
      <x:c r="G33" s="14" t="n">
        <x:f>$G$9-E33</x:f>
        <x:v>7703.2259917599995</x:v>
      </x:c>
      <x:c r="H33" s="12" t="n">
        <x:f>G33/F33-1</x:f>
        <x:v>0.10976828349230017</x:v>
      </x:c>
      <x:c r="I33" s="2"/>
    </x:row>
    <x:row r="34" ht="25" customHeight="1">
      <x:c r="A34" s="2"/>
      <x:c r="B34" s="2"/>
      <x:c r="C34" s="2" t="str">
        <x:v>毛利率</x:v>
      </x:c>
      <x:c r="D34" s="12" t="n">
        <x:f>1-D33/D30</x:f>
        <x:v>0.247363869212319</x:v>
      </x:c>
      <x:c r="E34" s="12" t="n">
        <x:f>1-E33/E30</x:f>
        <x:v>0.2686218862347962</x:v>
      </x:c>
      <x:c r="F34" s="12" t="n">
        <x:f>1-F33/F30</x:f>
        <x:v>0.24347346003660963</x:v>
      </x:c>
      <x:c r="G34" s="12" t="n">
        <x:f>1-G33/G30</x:f>
        <x:v>0.27095453063867925</x:v>
      </x:c>
      <x:c r="H34" s="12" t="n">
        <x:f>G34-F34</x:f>
        <x:v>0.027481070602069613</x:v>
      </x:c>
      <x:c r="I34" s="2"/>
    </x:row>
    <x:row r="35" ht="25" customHeight="1">
      <x:c r="A35" s="2"/>
      <x:c r="B35" s="2"/>
      <x:c r="C35" s="2" t="str">
        <x:v>经营现金</x:v>
      </x:c>
      <x:c r="D35" s="10" t="n">
        <x:v>-407.5861316</x:v>
      </x:c>
      <x:c r="E35" s="10" t="n">
        <x:v>176.00001302</x:v>
      </x:c>
      <x:c r="F35" s="14" t="n">
        <x:f>$F$13-D35</x:f>
        <x:v>1291.13367792</x:v>
      </x:c>
      <x:c r="G35" s="14" t="n">
        <x:f>$G$13-E35</x:f>
        <x:v>856.80475057</x:v>
      </x:c>
      <x:c r="H35" s="12" t="n">
        <x:f>G35/F35-1</x:f>
        <x:v>-0.33639346163574513</x:v>
      </x:c>
      <x:c r="I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38" customHeight="1">
      <x:c r="A37" s="2"/>
      <x:c r="B37" s="2"/>
      <x:c r="C37" s="16" t="str">
        <x:v>Q1来源S3 p1/6，Q2以H1减Q1。Q2增速同时受2025低基数影响，不机械年化。</x:v>
      </x:c>
      <x:c r="D37" s="16"/>
      <x:c r="E37" s="16"/>
      <x:c r="F37" s="16"/>
      <x:c r="G37" s="16"/>
      <x:c r="H37" s="16"/>
      <x:c r="I37" s="16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38" customHeight="1">
      <x:c r="A39" s="2"/>
      <x:c r="B39" s="2"/>
      <x:c r="C39" s="16" t="str">
        <x:v>归母和扣非均保留，股权薪酬及存货减值不整体加回。现金资本支出包括扩产，不仅维护。</x:v>
      </x:c>
      <x:c r="D39" s="16"/>
      <x:c r="E39" s="16"/>
      <x:c r="F39" s="16"/>
      <x:c r="G39" s="16"/>
      <x:c r="H39" s="16"/>
      <x:c r="I39" s="16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</x:row>
  </x:sheetData>
  <x:mergeCells>
    <x:mergeCell ref="C2:I2"/>
    <x:mergeCell ref="C4:I4"/>
    <x:mergeCell ref="C37:I37"/>
    <x:mergeCell ref="C39:I3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9" hidden="0" customWidth="1"/>
    <x:col min="4" max="4" width="18" hidden="0" customWidth="1"/>
    <x:col min="5" max="5" width="18" hidden="0" customWidth="1"/>
    <x:col min="6" max="6" width="32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2"/>
      <x:c r="B2" s="2"/>
      <x:c r="C2" s="3" t="str">
        <x:v>海外利润、价格与产能</x:v>
      </x:c>
      <x:c r="D2" s="2"/>
      <x:c r="E2" s="2"/>
      <x:c r="F2" s="2"/>
      <x:c r="G2" s="2"/>
      <x:c r="H2" s="2"/>
      <x:c r="I2" s="2"/>
    </x:row>
    <x:row r="3" ht="25" customHeight="1">
      <x:c r="A3" s="2"/>
      <x:c r="B3" s="2"/>
      <x:c r="C3" s="4"/>
      <x:c r="D3" s="4"/>
      <x:c r="E3" s="4"/>
      <x:c r="F3" s="4"/>
      <x:c r="G3" s="4"/>
      <x:c r="H3" s="4"/>
      <x:c r="I3" s="4"/>
    </x:row>
    <x:row r="4" ht="25" customHeight="1">
      <x:c r="A4" s="2"/>
      <x:c r="B4" s="2"/>
      <x:c r="C4" s="5" t="str">
        <x:v>收入成本为人民币百万元。全球规划产能与已实现产能分开。</x:v>
      </x:c>
      <x:c r="D4" s="2"/>
      <x:c r="E4" s="2"/>
      <x:c r="F4" s="2"/>
      <x:c r="G4" s="2"/>
      <x:c r="H4" s="2"/>
      <x:c r="I4" s="2"/>
    </x:row>
    <x:row r="5" ht="25" customHeight="1">
      <x:c r="A5" s="2"/>
      <x:c r="B5" s="2"/>
      <x:c r="C5" s="2" t="str">
        <x:v>当前情景</x:v>
      </x:c>
      <x:c r="D5" s="6" t="str">
        <x:f>'Assumptions'!D40</x:f>
        <x:v>Base</x:v>
      </x:c>
      <x:c r="E5" s="2"/>
      <x:c r="F5" s="2"/>
      <x:c r="G5" s="2"/>
      <x:c r="H5" s="2"/>
      <x:c r="I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25" customHeight="1">
      <x:c r="A7" s="2"/>
      <x:c r="B7" s="2"/>
      <x:c r="C7" s="8" t="str">
        <x:v>主营地区</x:v>
      </x:c>
      <x:c r="D7" s="8" t="str">
        <x:v>2025A</x:v>
      </x:c>
      <x:c r="E7" s="8" t="str">
        <x:v>2026H1</x:v>
      </x:c>
      <x:c r="F7" s="8" t="str">
        <x:v>来源</x:v>
      </x:c>
      <x:c r="G7" s="2"/>
      <x:c r="H7" s="2"/>
      <x:c r="I7" s="2"/>
    </x:row>
    <x:row r="8" ht="25" customHeight="1">
      <x:c r="A8" s="2"/>
      <x:c r="B8" s="2"/>
      <x:c r="C8" s="2" t="str">
        <x:v>内地销售收入</x:v>
      </x:c>
      <x:c r="D8" s="10" t="n">
        <x:v>8177.18745366</x:v>
      </x:c>
      <x:c r="E8" s="10" t="n">
        <x:v>4569.85341886</x:v>
      </x:c>
      <x:c r="F8" s="2" t="str">
        <x:v>S2 p25，S1 p148</x:v>
      </x:c>
      <x:c r="G8" s="2"/>
      <x:c r="H8" s="2"/>
      <x:c r="I8" s="2"/>
    </x:row>
    <x:row r="9" ht="25" customHeight="1">
      <x:c r="A9" s="2"/>
      <x:c r="B9" s="2"/>
      <x:c r="C9" s="2" t="str">
        <x:v>内地销售成本</x:v>
      </x:c>
      <x:c r="D9" s="10" t="n">
        <x:v>6478.89365839</x:v>
      </x:c>
      <x:c r="E9" s="10" t="n">
        <x:v>3398.4039945</x:v>
      </x:c>
      <x:c r="F9" s="2" t="str">
        <x:v>S2 p25，S1 p148</x:v>
      </x:c>
      <x:c r="G9" s="2"/>
      <x:c r="H9" s="2"/>
      <x:c r="I9" s="2"/>
    </x:row>
    <x:row r="10" ht="25" customHeight="1">
      <x:c r="A10" s="2"/>
      <x:c r="B10" s="2"/>
      <x:c r="C10" s="2" t="str">
        <x:v>内地毛利率</x:v>
      </x:c>
      <x:c r="D10" s="12" t="n">
        <x:f>1-D9/D8</x:f>
        <x:v>0.20768678777320504</x:v>
      </x:c>
      <x:c r="E10" s="12" t="n">
        <x:f>1-E9/E8</x:f>
        <x:v>0.2563428882697578</x:v>
      </x:c>
      <x:c r="F10" s="2" t="str">
        <x:v>S2 p25，S1 p148</x:v>
      </x:c>
      <x:c r="G10" s="2"/>
      <x:c r="H10" s="2"/>
      <x:c r="I10" s="2"/>
    </x:row>
    <x:row r="11" ht="25" customHeight="1">
      <x:c r="A11" s="2"/>
      <x:c r="B11" s="2"/>
      <x:c r="C11" s="2" t="str">
        <x:v>境外销售收入</x:v>
      </x:c>
      <x:c r="D11" s="10" t="n">
        <x:v>28226.20286125</x:v>
      </x:c>
      <x:c r="E11" s="10" t="n">
        <x:v>15241.56387942</x:v>
      </x:c>
      <x:c r="F11" s="2" t="str">
        <x:v>S2 p25，S1 p148</x:v>
      </x:c>
      <x:c r="G11" s="2"/>
      <x:c r="H11" s="2"/>
      <x:c r="I11" s="2"/>
    </x:row>
    <x:row r="12" ht="25" customHeight="1">
      <x:c r="A12" s="2"/>
      <x:c r="B12" s="2"/>
      <x:c r="C12" s="2" t="str">
        <x:v>境外销售成本</x:v>
      </x:c>
      <x:c r="D12" s="10" t="n">
        <x:v>20958.82018956</x:v>
      </x:c>
      <x:c r="E12" s="10" t="n">
        <x:v>11075.76491621</x:v>
      </x:c>
      <x:c r="F12" s="2" t="str">
        <x:v>S2 p25，S1 p148</x:v>
      </x:c>
      <x:c r="G12" s="2"/>
      <x:c r="H12" s="2"/>
      <x:c r="I12" s="2"/>
    </x:row>
    <x:row r="13" ht="25" customHeight="1">
      <x:c r="A13" s="2"/>
      <x:c r="B13" s="2"/>
      <x:c r="C13" s="2" t="str">
        <x:v>境外毛利率</x:v>
      </x:c>
      <x:c r="D13" s="12" t="n">
        <x:f>1-D12/D11</x:f>
        <x:v>0.25746937012441506</x:v>
      </x:c>
      <x:c r="E13" s="12" t="n">
        <x:f>1-E12/E11</x:f>
        <x:v>0.2733183416194509</x:v>
      </x:c>
      <x:c r="F13" s="2" t="str">
        <x:v>S2 p25，S1 p148</x:v>
      </x:c>
      <x:c r="G13" s="2"/>
      <x:c r="H13" s="2"/>
      <x:c r="I13" s="2"/>
    </x:row>
    <x:row r="14" ht="25" customHeight="1">
      <x:c r="A14" s="2"/>
      <x:c r="B14" s="2"/>
      <x:c r="C14" s="2" t="str">
        <x:v>主营境外销售占比</x:v>
      </x:c>
      <x:c r="D14" s="12" t="n">
        <x:f>D11/SUM(D8,D11)</x:f>
        <x:v>0.7753729149147185</x:v>
      </x:c>
      <x:c r="E14" s="12" t="n">
        <x:f>E11/SUM(E8,E11)</x:f>
        <x:v>0.7693323324597908</x:v>
      </x:c>
      <x:c r="F14" s="2" t="str">
        <x:v>S2 p25，S1 p148</x:v>
      </x:c>
      <x:c r="G14" s="2"/>
      <x:c r="H14" s="2"/>
      <x:c r="I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25" customHeight="1">
      <x:c r="A17" s="2"/>
      <x:c r="B17" s="2"/>
      <x:c r="C17" s="8" t="str">
        <x:v>2026H1主要境外子集团</x:v>
      </x:c>
      <x:c r="D17" s="8" t="str">
        <x:v>收入</x:v>
      </x:c>
      <x:c r="E17" s="8" t="str">
        <x:v>归母利润</x:v>
      </x:c>
      <x:c r="F17" s="8" t="str">
        <x:v>利润率</x:v>
      </x:c>
      <x:c r="G17" s="2"/>
      <x:c r="H17" s="2"/>
      <x:c r="I17" s="2"/>
    </x:row>
    <x:row r="18" ht="25" customHeight="1">
      <x:c r="A18" s="2"/>
      <x:c r="B18" s="2"/>
      <x:c r="C18" s="2" t="str">
        <x:v>赛轮越南</x:v>
      </x:c>
      <x:c r="D18" s="10" t="n">
        <x:v>4645.0609</x:v>
      </x:c>
      <x:c r="E18" s="10" t="n">
        <x:v>822.3899</x:v>
      </x:c>
      <x:c r="F18" s="12" t="n">
        <x:f>E18/D18</x:f>
        <x:v>0.17704609642469918</x:v>
      </x:c>
      <x:c r="G18" s="2"/>
      <x:c r="H18" s="2"/>
      <x:c r="I18" s="2"/>
    </x:row>
    <x:row r="19" ht="25" customHeight="1">
      <x:c r="A19" s="2"/>
      <x:c r="B19" s="2"/>
      <x:c r="C19" s="2" t="str">
        <x:v>CART TIRE</x:v>
      </x:c>
      <x:c r="D19" s="10" t="n">
        <x:v>4404.9716</x:v>
      </x:c>
      <x:c r="E19" s="10" t="n">
        <x:v>951.9448</x:v>
      </x:c>
      <x:c r="F19" s="12" t="n">
        <x:f>E19/D19</x:f>
        <x:v>0.21610690974715932</x:v>
      </x:c>
      <x:c r="G19" s="2"/>
      <x:c r="H19" s="2"/>
      <x:c r="I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25" customHeight="1">
      <x:c r="A22" s="2"/>
      <x:c r="B22" s="2"/>
      <x:c r="C22" s="8" t="str">
        <x:v>2026Q2自产轮胎/原料</x:v>
      </x:c>
      <x:c r="D22" s="8" t="str">
        <x:v>数值</x:v>
      </x:c>
      <x:c r="E22" s="8" t="str">
        <x:v>口径</x:v>
      </x:c>
      <x:c r="F22" s="2"/>
      <x:c r="G22" s="2"/>
      <x:c r="H22" s="2"/>
      <x:c r="I22" s="2"/>
    </x:row>
    <x:row r="23" ht="25" customHeight="1">
      <x:c r="A23" s="2"/>
      <x:c r="B23" s="2"/>
      <x:c r="C23" s="2" t="str">
        <x:v>销量（万条）</x:v>
      </x:c>
      <x:c r="D23" s="10" t="n">
        <x:v>2371.86</x:v>
      </x:c>
      <x:c r="E23" s="2" t="str">
        <x:v>S4 p1</x:v>
      </x:c>
      <x:c r="F23" s="2"/>
      <x:c r="G23" s="2"/>
      <x:c r="H23" s="2"/>
      <x:c r="I23" s="2"/>
    </x:row>
    <x:row r="24" ht="25" customHeight="1">
      <x:c r="A24" s="2"/>
      <x:c r="B24" s="2"/>
      <x:c r="C24" s="2" t="str">
        <x:v>自产轮胎收入（百万元）</x:v>
      </x:c>
      <x:c r="D24" s="10" t="n">
        <x:v>10306.3566</x:v>
      </x:c>
      <x:c r="E24" s="2" t="str">
        <x:v>S4 p1</x:v>
      </x:c>
      <x:c r="F24" s="2"/>
      <x:c r="G24" s="2"/>
      <x:c r="H24" s="2"/>
      <x:c r="I24" s="2"/>
    </x:row>
    <x:row r="25" ht="25" customHeight="1">
      <x:c r="A25" s="2"/>
      <x:c r="B25" s="2"/>
      <x:c r="C25" s="2" t="str">
        <x:v>平均售价（元/条）</x:v>
      </x:c>
      <x:c r="D25" s="14" t="n">
        <x:f>D24/D23*100</x:f>
        <x:v>434.5263464116768</x:v>
      </x:c>
      <x:c r="E25" s="2" t="str">
        <x:v>研究计算，含产品结构</x:v>
      </x:c>
      <x:c r="F25" s="2"/>
      <x:c r="G25" s="2"/>
      <x:c r="H25" s="2"/>
      <x:c r="I25" s="2"/>
    </x:row>
    <x:row r="26" ht="25" customHeight="1">
      <x:c r="A26" s="2"/>
      <x:c r="B26" s="2"/>
      <x:c r="C26" s="2" t="str">
        <x:v>销量同比</x:v>
      </x:c>
      <x:c r="D26" s="15" t="n">
        <x:v>0.1997</x:v>
      </x:c>
      <x:c r="E26" s="2" t="str">
        <x:v>S4 p1</x:v>
      </x:c>
      <x:c r="F26" s="2"/>
      <x:c r="G26" s="2"/>
      <x:c r="H26" s="2"/>
      <x:c r="I26" s="2"/>
    </x:row>
    <x:row r="27" ht="25" customHeight="1">
      <x:c r="A27" s="2"/>
      <x:c r="B27" s="2"/>
      <x:c r="C27" s="2" t="str">
        <x:v>轮胎均价同比</x:v>
      </x:c>
      <x:c r="D27" s="15" t="n">
        <x:v>-0.0254</x:v>
      </x:c>
      <x:c r="E27" s="2" t="str">
        <x:v>S4 p1</x:v>
      </x:c>
      <x:c r="F27" s="2"/>
      <x:c r="G27" s="2"/>
      <x:c r="H27" s="2"/>
      <x:c r="I27" s="2"/>
    </x:row>
    <x:row r="28" ht="25" customHeight="1">
      <x:c r="A28" s="2"/>
      <x:c r="B28" s="2"/>
      <x:c r="C28" s="2" t="str">
        <x:v>原料综合采购价同比</x:v>
      </x:c>
      <x:c r="D28" s="15" t="n">
        <x:v>0.0681</x:v>
      </x:c>
      <x:c r="E28" s="2" t="str">
        <x:v>S4 p1</x:v>
      </x:c>
      <x:c r="F28" s="2"/>
      <x:c r="G28" s="2"/>
      <x:c r="H28" s="2"/>
      <x:c r="I28" s="2"/>
    </x:row>
    <x:row r="29" ht="25" customHeight="1">
      <x:c r="A29" s="2"/>
      <x:c r="B29" s="2"/>
      <x:c r="C29" s="2" t="str">
        <x:v>原料综合采购价环比</x:v>
      </x:c>
      <x:c r="D29" s="15" t="n">
        <x:v>0.1585</x:v>
      </x:c>
      <x:c r="E29" s="2" t="str">
        <x:v>S4 p1</x:v>
      </x:c>
      <x:c r="F29" s="2"/>
      <x:c r="G29" s="2"/>
      <x:c r="H29" s="2"/>
      <x:c r="I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25" customHeight="1">
      <x:c r="A32" s="2"/>
      <x:c r="B32" s="2"/>
      <x:c r="C32" s="8" t="str">
        <x:v>全球能力（2025年报）</x:v>
      </x:c>
      <x:c r="D32" s="8" t="str">
        <x:v>可实现年产能</x:v>
      </x:c>
      <x:c r="E32" s="8" t="str">
        <x:v>规划产能</x:v>
      </x:c>
      <x:c r="F32" s="8" t="str">
        <x:v>利用率</x:v>
      </x:c>
      <x:c r="G32" s="2"/>
      <x:c r="H32" s="2"/>
      <x:c r="I32" s="2"/>
    </x:row>
    <x:row r="33" ht="25" customHeight="1">
      <x:c r="A33" s="2"/>
      <x:c r="B33" s="2"/>
      <x:c r="C33" s="2" t="str">
        <x:v>全钢胎（万条）</x:v>
      </x:c>
      <x:c r="D33" s="10" t="n">
        <x:v>1556</x:v>
      </x:c>
      <x:c r="E33" s="10" t="n">
        <x:v>2290</x:v>
      </x:c>
      <x:c r="F33" s="15" t="n">
        <x:v>0.9294</x:v>
      </x:c>
      <x:c r="G33" s="2"/>
      <x:c r="H33" s="2"/>
      <x:c r="I33" s="2"/>
    </x:row>
    <x:row r="34" ht="25" customHeight="1">
      <x:c r="A34" s="2"/>
      <x:c r="B34" s="2"/>
      <x:c r="C34" s="2" t="str">
        <x:v>半钢胎（万条）</x:v>
      </x:c>
      <x:c r="D34" s="10" t="n">
        <x:v>7380</x:v>
      </x:c>
      <x:c r="E34" s="10" t="n">
        <x:v>11460</x:v>
      </x:c>
      <x:c r="F34" s="15" t="n">
        <x:v>0.9108</x:v>
      </x:c>
      <x:c r="G34" s="2"/>
      <x:c r="H34" s="2"/>
      <x:c r="I34" s="2"/>
    </x:row>
    <x:row r="35" ht="25" customHeight="1">
      <x:c r="A35" s="2"/>
      <x:c r="B35" s="2"/>
      <x:c r="C35" s="2" t="str">
        <x:v>非公路（万吨）</x:v>
      </x:c>
      <x:c r="D35" s="10" t="n">
        <x:v>23.8</x:v>
      </x:c>
      <x:c r="E35" s="10" t="n">
        <x:v>34.14</x:v>
      </x:c>
      <x:c r="F35" s="15" t="n">
        <x:v>0.8025</x:v>
      </x:c>
      <x:c r="G35" s="2"/>
      <x:c r="H35" s="2"/>
      <x:c r="I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38" customHeight="1">
      <x:c r="A37" s="2"/>
      <x:c r="B37" s="2"/>
      <x:c r="C37" s="16" t="str">
        <x:v>境外销售不等于海外制造。子集团利润含内部交易，不直接相加当作上市公司利润归属。</x:v>
      </x:c>
      <x:c r="D37" s="16"/>
      <x:c r="E37" s="16"/>
      <x:c r="F37" s="16"/>
      <x:c r="G37" s="16"/>
      <x:c r="H37" s="16"/>
      <x:c r="I37" s="16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38" customHeight="1">
      <x:c r="A39" s="2"/>
      <x:c r="B39" s="2"/>
      <x:c r="C39" s="16" t="str">
        <x:v>S2 p35能力是2025年度可实现口径。S7更新海外规划半钢8,900万条，非当前有效产能。</x:v>
      </x:c>
      <x:c r="D39" s="16"/>
      <x:c r="E39" s="16"/>
      <x:c r="F39" s="16"/>
      <x:c r="G39" s="16"/>
      <x:c r="H39" s="16"/>
      <x:c r="I39" s="16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38" customHeight="1">
      <x:c r="A41" s="2"/>
      <x:c r="B41" s="2"/>
      <x:c r="C41" s="16" t="str">
        <x:v>印尼、墨西哥H1未盈利，Q2月度毛利转正（S8 p10–11），不等于已实现净利润。</x:v>
      </x:c>
      <x:c r="D41" s="16"/>
      <x:c r="E41" s="16"/>
      <x:c r="F41" s="16"/>
      <x:c r="G41" s="16"/>
      <x:c r="H41" s="16"/>
      <x:c r="I41" s="16"/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38" customHeight="1">
      <x:c r="A43" s="2"/>
      <x:c r="B43" s="2"/>
      <x:c r="C43" s="16" t="str">
        <x:v>液体黄金及OTR独立利润未充分披露，不单列技术品牌估值。</x:v>
      </x:c>
      <x:c r="D43" s="16"/>
      <x:c r="E43" s="16"/>
      <x:c r="F43" s="16"/>
      <x:c r="G43" s="16"/>
      <x:c r="H43" s="16"/>
      <x:c r="I43" s="16"/>
    </x:row>
    <x:row r="44" ht="25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38" customHeight="1">
      <x:c r="A45" s="2"/>
      <x:c r="B45" s="2"/>
      <x:c r="C45" s="16" t="str">
        <x:v>S9欧盟终裁：赛轮中国工厂在协作企业附录，适用24.4%，尚有平行反补贴调查。</x:v>
      </x:c>
      <x:c r="D45" s="16"/>
      <x:c r="E45" s="16"/>
      <x:c r="F45" s="16"/>
      <x:c r="G45" s="16"/>
      <x:c r="H45" s="16"/>
      <x:c r="I45" s="16"/>
    </x:row>
    <x:row r="46" ht="25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25" customHeight="1">
      <x:c r="A47" s="2"/>
      <x:c r="B47" s="2"/>
      <x:c r="C47" s="2"/>
      <x:c r="D47" s="2"/>
      <x:c r="E47" s="2"/>
      <x:c r="F47" s="2"/>
      <x:c r="G47" s="2"/>
      <x:c r="H47" s="2"/>
      <x:c r="I47" s="2"/>
    </x:row>
  </x:sheetData>
  <x:mergeCells>
    <x:mergeCell ref="C2:I2"/>
    <x:mergeCell ref="C4:I4"/>
    <x:mergeCell ref="C37:I37"/>
    <x:mergeCell ref="C39:I39"/>
    <x:mergeCell ref="C41:I41"/>
    <x:mergeCell ref="C43:I43"/>
    <x:mergeCell ref="C45:I4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9" hidden="0" customWidth="1"/>
    <x:col min="4" max="4" width="18" hidden="0" customWidth="1"/>
    <x:col min="5" max="5" width="18" hidden="0" customWidth="1"/>
    <x:col min="6" max="6" width="34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2"/>
      <x:c r="B2" s="2"/>
      <x:c r="C2" s="3" t="str">
        <x:v>融资、资本开支与资金约束</x:v>
      </x:c>
      <x:c r="D2" s="2"/>
      <x:c r="E2" s="2"/>
      <x:c r="F2" s="2"/>
      <x:c r="G2" s="2"/>
      <x:c r="H2" s="2"/>
      <x:c r="I2" s="2"/>
    </x:row>
    <x:row r="3" ht="25" customHeight="1">
      <x:c r="A3" s="2"/>
      <x:c r="B3" s="2"/>
      <x:c r="C3" s="4"/>
      <x:c r="D3" s="4"/>
      <x:c r="E3" s="4"/>
      <x:c r="F3" s="4"/>
      <x:c r="G3" s="4"/>
      <x:c r="H3" s="4"/>
      <x:c r="I3" s="4"/>
    </x:row>
    <x:row r="4" ht="25" customHeight="1">
      <x:c r="A4" s="2"/>
      <x:c r="B4" s="2"/>
      <x:c r="C4" s="5" t="str">
        <x:v>人民币百万元。静态净债务仅反映2026H1，非10月实时余额。</x:v>
      </x:c>
      <x:c r="D4" s="2"/>
      <x:c r="E4" s="2"/>
      <x:c r="F4" s="2"/>
      <x:c r="G4" s="2"/>
      <x:c r="H4" s="2"/>
      <x:c r="I4" s="2"/>
    </x:row>
    <x:row r="5" ht="25" customHeight="1">
      <x:c r="A5" s="2"/>
      <x:c r="B5" s="2"/>
      <x:c r="C5" s="2" t="str">
        <x:v>当前情景</x:v>
      </x:c>
      <x:c r="D5" s="6" t="str">
        <x:f>'Assumptions'!D40</x:f>
        <x:v>Base</x:v>
      </x:c>
      <x:c r="E5" s="2"/>
      <x:c r="F5" s="2"/>
      <x:c r="G5" s="2"/>
      <x:c r="H5" s="2"/>
      <x:c r="I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25" customHeight="1">
      <x:c r="A7" s="2"/>
      <x:c r="B7" s="2"/>
      <x:c r="C7" s="8" t="str">
        <x:v>资产负债输入</x:v>
      </x:c>
      <x:c r="D7" s="8" t="str">
        <x:v>2025末</x:v>
      </x:c>
      <x:c r="E7" s="8" t="str">
        <x:v>2026H1末</x:v>
      </x:c>
      <x:c r="F7" s="8" t="str">
        <x:v>来源</x:v>
      </x:c>
      <x:c r="G7" s="2"/>
      <x:c r="H7" s="2"/>
      <x:c r="I7" s="2"/>
    </x:row>
    <x:row r="8" ht="25" customHeight="1">
      <x:c r="A8" s="2"/>
      <x:c r="B8" s="2"/>
      <x:c r="C8" s="2" t="str">
        <x:v>现金等价物</x:v>
      </x:c>
      <x:c r="D8" s="10" t="n">
        <x:v>4250.07560798</x:v>
      </x:c>
      <x:c r="E8" s="10" t="n">
        <x:v>4570.86702057</x:v>
      </x:c>
      <x:c r="F8" s="2" t="str">
        <x:v>S2 p92–94/214，S1 p43–44/99/140</x:v>
      </x:c>
      <x:c r="G8" s="2"/>
      <x:c r="H8" s="2"/>
      <x:c r="I8" s="2"/>
    </x:row>
    <x:row r="9" ht="25" customHeight="1">
      <x:c r="A9" s="2"/>
      <x:c r="B9" s="2"/>
      <x:c r="C9" s="2" t="str">
        <x:v>理财产品</x:v>
      </x:c>
      <x:c r="D9" s="10" t="n">
        <x:v>130.06009315</x:v>
      </x:c>
      <x:c r="E9" s="10" t="n">
        <x:v>80.04164384</x:v>
      </x:c>
      <x:c r="F9" s="2" t="str">
        <x:v>S2 p92–94/214，S1 p43–44/99/140</x:v>
      </x:c>
      <x:c r="G9" s="2"/>
      <x:c r="H9" s="2"/>
      <x:c r="I9" s="2"/>
    </x:row>
    <x:row r="10" ht="25" customHeight="1">
      <x:c r="A10" s="2"/>
      <x:c r="B10" s="2"/>
      <x:c r="C10" s="2" t="str">
        <x:v>短期借款</x:v>
      </x:c>
      <x:c r="D10" s="10" t="n">
        <x:v>5957.33266992</x:v>
      </x:c>
      <x:c r="E10" s="10" t="n">
        <x:v>6991.36292055</x:v>
      </x:c>
      <x:c r="F10" s="2" t="str">
        <x:v>S2 p92–94/214，S1 p43–44/99/140</x:v>
      </x:c>
      <x:c r="G10" s="2"/>
      <x:c r="H10" s="2"/>
      <x:c r="I10" s="2"/>
    </x:row>
    <x:row r="11" ht="25" customHeight="1">
      <x:c r="A11" s="2"/>
      <x:c r="B11" s="2"/>
      <x:c r="C11" s="2" t="str">
        <x:v>非流动长期借款</x:v>
      </x:c>
      <x:c r="D11" s="10" t="n">
        <x:v>4346.90121416</x:v>
      </x:c>
      <x:c r="E11" s="10" t="n">
        <x:v>5782.32207892</x:v>
      </x:c>
      <x:c r="F11" s="2" t="str">
        <x:v>S2 p92–94/214，S1 p43–44/99/140</x:v>
      </x:c>
      <x:c r="G11" s="2"/>
      <x:c r="H11" s="2"/>
      <x:c r="I11" s="2"/>
    </x:row>
    <x:row r="12" ht="25" customHeight="1">
      <x:c r="A12" s="2"/>
      <x:c r="B12" s="2"/>
      <x:c r="C12" s="2" t="str">
        <x:v>一年内到期长期借款</x:v>
      </x:c>
      <x:c r="D12" s="10" t="n">
        <x:v>1503.88712253</x:v>
      </x:c>
      <x:c r="E12" s="10" t="n">
        <x:v>1645.05565815</x:v>
      </x:c>
      <x:c r="F12" s="2" t="str">
        <x:v>S2 p92–94/214，S1 p43–44/99/140</x:v>
      </x:c>
      <x:c r="G12" s="2"/>
      <x:c r="H12" s="2"/>
      <x:c r="I12" s="2"/>
    </x:row>
    <x:row r="13" ht="25" customHeight="1">
      <x:c r="A13" s="2"/>
      <x:c r="B13" s="2"/>
      <x:c r="C13" s="2" t="str">
        <x:v>金融借款总额</x:v>
      </x:c>
      <x:c r="D13" s="14" t="n">
        <x:f>SUM(D10:D12)</x:f>
        <x:v>11808.12100661</x:v>
      </x:c>
      <x:c r="E13" s="14" t="n">
        <x:f>SUM(E10:E12)</x:f>
        <x:v>14418.740657620001</x:v>
      </x:c>
      <x:c r="F13" s="2" t="str">
        <x:v>S2 p92–94/214，S1 p43–44/99/140</x:v>
      </x:c>
      <x:c r="G13" s="2"/>
      <x:c r="H13" s="2"/>
      <x:c r="I13" s="2"/>
    </x:row>
    <x:row r="14" ht="25" customHeight="1">
      <x:c r="A14" s="2"/>
      <x:c r="B14" s="2"/>
      <x:c r="C14" s="2" t="str">
        <x:v>扣现金及理财净债务</x:v>
      </x:c>
      <x:c r="D14" s="14" t="n">
        <x:f>D13-SUM(D8:D9)</x:f>
        <x:v>7427.985305479999</x:v>
      </x:c>
      <x:c r="E14" s="14" t="n">
        <x:f>E13-SUM(E8:E9)</x:f>
        <x:v>9767.831993210002</x:v>
      </x:c>
      <x:c r="F14" s="2" t="str">
        <x:v>S2 p92–94/214，S1 p43–44/99/140</x:v>
      </x:c>
      <x:c r="G14" s="2"/>
      <x:c r="H14" s="2"/>
      <x:c r="I14" s="2"/>
    </x:row>
    <x:row r="15" ht="25" customHeight="1">
      <x:c r="A15" s="2"/>
      <x:c r="B15" s="2"/>
      <x:c r="C15" s="2" t="str">
        <x:v>非流动租赁负债</x:v>
      </x:c>
      <x:c r="D15" s="10" t="n">
        <x:v>196.19588543</x:v>
      </x:c>
      <x:c r="E15" s="10" t="n">
        <x:v>191.01846847</x:v>
      </x:c>
      <x:c r="F15" s="2" t="str">
        <x:v>S2 p92–94/214，S1 p43–44/99/140</x:v>
      </x:c>
      <x:c r="G15" s="2"/>
      <x:c r="H15" s="2"/>
      <x:c r="I15" s="2"/>
    </x:row>
    <x:row r="16" ht="25" customHeight="1">
      <x:c r="A16" s="2"/>
      <x:c r="B16" s="2"/>
      <x:c r="C16" s="2" t="str">
        <x:v>流动租赁负债</x:v>
      </x:c>
      <x:c r="D16" s="10" t="n">
        <x:v>49.85379286</x:v>
      </x:c>
      <x:c r="E16" s="10" t="n">
        <x:v>63.33350256</x:v>
      </x:c>
      <x:c r="F16" s="2" t="str">
        <x:v>S2 p92–94/214，S1 p43–44/99/140</x:v>
      </x:c>
      <x:c r="G16" s="2"/>
      <x:c r="H16" s="2"/>
      <x:c r="I16" s="2"/>
    </x:row>
    <x:row r="17" ht="25" customHeight="1">
      <x:c r="A17" s="2"/>
      <x:c r="B17" s="2"/>
      <x:c r="C17" s="2" t="str">
        <x:v>租赁调整净债务</x:v>
      </x:c>
      <x:c r="D17" s="14" t="n">
        <x:f>D14+SUM(D15:D16)</x:f>
        <x:v>7674.034983769999</x:v>
      </x:c>
      <x:c r="E17" s="14" t="n">
        <x:f>E14+SUM(E15:E16)</x:f>
        <x:v>10022.183964240003</x:v>
      </x:c>
      <x:c r="F17" s="2" t="str">
        <x:v>S2 p92–94/214，S1 p43–44/99/140</x:v>
      </x:c>
      <x:c r="G17" s="2"/>
      <x:c r="H17" s="2"/>
      <x:c r="I17" s="2"/>
    </x:row>
    <x:row r="18" ht="25" customHeight="1">
      <x:c r="A18" s="2"/>
      <x:c r="B18" s="2"/>
      <x:c r="C18" s="2" t="str">
        <x:v>贸易应收净额</x:v>
      </x:c>
      <x:c r="D18" s="10" t="n">
        <x:v>6146.81387652</x:v>
      </x:c>
      <x:c r="E18" s="10" t="n">
        <x:v>7423.44102796</x:v>
      </x:c>
      <x:c r="F18" s="2" t="str">
        <x:v>S2 p92–94/214，S1 p43–44/99/140</x:v>
      </x:c>
      <x:c r="G18" s="2"/>
      <x:c r="H18" s="2"/>
      <x:c r="I18" s="2"/>
    </x:row>
    <x:row r="19" ht="25" customHeight="1">
      <x:c r="A19" s="2"/>
      <x:c r="B19" s="2"/>
      <x:c r="C19" s="2" t="str">
        <x:v>存货净额</x:v>
      </x:c>
      <x:c r="D19" s="10" t="n">
        <x:v>7139.23740097</x:v>
      </x:c>
      <x:c r="E19" s="10" t="n">
        <x:v>8184.55348007</x:v>
      </x:c>
      <x:c r="F19" s="2" t="str">
        <x:v>S2 p92–94/214，S1 p43–44/99/140</x:v>
      </x:c>
      <x:c r="G19" s="2"/>
      <x:c r="H19" s="2"/>
      <x:c r="I19" s="2"/>
    </x:row>
    <x:row r="20" ht="25" customHeight="1">
      <x:c r="A20" s="2"/>
      <x:c r="B20" s="2"/>
      <x:c r="C20" s="2" t="str">
        <x:v>应付账款及票据</x:v>
      </x:c>
      <x:c r="D20" s="10" t="n">
        <x:v>8746.93091277</x:v>
      </x:c>
      <x:c r="E20" s="10" t="n">
        <x:v>9514.38502959</x:v>
      </x:c>
      <x:c r="F20" s="2" t="str">
        <x:v>S2 p92–94/214，S1 p43–44/99/140</x:v>
      </x:c>
      <x:c r="G20" s="2"/>
      <x:c r="H20" s="2"/>
      <x:c r="I20" s="2"/>
    </x:row>
    <x:row r="21" ht="25" customHeight="1">
      <x:c r="A21" s="2"/>
      <x:c r="B21" s="2"/>
      <x:c r="C21" s="2" t="str">
        <x:v>归母净资产</x:v>
      </x:c>
      <x:c r="D21" s="10" t="n">
        <x:v>21614.61968605</x:v>
      </x:c>
      <x:c r="E21" s="10" t="n">
        <x:v>22662.44560845</x:v>
      </x:c>
      <x:c r="F21" s="2" t="str">
        <x:v>S2 p92–94/214，S1 p43–44/99/140</x:v>
      </x:c>
      <x:c r="G21" s="2"/>
      <x:c r="H21" s="2"/>
      <x:c r="I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25" customHeight="1">
      <x:c r="A23" s="2"/>
      <x:c r="B23" s="2"/>
      <x:c r="C23" s="2" t="str">
        <x:v>净债务/归母净资产</x:v>
      </x:c>
      <x:c r="D23" s="12" t="n">
        <x:f>D14/D21</x:f>
        <x:v>0.3436556096461875</x:v>
      </x:c>
      <x:c r="E23" s="12" t="n">
        <x:f>E14/E21</x:f>
        <x:v>0.4310140291993876</x:v>
      </x:c>
      <x:c r="F23" s="2"/>
      <x:c r="G23" s="2"/>
      <x:c r="H23" s="2"/>
      <x:c r="I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25" customHeight="1">
      <x:c r="A26" s="2"/>
      <x:c r="B26" s="2"/>
      <x:c r="C26" s="8" t="str">
        <x:v>H1资金观察</x:v>
      </x:c>
      <x:c r="D26" s="8" t="str">
        <x:v>2025H1</x:v>
      </x:c>
      <x:c r="E26" s="8" t="str">
        <x:v>2026H1</x:v>
      </x:c>
      <x:c r="F26" s="8" t="str">
        <x:v>来源</x:v>
      </x:c>
      <x:c r="G26" s="2"/>
      <x:c r="H26" s="2"/>
      <x:c r="I26" s="2"/>
    </x:row>
    <x:row r="27" ht="25" customHeight="1">
      <x:c r="A27" s="2"/>
      <x:c r="B27" s="2"/>
      <x:c r="C27" s="2" t="str">
        <x:v>存货占用经营现金</x:v>
      </x:c>
      <x:c r="D27" s="9" t="n">
        <x:v>-633.45949644</x:v>
      </x:c>
      <x:c r="E27" s="9" t="n">
        <x:v>-1272.61768503</x:v>
      </x:c>
      <x:c r="F27" s="2" t="str">
        <x:v>S1 p157，现金流p49/153</x:v>
      </x:c>
      <x:c r="G27" s="2"/>
      <x:c r="H27" s="2"/>
      <x:c r="I27" s="2"/>
    </x:row>
    <x:row r="28" ht="25" customHeight="1">
      <x:c r="A28" s="2"/>
      <x:c r="B28" s="2"/>
      <x:c r="C28" s="2" t="str">
        <x:v>经营性应收占用</x:v>
      </x:c>
      <x:c r="D28" s="9" t="n">
        <x:v>-1367.35163646</x:v>
      </x:c>
      <x:c r="E28" s="9" t="n">
        <x:v>-1581.66107603</x:v>
      </x:c>
      <x:c r="F28" s="2" t="str">
        <x:v>S1 p157，现金流p49/153</x:v>
      </x:c>
      <x:c r="G28" s="2"/>
      <x:c r="H28" s="2"/>
      <x:c r="I28" s="2"/>
    </x:row>
    <x:row r="29" ht="25" customHeight="1">
      <x:c r="A29" s="2"/>
      <x:c r="B29" s="2"/>
      <x:c r="C29" s="2" t="str">
        <x:v>经营性应付变动</x:v>
      </x:c>
      <x:c r="D29" s="9" t="n">
        <x:v>-245.41561189</x:v>
      </x:c>
      <x:c r="E29" s="9" t="n">
        <x:v>-82.99602029</x:v>
      </x:c>
      <x:c r="F29" s="2" t="str">
        <x:v>S1 p157，现金流p49/153</x:v>
      </x:c>
      <x:c r="G29" s="2"/>
      <x:c r="H29" s="2"/>
      <x:c r="I29" s="2"/>
    </x:row>
    <x:row r="30" ht="25" customHeight="1">
      <x:c r="A30" s="2"/>
      <x:c r="B30" s="2"/>
      <x:c r="C30" s="2" t="str">
        <x:v>CFO减长期资产购置</x:v>
      </x:c>
      <x:c r="D30" s="18" t="n">
        <x:f>'Actuals'!F13-'Actuals'!F14</x:f>
        <x:v>-866.0982789</x:v>
      </x:c>
      <x:c r="E30" s="18" t="n">
        <x:f>'Actuals'!G13-'Actuals'!G14</x:f>
        <x:v>-1565.49999272</x:v>
      </x:c>
      <x:c r="F30" s="2" t="str">
        <x:v>S1 p157，现金流p49/153</x:v>
      </x:c>
      <x:c r="G30" s="2"/>
      <x:c r="H30" s="2"/>
      <x:c r="I30" s="2"/>
    </x:row>
    <x:row r="31" ht="25" customHeight="1">
      <x:c r="A31" s="2"/>
      <x:c r="B31" s="2"/>
      <x:c r="C31" s="2" t="str">
        <x:v>再扣租赁支付</x:v>
      </x:c>
      <x:c r="D31" s="18" t="n">
        <x:f>D30-'Actuals'!F15</x:f>
        <x:v>-898.57707877</x:v>
      </x:c>
      <x:c r="E31" s="18" t="n">
        <x:f>E30-'Actuals'!G15</x:f>
        <x:v>-1605.21951333</x:v>
      </x:c>
      <x:c r="F31" s="2" t="str">
        <x:v>S1 p157，现金流p49/153</x:v>
      </x:c>
      <x:c r="G31" s="2"/>
      <x:c r="H31" s="2"/>
      <x:c r="I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5" customHeight="1">
      <x:c r="A34" s="2"/>
      <x:c r="B34" s="2"/>
      <x:c r="C34" s="8" t="str">
        <x:v>埃及新增投资及分红</x:v>
      </x:c>
      <x:c r="D34" s="8" t="str">
        <x:v>数值</x:v>
      </x:c>
      <x:c r="E34" s="8" t="str">
        <x:v>来源</x:v>
      </x:c>
      <x:c r="F34" s="2"/>
      <x:c r="G34" s="2"/>
      <x:c r="H34" s="2"/>
      <x:c r="I34" s="2"/>
    </x:row>
    <x:row r="35" ht="25" customHeight="1">
      <x:c r="A35" s="2"/>
      <x:c r="B35" s="2"/>
      <x:c r="C35" s="2" t="str">
        <x:v>6月新增项目（百万美元）</x:v>
      </x:c>
      <x:c r="D35" s="10" t="n">
        <x:v>1141.31</x:v>
      </x:c>
      <x:c r="E35" s="2" t="str">
        <x:v>S6 总项目支出，分期建设</x:v>
      </x:c>
      <x:c r="F35" s="2"/>
      <x:c r="G35" s="2"/>
      <x:c r="H35" s="2"/>
      <x:c r="I35" s="2"/>
    </x:row>
    <x:row r="36" ht="25" customHeight="1">
      <x:c r="A36" s="2"/>
      <x:c r="B36" s="2"/>
      <x:c r="C36" s="2" t="str">
        <x:v>公告折人民币（百万元）</x:v>
      </x:c>
      <x:c r="D36" s="10" t="n">
        <x:v>7806.56</x:v>
      </x:c>
      <x:c r="E36" s="2" t="str">
        <x:v>S6 采用公告汇率6.84</x:v>
      </x:c>
      <x:c r="F36" s="2"/>
      <x:c r="G36" s="2"/>
      <x:c r="H36" s="2"/>
      <x:c r="I36" s="2"/>
    </x:row>
    <x:row r="37" ht="25" customHeight="1">
      <x:c r="A37" s="2"/>
      <x:c r="B37" s="2"/>
      <x:c r="C37" s="2" t="str">
        <x:v>2026H1 DPS（元）</x:v>
      </x:c>
      <x:c r="D37" s="10" t="n">
        <x:v>0.15</x:v>
      </x:c>
      <x:c r="E37" s="2" t="str">
        <x:v>S5 9月11日除息并发放</x:v>
      </x:c>
      <x:c r="F37" s="2"/>
      <x:c r="G37" s="2"/>
      <x:c r="H37" s="2"/>
      <x:c r="I37" s="2"/>
    </x:row>
    <x:row r="38" ht="25" customHeight="1">
      <x:c r="A38" s="2"/>
      <x:c r="B38" s="2"/>
      <x:c r="C38" s="2" t="str">
        <x:v>2025归属年度DPS（元）</x:v>
      </x:c>
      <x:c r="D38" s="10" t="n">
        <x:v>0.33</x:v>
      </x:c>
      <x:c r="E38" s="2" t="str">
        <x:v>中期.15及末期.18，S2 p2/65–66</x:v>
      </x:c>
      <x:c r="F38" s="2"/>
      <x:c r="G38" s="2"/>
      <x:c r="H38" s="2"/>
      <x:c r="I38" s="2"/>
    </x:row>
    <x:row r="39" ht="25" customHeight="1">
      <x:c r="A39" s="2"/>
      <x:c r="B39" s="2"/>
      <x:c r="C39" s="2" t="str">
        <x:v>2026H1未包含的已付中期股息</x:v>
      </x:c>
      <x:c r="D39" s="18" t="n">
        <x:f>D37*'Assumptions'!D8</x:f>
        <x:v>493.2150388499999</x:v>
      </x:c>
      <x:c r="E39" s="2" t="str">
        <x:v>9月已实施，非未来再次扣减</x:v>
      </x:c>
      <x:c r="F39" s="2"/>
      <x:c r="G39" s="2"/>
      <x:c r="H39" s="2"/>
      <x:c r="I39" s="2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38" customHeight="1">
      <x:c r="A41" s="2"/>
      <x:c r="B41" s="2"/>
      <x:c r="C41" s="16" t="str">
        <x:v>现金等价物已排除受限6.36亿元。理财只用8,004万元，剔除金融资产中外汇衍生品。</x:v>
      </x:c>
      <x:c r="D41" s="16"/>
      <x:c r="E41" s="16"/>
      <x:c r="F41" s="16"/>
      <x:c r="G41" s="16"/>
      <x:c r="H41" s="16"/>
      <x:c r="I41" s="16"/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38" customHeight="1">
      <x:c r="A43" s="2"/>
      <x:c r="B43" s="2"/>
      <x:c r="C43" s="16" t="str">
        <x:v>H1现金代理未扣筹资项借款利息及少数股东分配，不称母公司自由现金。</x:v>
      </x:c>
      <x:c r="D43" s="16"/>
      <x:c r="E43" s="16"/>
      <x:c r="F43" s="16"/>
      <x:c r="G43" s="16"/>
      <x:c r="H43" s="16"/>
      <x:c r="I43" s="16"/>
    </x:row>
    <x:row r="44" ht="25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38" customHeight="1">
      <x:c r="A45" s="2"/>
      <x:c r="B45" s="2"/>
      <x:c r="C45" s="16" t="str">
        <x:v>P/E利润含财务费用，不另扣净债务。高杠杆、追加融资与低现金转化约束估值倍数。</x:v>
      </x:c>
      <x:c r="D45" s="16"/>
      <x:c r="E45" s="16"/>
      <x:c r="F45" s="16"/>
      <x:c r="G45" s="16"/>
      <x:c r="H45" s="16"/>
      <x:c r="I45" s="16"/>
    </x:row>
    <x:row r="46" ht="25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38" customHeight="1">
      <x:c r="A47" s="2"/>
      <x:c r="B47" s="2"/>
      <x:c r="C47" s="16" t="str">
        <x:v>S6为6月新增78.07亿元，不含前两期重复计算，也不把它作为2027单年全额支出。</x:v>
      </x:c>
      <x:c r="D47" s="16"/>
      <x:c r="E47" s="16"/>
      <x:c r="F47" s="16"/>
      <x:c r="G47" s="16"/>
      <x:c r="H47" s="16"/>
      <x:c r="I47" s="16"/>
    </x:row>
    <x:row r="48" ht="25" customHeight="1">
      <x:c r="A48" s="2"/>
      <x:c r="B48" s="2"/>
      <x:c r="C48" s="2"/>
      <x:c r="D48" s="2"/>
      <x:c r="E48" s="2"/>
      <x:c r="F48" s="2"/>
      <x:c r="G48" s="2"/>
      <x:c r="H48" s="2"/>
      <x:c r="I48" s="2"/>
    </x:row>
  </x:sheetData>
  <x:mergeCells>
    <x:mergeCell ref="C2:I2"/>
    <x:mergeCell ref="C4:I4"/>
    <x:mergeCell ref="C41:I41"/>
    <x:mergeCell ref="C43:I43"/>
    <x:mergeCell ref="C45:I45"/>
    <x:mergeCell ref="C47:I4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9" hidden="0" customWidth="1"/>
    <x:col min="4" max="4" width="34" hidden="0" customWidth="1"/>
    <x:col min="5" max="5" width="16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2"/>
      <x:c r="B2" s="2"/>
      <x:c r="C2" s="3" t="str">
        <x:v>来源与独立检查</x:v>
      </x:c>
      <x:c r="D2" s="2"/>
      <x:c r="E2" s="2"/>
      <x:c r="F2" s="2"/>
      <x:c r="G2" s="2"/>
      <x:c r="H2" s="2"/>
      <x:c r="I2" s="2"/>
      <x:c r="J2" s="2"/>
    </x:row>
    <x:row r="3" ht="25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</x:row>
    <x:row r="4" ht="25" customHeight="1">
      <x:c r="A4" s="2"/>
      <x:c r="B4" s="2"/>
      <x:c r="C4" s="5" t="str">
        <x:v>正式披露、管理层解释和研究假设分别标记。</x:v>
      </x:c>
      <x:c r="D4" s="2"/>
      <x:c r="E4" s="2"/>
      <x:c r="F4" s="2"/>
      <x:c r="G4" s="2"/>
      <x:c r="H4" s="2"/>
      <x:c r="I4" s="2"/>
      <x:c r="J4" s="2"/>
    </x:row>
    <x:row r="5" ht="25" customHeight="1">
      <x:c r="A5" s="2"/>
      <x:c r="B5" s="2"/>
      <x:c r="C5" s="2" t="str">
        <x:v>当前情景</x:v>
      </x:c>
      <x:c r="D5" s="6" t="str">
        <x:f>'Assumptions'!D40</x:f>
        <x:v>Base</x:v>
      </x:c>
      <x:c r="E5" s="2"/>
      <x:c r="F5" s="2"/>
      <x:c r="G5" s="2"/>
      <x:c r="H5" s="2"/>
      <x:c r="I5" s="2"/>
      <x:c r="J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25" customHeight="1">
      <x:c r="A7" s="2"/>
      <x:c r="B7" s="2"/>
      <x:c r="C7" s="8" t="str">
        <x:v>检查项</x:v>
      </x:c>
      <x:c r="D7" s="8" t="str">
        <x:v>差额</x:v>
      </x:c>
      <x:c r="E7" s="2"/>
      <x:c r="F7" s="2"/>
      <x:c r="G7" s="2"/>
      <x:c r="H7" s="2"/>
      <x:c r="I7" s="2"/>
      <x:c r="J7" s="2"/>
    </x:row>
    <x:row r="8" ht="25" customHeight="1">
      <x:c r="A8" s="2"/>
      <x:c r="B8" s="2"/>
      <x:c r="C8" s="2" t="str">
        <x:v>股本核对</x:v>
      </x:c>
      <x:c r="D8" s="27" t="n">
        <x:f>ROUND('Valuation'!D9-3288.100259,6)</x:f>
        <x:v>0</x:v>
      </x:c>
      <x:c r="E8" s="2"/>
      <x:c r="F8" s="2"/>
      <x:c r="G8" s="2"/>
      <x:c r="H8" s="2"/>
      <x:c r="I8" s="2"/>
      <x:c r="J8" s="2"/>
    </x:row>
    <x:row r="9" ht="25" customHeight="1">
      <x:c r="A9" s="2"/>
      <x:c r="B9" s="2"/>
      <x:c r="C9" s="2" t="str">
        <x:v>TTM归母独立核对</x:v>
      </x:c>
      <x:c r="D9" s="27" t="n">
        <x:f>ROUND('Valuation'!D11-3851.44034738,6)</x:f>
        <x:v>0</x:v>
      </x:c>
      <x:c r="E9" s="2"/>
      <x:c r="F9" s="2"/>
      <x:c r="G9" s="2"/>
      <x:c r="H9" s="2"/>
      <x:c r="I9" s="2"/>
      <x:c r="J9" s="2"/>
    </x:row>
    <x:row r="10" ht="25" customHeight="1">
      <x:c r="A10" s="2"/>
      <x:c r="B10" s="2"/>
      <x:c r="C10" s="2" t="str">
        <x:v>TTM扣非独立核对</x:v>
      </x:c>
      <x:c r="D10" s="27" t="n">
        <x:f>ROUND('Valuation'!D12-3690.21799471,6)</x:f>
        <x:v>0</x:v>
      </x:c>
      <x:c r="E10" s="2"/>
      <x:c r="F10" s="2"/>
      <x:c r="G10" s="2"/>
      <x:c r="H10" s="2"/>
      <x:c r="I10" s="2"/>
      <x:c r="J10" s="2"/>
    </x:row>
    <x:row r="11" ht="25" customHeight="1">
      <x:c r="A11" s="2"/>
      <x:c r="B11" s="2"/>
      <x:c r="C11" s="2" t="str">
        <x:v>H1主营收入地区桥</x:v>
      </x:c>
      <x:c r="D11" s="27" t="n">
        <x:f>ROUND(SUM('Operations'!E8,'Operations'!E11)-19811.41729828,6)</x:f>
        <x:v>0</x:v>
      </x:c>
      <x:c r="E11" s="2"/>
      <x:c r="F11" s="2"/>
      <x:c r="G11" s="2"/>
      <x:c r="H11" s="2"/>
      <x:c r="I11" s="2"/>
      <x:c r="J11" s="2"/>
    </x:row>
    <x:row r="12" ht="25" customHeight="1">
      <x:c r="A12" s="2"/>
      <x:c r="B12" s="2"/>
      <x:c r="C12" s="2" t="str">
        <x:v>H1净债务核对</x:v>
      </x:c>
      <x:c r="D12" s="27" t="n">
        <x:f>ROUND('Cash'!E14-9767.83199321,6)</x:f>
        <x:v>0</x:v>
      </x:c>
      <x:c r="E12" s="2"/>
      <x:c r="F12" s="2"/>
      <x:c r="G12" s="2"/>
      <x:c r="H12" s="2"/>
      <x:c r="I12" s="2"/>
      <x:c r="J12" s="2"/>
    </x:row>
    <x:row r="13" ht="25" customHeight="1">
      <x:c r="A13" s="2"/>
      <x:c r="B13" s="2"/>
      <x:c r="C13" s="2" t="str">
        <x:v>租赁调整净债务核对</x:v>
      </x:c>
      <x:c r="D13" s="27" t="n">
        <x:f>ROUND('Cash'!E17-10022.18396424,6)</x:f>
        <x:v>0</x:v>
      </x:c>
      <x:c r="E13" s="2"/>
      <x:c r="F13" s="2"/>
      <x:c r="G13" s="2"/>
      <x:c r="H13" s="2"/>
      <x:c r="I13" s="2"/>
      <x:c r="J13" s="2"/>
    </x:row>
    <x:row r="14" ht="25" customHeight="1">
      <x:c r="A14" s="2"/>
      <x:c r="B14" s="2"/>
      <x:c r="C14" s="2" t="str">
        <x:v>H1扣capex核对</x:v>
      </x:c>
      <x:c r="D14" s="27" t="n">
        <x:f>ROUND('Cash'!E30+1565.49999272,6)</x:f>
        <x:v>0</x:v>
      </x:c>
      <x:c r="E14" s="2"/>
      <x:c r="F14" s="2"/>
      <x:c r="G14" s="2"/>
      <x:c r="H14" s="2"/>
      <x:c r="I14" s="2"/>
      <x:c r="J14" s="2"/>
    </x:row>
    <x:row r="15" ht="25" customHeight="1">
      <x:c r="A15" s="2"/>
      <x:c r="B15" s="2"/>
      <x:c r="C15" s="2" t="str">
        <x:v>H1再扣租赁核对</x:v>
      </x:c>
      <x:c r="D15" s="27" t="n">
        <x:f>ROUND('Cash'!E31+1605.21951333,6)</x:f>
        <x:v>0</x:v>
      </x:c>
      <x:c r="E15" s="2"/>
      <x:c r="F15" s="2"/>
      <x:c r="G15" s="2"/>
      <x:c r="H15" s="2"/>
      <x:c r="I15" s="2"/>
      <x:c r="J15" s="2"/>
    </x:row>
    <x:row r="16" ht="25" customHeight="1">
      <x:c r="A16" s="2"/>
      <x:c r="B16" s="2"/>
      <x:c r="C16" s="2" t="str">
        <x:v>Q2收入经营公告核对</x:v>
      </x:c>
      <x:c r="D16" s="27" t="n">
        <x:f>ROUND('Actuals'!G30-10566.18045855,6)</x:f>
        <x:v>0</x:v>
      </x:c>
      <x:c r="E16" s="2"/>
      <x:c r="F16" s="2"/>
      <x:c r="G16" s="2"/>
      <x:c r="H16" s="2"/>
      <x:c r="I16" s="2"/>
      <x:c r="J16" s="2"/>
    </x:row>
    <x:row r="17" ht="25" customHeight="1">
      <x:c r="A17" s="2"/>
      <x:c r="B17" s="2"/>
      <x:c r="C17" s="2" t="str">
        <x:v>2026H1非经常损益桥</x:v>
      </x:c>
      <x:c r="D17" s="27" t="n">
        <x:f>ROUND('Actuals'!G10-'Actuals'!G11-102.06958395,6)</x:f>
        <x:v>0</x:v>
      </x:c>
      <x:c r="E17" s="2"/>
      <x:c r="F17" s="2"/>
      <x:c r="G17" s="2"/>
      <x:c r="H17" s="2"/>
      <x:c r="I17" s="2"/>
      <x:c r="J17" s="2"/>
    </x:row>
    <x:row r="18" ht="25" customHeight="1">
      <x:c r="A18" s="2"/>
      <x:c r="B18" s="2"/>
      <x:c r="C18" s="2" t="str">
        <x:v>价值乘除桥</x:v>
      </x:c>
      <x:c r="D18" s="27" t="n">
        <x:f>ROUND('Valuation'!D21*'Valuation'!D9-'Valuation'!D19*'Valuation'!D20,6)</x:f>
        <x:v>0</x:v>
      </x:c>
      <x:c r="E18" s="2"/>
      <x:c r="F18" s="2"/>
      <x:c r="G18" s="2"/>
      <x:c r="H18" s="2"/>
      <x:c r="I18" s="2"/>
      <x:c r="J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5" customHeight="1">
      <x:c r="A21" s="2"/>
      <x:c r="B21" s="2"/>
      <x:c r="C21" s="8" t="str">
        <x:v>编号</x:v>
      </x:c>
      <x:c r="D21" s="8" t="str">
        <x:v>文件/性质</x:v>
      </x:c>
      <x:c r="E21" s="8" t="str">
        <x:v>日期</x:v>
      </x:c>
      <x:c r="F21" s="8" t="str">
        <x:v>外部来源</x:v>
      </x:c>
      <x:c r="G21" s="8"/>
      <x:c r="H21" s="8"/>
      <x:c r="I21" s="8"/>
      <x:c r="J21" s="8"/>
    </x:row>
    <x:row r="22" ht="54" customHeight="1">
      <x:c r="A22" s="2"/>
      <x:c r="B22" s="2"/>
      <x:c r="C22" s="2" t="str">
        <x:v>S1</x:v>
      </x:c>
      <x:c r="D22" s="2" t="str">
        <x:v>2026年半年度报告</x:v>
      </x:c>
      <x:c r="E22" s="2" t="str">
        <x:v>2026-08-31</x:v>
      </x:c>
      <x:c r="F22" s="16" t="str">
        <x:v>https://file.finance.sina.com.cn/211.154.219.97:9494/MRGG/CNSESH_STOCK/2026/2026-8/2026-08-31/12574009.PDF</x:v>
      </x:c>
      <x:c r="G22" s="16"/>
      <x:c r="H22" s="16"/>
      <x:c r="I22" s="16"/>
      <x:c r="J22" s="16"/>
    </x:row>
    <x:row r="23" ht="54" customHeight="1">
      <x:c r="A23" s="2"/>
      <x:c r="B23" s="2"/>
      <x:c r="C23" s="2" t="str">
        <x:v>S2</x:v>
      </x:c>
      <x:c r="D23" s="2" t="str">
        <x:v>2025年年度报告</x:v>
      </x:c>
      <x:c r="E23" s="2" t="str">
        <x:v>2026-04-28</x:v>
      </x:c>
      <x:c r="F23" s="16" t="str">
        <x:v>https://static.cninfo.com.cn/finalpage/2026-04-28/1225201460.PDF</x:v>
      </x:c>
      <x:c r="G23" s="16"/>
      <x:c r="H23" s="16"/>
      <x:c r="I23" s="16"/>
      <x:c r="J23" s="16"/>
    </x:row>
    <x:row r="24" ht="54" customHeight="1">
      <x:c r="A24" s="2"/>
      <x:c r="B24" s="2"/>
      <x:c r="C24" s="2" t="str">
        <x:v>S3</x:v>
      </x:c>
      <x:c r="D24" s="2" t="str">
        <x:v>2026年第一季度报告</x:v>
      </x:c>
      <x:c r="E24" s="2" t="str">
        <x:v>2026-04-28</x:v>
      </x:c>
      <x:c r="F24" s="16" t="str">
        <x:v>https://file.finance.sina.com.cn/211.154.219.97:9494/MRGG/CNSESH_STOCK/2026/2026-4/2026-04-28/12211442.PDF</x:v>
      </x:c>
      <x:c r="G24" s="16"/>
      <x:c r="H24" s="16"/>
      <x:c r="I24" s="16"/>
      <x:c r="J24" s="16"/>
    </x:row>
    <x:row r="25" ht="54" customHeight="1">
      <x:c r="A25" s="2"/>
      <x:c r="B25" s="2"/>
      <x:c r="C25" s="2" t="str">
        <x:v>S4</x:v>
      </x:c>
      <x:c r="D25" s="2" t="str">
        <x:v>2026年第二季度经营数据</x:v>
      </x:c>
      <x:c r="E25" s="2" t="str">
        <x:v>2026-08-31</x:v>
      </x:c>
      <x:c r="F25" s="16" t="str">
        <x:v>https://file.finance.sina.com.cn/211.154.219.97:9494/MRGG/CNSESH_STOCK/2026/2026-8/2026-08-31/12574022.PDF</x:v>
      </x:c>
      <x:c r="G25" s="16"/>
      <x:c r="H25" s="16"/>
      <x:c r="I25" s="16"/>
      <x:c r="J25" s="16"/>
    </x:row>
    <x:row r="26" ht="54" customHeight="1">
      <x:c r="A26" s="2"/>
      <x:c r="B26" s="2"/>
      <x:c r="C26" s="2" t="str">
        <x:v>S5</x:v>
      </x:c>
      <x:c r="D26" s="2" t="str">
        <x:v>2026H1权益分派实施</x:v>
      </x:c>
      <x:c r="E26" s="2" t="str">
        <x:v>2026-09-05</x:v>
      </x:c>
      <x:c r="F26" s="16" t="str">
        <x:v>https://static.cninfo.com.cn/finalpage/2026-09-05/1225549063.PDF</x:v>
      </x:c>
      <x:c r="G26" s="16"/>
      <x:c r="H26" s="16"/>
      <x:c r="I26" s="16"/>
      <x:c r="J26" s="16"/>
    </x:row>
    <x:row r="27" ht="54" customHeight="1">
      <x:c r="A27" s="2"/>
      <x:c r="B27" s="2"/>
      <x:c r="C27" s="2" t="str">
        <x:v>S6</x:v>
      </x:c>
      <x:c r="D27" s="2" t="str">
        <x:v>埃及轮胎产能提升项目</x:v>
      </x:c>
      <x:c r="E27" s="2" t="str">
        <x:v>2026-06-18</x:v>
      </x:c>
      <x:c r="F27" s="16" t="str">
        <x:v>https://static.cninfo.com.cn/finalpage/2026-06-18/1225375195.PDF</x:v>
      </x:c>
      <x:c r="G27" s="16"/>
      <x:c r="H27" s="16"/>
      <x:c r="I27" s="16"/>
      <x:c r="J27" s="16"/>
    </x:row>
    <x:row r="28" ht="54" customHeight="1">
      <x:c r="A28" s="2"/>
      <x:c r="B28" s="2"/>
      <x:c r="C28" s="2" t="str">
        <x:v>S7</x:v>
      </x:c>
      <x:c r="D28" s="2" t="str">
        <x:v>2026年9月投资者活动</x:v>
      </x:c>
      <x:c r="E28" s="2" t="str">
        <x:v>2026-09-30</x:v>
      </x:c>
      <x:c r="F28" s="16" t="str">
        <x:v>https://sns.sseinfo.com/resources/images/upload/202609/2026093015200061562011498.docx</x:v>
      </x:c>
      <x:c r="G28" s="16"/>
      <x:c r="H28" s="16"/>
      <x:c r="I28" s="16"/>
      <x:c r="J28" s="16"/>
    </x:row>
    <x:row r="29" ht="54" customHeight="1">
      <x:c r="A29" s="2"/>
      <x:c r="B29" s="2"/>
      <x:c r="C29" s="2" t="str">
        <x:v>S8</x:v>
      </x:c>
      <x:c r="D29" s="2" t="str">
        <x:v>2026年9月9日业绩说明会</x:v>
      </x:c>
      <x:c r="E29" s="2" t="str">
        <x:v>2026-09-09</x:v>
      </x:c>
      <x:c r="F29" s="16" t="str">
        <x:v>https://www.sailungroup.com/upload/file/20260915/1789464901481036171.pdf</x:v>
      </x:c>
      <x:c r="G29" s="16"/>
      <x:c r="H29" s="16"/>
      <x:c r="I29" s="16"/>
      <x:c r="J29" s="16"/>
    </x:row>
    <x:row r="30" ht="54" customHeight="1">
      <x:c r="A30" s="2"/>
      <x:c r="B30" s="2"/>
      <x:c r="C30" s="2" t="str">
        <x:v>S9</x:v>
      </x:c>
      <x:c r="D30" s="2" t="str">
        <x:v>欧盟2026/1540轮胎反倾销终裁</x:v>
      </x:c>
      <x:c r="E30" s="2" t="str">
        <x:v>2026-07-07</x:v>
      </x:c>
      <x:c r="F30" s="16" t="str">
        <x:v>https://eur-lex.europa.eu/legal-content/EN/TXT/PDF/?uri=OJ%3AL_202601540</x:v>
      </x:c>
      <x:c r="G30" s="16"/>
      <x:c r="H30" s="16"/>
      <x:c r="I30" s="16"/>
      <x:c r="J30" s="16"/>
    </x:row>
    <x:row r="31" ht="54" customHeight="1">
      <x:c r="A31" s="2"/>
      <x:c r="B31" s="2"/>
      <x:c r="C31" s="2" t="str">
        <x:v>S10</x:v>
      </x:c>
      <x:c r="D31" s="2" t="str">
        <x:v>一致行动人股份捐赠公告</x:v>
      </x:c>
      <x:c r="E31" s="2" t="str">
        <x:v>2026-10-01</x:v>
      </x:c>
      <x:c r="F31" s="16" t="str">
        <x:v>https://file.finance.sina.com.cn/211.154.219.97:9494/MRGG/CNSESH_STOCK/2026/2026-10/2026-10-01/12629316.PDF</x:v>
      </x:c>
      <x:c r="G31" s="16"/>
      <x:c r="H31" s="16"/>
      <x:c r="I31" s="16"/>
      <x:c r="J31" s="16"/>
    </x:row>
    <x:row r="32" ht="54" customHeight="1">
      <x:c r="A32" s="2"/>
      <x:c r="B32" s="2"/>
      <x:c r="C32" s="2" t="str">
        <x:v>S11</x:v>
      </x:c>
      <x:c r="D32" s="2" t="str">
        <x:v>Investing历史收盘，行情</x:v>
      </x:c>
      <x:c r="E32" s="2" t="str">
        <x:v>2026-10-13</x:v>
      </x:c>
      <x:c r="F32" s="16" t="str">
        <x:v>https://cn.investing.com/equities/sailun-historical-data</x:v>
      </x:c>
      <x:c r="G32" s="16"/>
      <x:c r="H32" s="16"/>
      <x:c r="I32" s="16"/>
      <x:c r="J32" s="16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38" customHeight="1">
      <x:c r="A35" s="2"/>
      <x:c r="B35" s="2"/>
      <x:c r="C35" s="16" t="str">
        <x:v>S1/S3/S4/S10为公司正式PDF在新浪的文档镜像；上交所源地址及页码见source-index.md。</x:v>
      </x:c>
      <x:c r="D35" s="16"/>
      <x:c r="E35" s="16"/>
      <x:c r="F35" s="16"/>
      <x:c r="G35" s="16"/>
      <x:c r="H35" s="16"/>
      <x:c r="I35" s="16"/>
      <x:c r="J35" s="16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38" customHeight="1">
      <x:c r="A37" s="2"/>
      <x:c r="B37" s="2"/>
      <x:c r="C37" s="16" t="str">
        <x:v>S7/S8为管理层交流，爬坡、订单与成本传导未作确定承诺。S9为欧盟正式终裁。</x:v>
      </x:c>
      <x:c r="D37" s="16"/>
      <x:c r="E37" s="16"/>
      <x:c r="F37" s="16"/>
      <x:c r="G37" s="16"/>
      <x:c r="H37" s="16"/>
      <x:c r="I37" s="16"/>
      <x:c r="J37" s="16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 ht="38" customHeight="1">
      <x:c r="A39" s="2"/>
      <x:c r="B39" s="2"/>
      <x:c r="C39" s="16" t="str">
        <x:v>正常化利润不整体加回汇兑、存货减值和员工薪酬。未来现金代理仅做融资压力观察。</x:v>
      </x:c>
      <x:c r="D39" s="16"/>
      <x:c r="E39" s="16"/>
      <x:c r="F39" s="16"/>
      <x:c r="G39" s="16"/>
      <x:c r="H39" s="16"/>
      <x:c r="I39" s="16"/>
      <x:c r="J39" s="16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2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 ht="2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 ht="2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 ht="2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</x:sheetData>
  <x:mergeCells>
    <x:mergeCell ref="C2:J2"/>
    <x:mergeCell ref="C4:J4"/>
    <x:mergeCell ref="F22:J22"/>
    <x:mergeCell ref="F23:J23"/>
    <x:mergeCell ref="F24:J24"/>
    <x:mergeCell ref="F25:J25"/>
    <x:mergeCell ref="F26:J26"/>
    <x:mergeCell ref="F27:J27"/>
    <x:mergeCell ref="F28:J28"/>
    <x:mergeCell ref="F29:J29"/>
    <x:mergeCell ref="F30:J30"/>
    <x:mergeCell ref="F31:J31"/>
    <x:mergeCell ref="F32:J32"/>
    <x:mergeCell ref="C35:J35"/>
    <x:mergeCell ref="C37:J37"/>
    <x:mergeCell ref="C39:J39"/>
  </x:mergeCells>
  <x:conditionalFormatting sqref="D8:D18">
    <x:cfRule type="expression" dxfId="0" priority="1">
      <x:formula>ABS(D8)&gt;0.01</x:formula>
    </x:cfRule>
  </x:conditionalFormatting>
  <x:pageMargins left="0.7" right="0.7" top="0.75" bottom="0.75" header="0.3" footer="0.3"/>
</x:worksheet>
</file>
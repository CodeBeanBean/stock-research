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a43c52b95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b62cc71266e4064"/>
    <x:sheet xmlns:r="http://schemas.openxmlformats.org/officeDocument/2006/relationships" name="Historical" sheetId="2" r:id="Re8552f3c3f5e4346"/>
    <x:sheet xmlns:r="http://schemas.openxmlformats.org/officeDocument/2006/relationships" name="Operating Drivers" sheetId="3" r:id="Re4bd7d2dc9f4429d"/>
    <x:sheet xmlns:r="http://schemas.openxmlformats.org/officeDocument/2006/relationships" name="Balance &amp; Cash Flow" sheetId="4" r:id="R7546ac714c9d4a9b"/>
    <x:sheet xmlns:r="http://schemas.openxmlformats.org/officeDocument/2006/relationships" name="Assumptions" sheetId="5" r:id="R1023ec8cc0e5491d"/>
    <x:sheet xmlns:r="http://schemas.openxmlformats.org/officeDocument/2006/relationships" name="Valuation" sheetId="6" r:id="R9424b5a685f6494d"/>
    <x:sheet xmlns:r="http://schemas.openxmlformats.org/officeDocument/2006/relationships" name="Checks" sheetId="7" r:id="R9abe2fc7f5864777"/>
    <x:sheet xmlns:r="http://schemas.openxmlformats.org/officeDocument/2006/relationships" name="Sources Audit" sheetId="8" r:id="Rd29361db43934c8d"/>
  </x:sheets>
</x:workbook>
</file>

<file path=xl/comments1.xml><?xml version="1.0" encoding="utf-8"?>
<x:comments xmlns:x="http://schemas.openxmlformats.org/spreadsheetml/2006/main">
  <x:authors>
    <x:author>tc={3F56D171-E1F9-36D3-A535-767FB284AEC6}</x:author>
  </x:authors>
  <x:commentList>
    <x:comment ref="C2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Current ratio below 1 is a monitoring flag, not a going-concern qualification.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tc={8466F60A-59B9-9E9E-8518-31C507FCF33F}</x:author>
    <x:author>tc={4388E80C-765C-2616-EEC8-A13C4B51837F}</x:author>
    <x:author>tc={452B28EA-6916-C50B-2AA8-33C2E9AD5289}</x:author>
    <x:author>tc={405F2E9A-E620-156C-9F98-886AD0AFFD59}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FT historical prices, 2026-08-28 close HKD10.58.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M2: 2026-08-28 central parity, HKD100 = RMB86.498.</x:t>
        </x:r>
      </x:text>
    </x:comment>
    <x:comment ref="C2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 2026 revenue RMB4.05bn is an analyst assumption, not company guidance or consensus.</x:t>
        </x:r>
      </x:text>
    </x:comment>
    <x:comment ref="C2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 adjusted margin 13.5% reflects the 2026H1 actual margin of about 13.6%.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0">
    <x:numFmt numFmtId="200" formatCode="0.000&quot; bn&quot;"/>
    <x:numFmt numFmtId="201" formatCode="0.0%"/>
    <x:numFmt numFmtId="202" formatCode="0.0%;[Red](0.0%);-"/>
    <x:numFmt numFmtId="203" formatCode="0.0&quot; mn visits&quot;"/>
    <x:numFmt numFmtId="204" formatCode="0"/>
    <x:numFmt numFmtId="205" formatCode="0.000&quot; bn RMB&quot;"/>
    <x:numFmt numFmtId="206" formatCode="0.0&quot; mn shares&quot;"/>
    <x:numFmt numFmtId="207" formatCode="0.0&quot; bn RMB&quot;"/>
    <x:numFmt numFmtId="208" formatCode="0.00x"/>
    <x:numFmt numFmtId="209" formatCode="0.000&quot; bn&quot;;[Red](0.000&quot; bn&quot;);-"/>
    <x:numFmt numFmtId="210" formatCode="&quot;HKD &quot;0.00"/>
    <x:numFmt numFmtId="211" formatCode="0.000&quot; bn shares&quot;"/>
    <x:numFmt numFmtId="212" formatCode="0.00000&quot; RMB/HKD&quot;"/>
    <x:numFmt numFmtId="213" formatCode="0.00&quot; bn HKD&quot;"/>
    <x:numFmt numFmtId="214" formatCode="0.0x"/>
    <x:numFmt numFmtId="215" formatCode="yyyy-mm-dd"/>
    <x:numFmt numFmtId="216" formatCode="0.00&quot; bn&quot;"/>
    <x:numFmt numFmtId="217" formatCode="0.00&quot; bn RMB&quot;"/>
    <x:numFmt numFmtId="218" formatCode="0.0000"/>
    <x:numFmt numFmtId="219" formatCode="0.000"/>
  </x:numFmts>
  <x:fonts count="9">
    <x:font>
      <x:sz val="11"/>
      <x:name val="Carlito"/>
    </x:font>
    <x:font>
      <x:sz val="10"/>
      <x:color rgb="FF1F2937"/>
      <x:name val="Microsoft YaHei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b/>
      <x:sz val="11"/>
      <x:color rgb="FF142B4A"/>
      <x:name val="Microsoft YaHei"/>
    </x:font>
    <x:font>
      <x:sz val="10"/>
      <x:color rgb="FF0000FF"/>
      <x:name val="Microsoft YaHei"/>
    </x:font>
    <x:font>
      <x:b/>
      <x:sz val="10"/>
      <x:color rgb="FF008000"/>
      <x:name val="Microsoft YaHei"/>
    </x:font>
    <x:font>
      <x:sz val="9"/>
      <x:color rgb="FF1F4E78"/>
      <x:name val="Microsoft YaHei"/>
    </x:font>
    <x:font>
      <x:b/>
      <x:sz val="10"/>
      <x:color rgb="FF142B4A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</x:border>
    <x:border>
      <x:right style="thin">
        <x:color rgb="FFD9E2F3"/>
      </x:right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2" fontId="1" fillId="4" borderId="2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2" fontId="1" fillId="6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205" fontId="1" fillId="0" borderId="2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207" fontId="1" fillId="0" borderId="2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0" fontId="1" fillId="7" borderId="5" xfId="0" applyNumberFormat="1" applyFont="1" applyFill="1" applyBorder="1" applyAlignment="1">
      <x:alignment vertical="center"/>
    </x:xf>
    <x:xf numFmtId="0" fontId="1" fillId="7" borderId="9" xfId="0" applyNumberFormat="1" applyFont="1" applyFill="1" applyBorder="1" applyAlignment="1">
      <x:alignment vertical="center"/>
    </x:xf>
    <x:xf numFmtId="0" fontId="1" fillId="7" borderId="10" xfId="0" applyNumberFormat="1" applyFont="1" applyFill="1" applyBorder="1" applyAlignment="1">
      <x:alignment vertical="center"/>
    </x:xf>
    <x:xf numFmtId="0" fontId="1" fillId="7" borderId="6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0" fontId="1" fillId="7" borderId="8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9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0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208" fontId="1" fillId="0" borderId="2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202" fontId="1" fillId="8" borderId="2" xfId="0" applyNumberFormat="1" applyFont="1" applyFill="1" applyBorder="1" applyAlignment="1">
      <x:alignment vertical="center"/>
    </x:xf>
    <x:xf numFmtId="209" fontId="1" fillId="0" borderId="2" xfId="0" applyNumberFormat="1" applyFont="1" applyFill="1" applyBorder="1" applyAlignment="1">
      <x:alignment vertical="center"/>
    </x:xf>
    <x:xf numFmtId="209" fontId="1" fillId="7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10" fontId="5" fillId="0" borderId="2" xfId="0" applyNumberFormat="1" applyFont="1" applyFill="1" applyBorder="1" applyAlignment="1">
      <x:alignment vertical="center"/>
    </x:xf>
    <x:xf numFmtId="211" fontId="5" fillId="0" borderId="2" xfId="0" applyNumberFormat="1" applyFont="1" applyFill="1" applyBorder="1" applyAlignment="1">
      <x:alignment vertical="center"/>
    </x:xf>
    <x:xf numFmtId="212" fontId="5" fillId="0" borderId="2" xfId="0" applyNumberFormat="1" applyFont="1" applyFill="1" applyBorder="1" applyAlignment="1">
      <x:alignment vertical="center"/>
    </x:xf>
    <x:xf numFmtId="213" fontId="1" fillId="0" borderId="2" xfId="0" applyNumberFormat="1" applyFont="1" applyFill="1" applyBorder="1" applyAlignment="1">
      <x:alignment vertical="center"/>
    </x:xf>
    <x:xf numFmtId="214" fontId="1" fillId="0" borderId="2" xfId="0" applyNumberFormat="1" applyFont="1" applyFill="1" applyBorder="1" applyAlignment="1">
      <x:alignment vertical="center"/>
    </x:xf>
    <x:xf numFmtId="210" fontId="1" fillId="0" borderId="2" xfId="0" applyNumberFormat="1" applyFont="1" applyFill="1" applyBorder="1" applyAlignment="1">
      <x:alignment vertical="center"/>
    </x:xf>
    <x:xf numFmtId="215" fontId="1" fillId="0" borderId="2" xfId="0" applyNumberFormat="1" applyFont="1" applyFill="1" applyBorder="1" applyAlignment="1">
      <x:alignment vertical="center"/>
    </x:xf>
    <x:xf numFmtId="216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14" fontId="5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16" fontId="1" fillId="0" borderId="2" xfId="0" applyNumberFormat="1" applyFont="1" applyFill="1" applyBorder="1" applyAlignment="1">
      <x:alignment vertical="center"/>
    </x:xf>
    <x:xf numFmtId="217" fontId="1" fillId="0" borderId="2" xfId="0" applyNumberFormat="1" applyFont="1" applyFill="1" applyBorder="1" applyAlignment="1">
      <x:alignment vertical="center"/>
    </x:xf>
    <x:xf numFmtId="216" fontId="1" fillId="4" borderId="2" xfId="0" applyNumberFormat="1" applyFont="1" applyFill="1" applyBorder="1" applyAlignment="1">
      <x:alignment vertical="center"/>
    </x:xf>
    <x:xf numFmtId="214" fontId="1" fillId="4" borderId="2" xfId="0" applyNumberFormat="1" applyFont="1" applyFill="1" applyBorder="1" applyAlignment="1">
      <x:alignment vertical="center"/>
    </x:xf>
    <x:xf numFmtId="217" fontId="1" fillId="4" borderId="2" xfId="0" applyNumberFormat="1" applyFont="1" applyFill="1" applyBorder="1" applyAlignment="1">
      <x:alignment vertical="center"/>
    </x:xf>
    <x:xf numFmtId="210" fontId="1" fillId="4" borderId="2" xfId="0" applyNumberFormat="1" applyFont="1" applyFill="1" applyBorder="1" applyAlignment="1">
      <x:alignment vertical="center"/>
    </x:xf>
    <x:xf numFmtId="218" fontId="1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center"/>
    </x:xf>
    <x:xf numFmtId="218" fontId="1" fillId="7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center"/>
    </x:xf>
    <x:xf numFmtId="219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774e2a8d54589" /><Relationship Type="http://schemas.openxmlformats.org/officeDocument/2006/relationships/theme" Target="/xl/theme/theme1.xml" Id="R68ca9c9b97134fd9" /><Relationship Type="http://schemas.openxmlformats.org/officeDocument/2006/relationships/sharedStrings" Target="/xl/sharedStrings.xml" Id="R1bd1dedba0904a90" /><Relationship Type="http://schemas.openxmlformats.org/officeDocument/2006/relationships/worksheet" Target="/xl/worksheets/sheet1.xml" Id="Rcb62cc71266e4064" /><Relationship Type="http://schemas.openxmlformats.org/officeDocument/2006/relationships/worksheet" Target="/xl/worksheets/sheet2.xml" Id="Re8552f3c3f5e4346" /><Relationship Type="http://schemas.openxmlformats.org/officeDocument/2006/relationships/worksheet" Target="/xl/worksheets/sheet3.xml" Id="Re4bd7d2dc9f4429d" /><Relationship Type="http://schemas.openxmlformats.org/officeDocument/2006/relationships/worksheet" Target="/xl/worksheets/sheet4.xml" Id="R7546ac714c9d4a9b" /><Relationship Type="http://schemas.openxmlformats.org/officeDocument/2006/relationships/worksheet" Target="/xl/worksheets/sheet5.xml" Id="R1023ec8cc0e5491d" /><Relationship Type="http://schemas.openxmlformats.org/officeDocument/2006/relationships/worksheet" Target="/xl/worksheets/sheet6.xml" Id="R9424b5a685f6494d" /><Relationship Type="http://schemas.openxmlformats.org/officeDocument/2006/relationships/worksheet" Target="/xl/worksheets/sheet7.xml" Id="R9abe2fc7f5864777" /><Relationship Type="http://schemas.openxmlformats.org/officeDocument/2006/relationships/worksheet" Target="/xl/worksheets/sheet8.xml" Id="Rd29361db43934c8d" /><Relationship Type="http://schemas.microsoft.com/office/2017/10/relationships/person" Target="/xl/persons/person.xml" Id="Rc810b55bde454f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ed43155d7e4756" /><Relationship Type="http://schemas.openxmlformats.org/officeDocument/2006/relationships/chart" Target="/xl/drawings/charts/chart2.xml" Id="Rfc68987bb20446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中报后情景价值（HKD/股）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价值</c:v>
          </c:tx>
          <c:cat>
            <c:strRef>
              <c:f>'Cover'!$I$3:$I$5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"HKD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2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HKD &quot;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核心利润率改善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2025H1</c:v>
          </c:tx>
          <c:cat>
            <c:strRef>
              <c:f>'Cover'!$I$17:$I$18</c:f>
              <c:strCache>
                <c:ptCount val="0"/>
              </c:strCache>
            </c:strRef>
          </c:cat>
          <c:val>
            <c:numRef>
              <c:f>'Cover'!$J$17:$J$18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2026H1</c:v>
          </c:tx>
          <c:cat>
            <c:strRef>
              <c:f>'Cover'!$I$17:$I$18</c:f>
              <c:strCache>
                <c:ptCount val="0"/>
              </c:strCache>
            </c:strRef>
          </c:cat>
          <c:val>
            <c:numRef>
              <c:f>'Cover'!$K$17:$K$18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ed43155d7e4756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68987bb20446e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 Equity Research" id="{2F5A041D-D1B2-4542-A3A4-ECFAC510D26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20" dT="2026-08-30T05:27:42.212" personId="{2F5A041D-D1B2-4542-A3A4-ECFAC510D26B}" id="{3F56D171-E1F9-36D3-A535-767FB284AEC6}">
    <xltc:text>Current ratio below 1 is a monitoring flag, not a going-concern qualification.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8-30T05:27:42.211" personId="{2F5A041D-D1B2-4542-A3A4-ECFAC510D26B}" id="{8466F60A-59B9-9E9E-8518-31C507FCF33F}">
    <xltc:text>Source M1: FT historical prices, 2026-08-28 close HKD10.58.</xltc:text>
  </xltc:threadedComment>
  <xltc:threadedComment ref="B7" dT="2026-08-30T05:27:42.211" personId="{2F5A041D-D1B2-4542-A3A4-ECFAC510D26B}" id="{4388E80C-765C-2616-EEC8-A13C4B51837F}">
    <xltc:text>Source M2: 2026-08-28 central parity, HKD100 = RMB86.498.</xltc:text>
  </xltc:threadedComment>
  <xltc:threadedComment ref="C26" dT="2026-08-30T05:27:42.212" personId="{2F5A041D-D1B2-4542-A3A4-ECFAC510D26B}" id="{452B28EA-6916-C50B-2AA8-33C2E9AD5289}">
    <xltc:text>Base 2026 revenue RMB4.05bn is an analyst assumption, not company guidance or consensus.</xltc:text>
  </xltc:threadedComment>
  <xltc:threadedComment ref="C27" dT="2026-08-30T05:27:42.212" personId="{2F5A041D-D1B2-4542-A3A4-ECFAC510D26B}" id="{405F2E9A-E620-156C-9F98-886AD0AFFD59}">
    <xltc:text>Base adjusted margin 13.5% reflects the 2026H1 actual margin of about 13.6%.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634cea1da44f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ea943d7fbda24e53" /><Relationship Type="http://schemas.openxmlformats.org/officeDocument/2006/relationships/vmlDrawing" Target="/xl/drawings/vmldrawing.vml" Id="R9a996c63a82e4e62" /><Relationship Type="http://schemas.microsoft.com/office/2017/10/relationships/threadedComment" Target="/xl/threadedcomments/threadedcomment.xml" Id="Rfb574694cd814e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23449036a3f54e9a" /><Relationship Type="http://schemas.openxmlformats.org/officeDocument/2006/relationships/vmlDrawing" Target="/xl/drawings/vmldrawing2.vml" Id="Rf7835149ce97476e" /><Relationship Type="http://schemas.microsoft.com/office/2017/10/relationships/threadedComment" Target="/xl/threadedcomments/threadedcomment2.xml" Id="R6369d977cada4d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1" customHeight="1">
      <x:c r="A1" s="4" t="str">
        <x:v>海吉亚医疗（06078.HK）基本面与估值模型</x:v>
      </x:c>
      <x:c r="B1" s="4" t="str">
        <x:v>海吉亚医疗（06078.HK）基本面与估值模型</x:v>
      </x:c>
      <x:c r="C1" s="4" t="str">
        <x:v>海吉亚医疗（06078.HK）基本面与估值模型</x:v>
      </x:c>
      <x:c r="D1" s="4" t="str">
        <x:v>海吉亚医疗（06078.HK）基本面与估值模型</x:v>
      </x:c>
      <x:c r="E1" s="4" t="str">
        <x:v>海吉亚医疗（06078.HK）基本面与估值模型</x:v>
      </x:c>
      <x:c r="F1" s="4" t="str">
        <x:v>海吉亚医疗（06078.HK）基本面与估值模型</x:v>
      </x:c>
      <x:c r="G1" s="4" t="str">
        <x:v>海吉亚医疗（06078.HK）基本面与估值模型</x:v>
      </x:c>
      <x:c r="H1" s="4" t="str">
        <x:v>海吉亚医疗（06078.HK）基本面与估值模型</x:v>
      </x:c>
      <x:c r="I1" s="2"/>
      <x:c r="J1" s="2"/>
      <x:c r="K1" s="2"/>
    </x:row>
    <x:row r="2">
      <x:c r="A2" s="2"/>
      <x:c r="B2" s="2"/>
      <x:c r="C2" s="2"/>
      <x:c r="D2" s="2"/>
      <x:c r="E2" s="2"/>
      <x:c r="F2" s="2"/>
      <x:c r="G2" s="2"/>
      <x:c r="H2" s="2"/>
      <x:c r="I2" s="2" t="str">
        <x:v>情景</x:v>
      </x:c>
      <x:c r="J2" s="2" t="str">
        <x:v>价值</x:v>
      </x:c>
      <x:c r="K2" s="2"/>
    </x:row>
    <x:row r="3">
      <x:c r="A3" s="108" t="str">
        <x:v>公司</x:v>
      </x:c>
      <x:c r="B3" s="11" t="str">
        <x:v>海吉亚医疗控股有限公司</x:v>
      </x:c>
      <x:c r="C3" s="11"/>
      <x:c r="D3" s="2"/>
      <x:c r="E3" s="2"/>
      <x:c r="F3" s="2"/>
      <x:c r="G3" s="2"/>
      <x:c r="H3" s="2"/>
      <x:c r="I3" s="2" t="str">
        <x:v>Bear</x:v>
      </x:c>
      <x:c r="J3" s="2" t="n">
        <x:f>Valuation!G5</x:f>
        <x:v>8.68600769444331</x:v>
      </x:c>
      <x:c r="K3" s="2"/>
    </x:row>
    <x:row r="4">
      <x:c r="A4" s="108" t="str">
        <x:v>价格基准</x:v>
      </x:c>
      <x:c r="B4" s="11" t="str">
        <x:v>2026-08-28收盘</x:v>
      </x:c>
      <x:c r="C4" s="11"/>
      <x:c r="D4" s="2"/>
      <x:c r="E4" s="2"/>
      <x:c r="F4" s="2"/>
      <x:c r="G4" s="2"/>
      <x:c r="H4" s="2"/>
      <x:c r="I4" s="2" t="str">
        <x:v>Base</x:v>
      </x:c>
      <x:c r="J4" s="2" t="n">
        <x:f>Valuation!G6</x:f>
        <x:v>13.56759212161116</x:v>
      </x:c>
      <x:c r="K4" s="2"/>
    </x:row>
    <x:row r="5">
      <x:c r="A5" s="108" t="str">
        <x:v>资料截止</x:v>
      </x:c>
      <x:c r="B5" s="11" t="str">
        <x:v>2026-08-30</x:v>
      </x:c>
      <x:c r="C5" s="11"/>
      <x:c r="D5" s="2"/>
      <x:c r="E5" s="2"/>
      <x:c r="F5" s="2"/>
      <x:c r="G5" s="2"/>
      <x:c r="H5" s="2"/>
      <x:c r="I5" s="2" t="str">
        <x:v>Bull</x:v>
      </x:c>
      <x:c r="J5" s="2" t="n">
        <x:f>Valuation!G7</x:f>
        <x:v>17.830138157580887</x:v>
      </x:c>
      <x:c r="K5" s="2"/>
    </x:row>
    <x:row r="6">
      <x:c r="A6" s="108" t="str">
        <x:v>报告货币</x:v>
      </x:c>
      <x:c r="B6" s="11" t="str">
        <x:v>人民币十亿元；每股价值为港元</x:v>
      </x:c>
      <x:c r="C6" s="11"/>
      <x:c r="D6" s="2"/>
      <x:c r="E6" s="2"/>
      <x:c r="F6" s="2"/>
      <x:c r="G6" s="2"/>
      <x:c r="H6" s="2"/>
      <x:c r="I6" s="2"/>
      <x:c r="J6" s="2"/>
      <x:c r="K6" s="2"/>
    </x:row>
    <x:row r="7">
      <x:c r="A7" s="108" t="str">
        <x:v>模型版本</x:v>
      </x:c>
      <x:c r="B7" s="11" t="str">
        <x:v>2026年中报更新 v2.0</x:v>
      </x:c>
      <x:c r="C7" s="11"/>
      <x:c r="D7" s="2"/>
      <x:c r="E7" s="2"/>
      <x:c r="F7" s="2"/>
      <x:c r="G7" s="2"/>
      <x:c r="H7" s="2"/>
      <x:c r="I7" s="2"/>
      <x:c r="J7" s="2"/>
      <x:c r="K7" s="2"/>
    </x:row>
    <x:row r="8">
      <x:c r="A8" s="108" t="str">
        <x:v>估值框架</x:v>
      </x:c>
      <x:c r="B8" s="11" t="str">
        <x:v>2026E调整后P/E；FCF交叉验证</x:v>
      </x:c>
      <x:c r="C8" s="11"/>
      <x:c r="D8" s="2"/>
      <x:c r="E8" s="2"/>
      <x:c r="F8" s="2"/>
      <x:c r="G8" s="2"/>
      <x:c r="H8" s="2"/>
      <x:c r="I8" s="2"/>
      <x:c r="J8" s="2"/>
      <x:c r="K8" s="2"/>
    </x:row>
    <x:row r="9">
      <x:c r="A9" s="108" t="str">
        <x:v>模型状态</x:v>
      </x:c>
      <x:c r="B9" s="102" t="str">
        <x:f>Checks!F2</x:f>
        <x:v>OK</x:v>
      </x:c>
      <x:c r="C9" s="11"/>
      <x:c r="D9" s="2"/>
      <x:c r="E9" s="2"/>
      <x:c r="F9" s="2"/>
      <x:c r="G9" s="2"/>
      <x:c r="H9" s="2"/>
      <x:c r="I9" s="2"/>
      <x:c r="J9" s="2"/>
      <x:c r="K9" s="2"/>
    </x:row>
    <x:row r="10">
      <x:c r="A10" s="108" t="str">
        <x:v>研究结论</x:v>
      </x:c>
      <x:c r="B10" s="15" t="str">
        <x:v>谨慎积极</x:v>
      </x:c>
      <x:c r="C10" s="11"/>
      <x:c r="D10" s="2"/>
      <x:c r="E10" s="2"/>
      <x:c r="F10" s="2"/>
      <x:c r="G10" s="2"/>
      <x:c r="H10" s="2"/>
      <x:c r="I10" s="2"/>
      <x:c r="J10" s="2"/>
      <x:c r="K10" s="2"/>
    </x:row>
    <x:row r="11">
      <x:c r="A11" s="108" t="str">
        <x:v>核心分歧</x:v>
      </x:c>
      <x:c r="B11" s="11" t="str">
        <x:v>盈利与现金流修复；收入尚未恢复</x:v>
      </x:c>
      <x:c r="C11" s="11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39" t="str">
        <x:v>关键输出</x:v>
      </x:c>
      <x:c r="B13" s="39" t="str">
        <x:v>关键输出</x:v>
      </x:c>
      <x:c r="C13" s="39" t="str">
        <x:v>关键输出</x:v>
      </x:c>
      <x:c r="D13" s="2"/>
      <x:c r="E13" s="2"/>
      <x:c r="F13" s="2"/>
      <x:c r="G13" s="2"/>
      <x:c r="H13" s="2"/>
      <x:c r="I13" s="2"/>
      <x:c r="J13" s="2"/>
      <x:c r="K13" s="2"/>
    </x:row>
    <x:row r="14">
      <x:c r="A14" s="11" t="str">
        <x:v>当前股价</x:v>
      </x:c>
      <x:c r="B14" s="87" t="n">
        <x:f>Assumptions!B5</x:f>
        <x:v>10.58</x:v>
      </x:c>
      <x:c r="C14" s="11" t="str">
        <x:v>2026-08-28收盘</x:v>
      </x:c>
      <x:c r="D14" s="2"/>
      <x:c r="E14" s="2"/>
      <x:c r="F14" s="2"/>
      <x:c r="G14" s="2"/>
      <x:c r="H14" s="2"/>
      <x:c r="I14" s="2"/>
      <x:c r="J14" s="2"/>
      <x:c r="K14" s="2"/>
    </x:row>
    <x:row r="15">
      <x:c r="A15" s="11" t="str">
        <x:v>港元市值</x:v>
      </x:c>
      <x:c r="B15" s="85" t="n">
        <x:f>Assumptions!B8</x:f>
        <x:v>6.407800276</x:v>
      </x:c>
      <x:c r="C15" s="11" t="str">
        <x:v>不含库存股</x:v>
      </x:c>
      <x:c r="D15" s="2"/>
      <x:c r="E15" s="2"/>
      <x:c r="F15" s="2"/>
      <x:c r="G15" s="2"/>
      <x:c r="H15" s="2"/>
      <x:c r="I15" s="2"/>
      <x:c r="J15" s="2"/>
      <x:c r="K15" s="2"/>
    </x:row>
    <x:row r="16">
      <x:c r="A16" s="11" t="str">
        <x:v>年化调整后P/E</x:v>
      </x:c>
      <x:c r="B16" s="86" t="n">
        <x:f>Assumptions!B11</x:f>
        <x:v>10.398246796141484</x:v>
      </x:c>
      <x:c r="C16" s="11" t="str">
        <x:v>按2026H1×2</x:v>
      </x:c>
      <x:c r="D16" s="2"/>
      <x:c r="E16" s="2"/>
      <x:c r="F16" s="2"/>
      <x:c r="G16" s="2"/>
      <x:c r="H16" s="2"/>
      <x:c r="I16" s="2" t="str">
        <x:v>利润率</x:v>
      </x:c>
      <x:c r="J16" s="2" t="str">
        <x:v>2025H1</x:v>
      </x:c>
      <x:c r="K16" s="2" t="str">
        <x:v>2026H1</x:v>
      </x:c>
    </x:row>
    <x:row r="17">
      <x:c r="A17" s="11" t="str">
        <x:v>年化IFRS P/E</x:v>
      </x:c>
      <x:c r="B17" s="86" t="n">
        <x:f>Assumptions!B13</x:f>
        <x:v>10.765962773459254</x:v>
      </x:c>
      <x:c r="C17" s="11" t="str">
        <x:v>按归母净利润</x:v>
      </x:c>
      <x:c r="D17" s="2"/>
      <x:c r="E17" s="2"/>
      <x:c r="F17" s="2"/>
      <x:c r="G17" s="2"/>
      <x:c r="H17" s="2"/>
      <x:c r="I17" s="2" t="str">
        <x:v>毛利率</x:v>
      </x:c>
      <x:c r="J17" s="2" t="n">
        <x:v>0.266</x:v>
      </x:c>
      <x:c r="K17" s="2" t="n">
        <x:v>0.274</x:v>
      </x:c>
    </x:row>
    <x:row r="18">
      <x:c r="A18" s="11" t="str">
        <x:v>H1 FCF简单年化收益率</x:v>
      </x:c>
      <x:c r="B18" s="13" t="n">
        <x:f>Assumptions!B15</x:f>
        <x:v>0.10691696310972858</x:v>
      </x:c>
      <x:c r="C18" s="11" t="str">
        <x:v>含营运资金释放</x:v>
      </x:c>
      <x:c r="D18" s="2"/>
      <x:c r="E18" s="2"/>
      <x:c r="F18" s="2"/>
      <x:c r="G18" s="2"/>
      <x:c r="H18" s="2"/>
      <x:c r="I18" s="2" t="str">
        <x:v>调整后净利率</x:v>
      </x:c>
      <x:c r="J18" s="2" t="n">
        <x:v>0.1319</x:v>
      </x:c>
      <x:c r="K18" s="2" t="n">
        <x:v>0.1359</x:v>
      </x:c>
    </x:row>
    <x:row r="19">
      <x:c r="A19" s="11" t="str">
        <x:v>公司定义净债务</x:v>
      </x:c>
      <x:c r="B19" s="94" t="n">
        <x:f>'Balance &amp; Cash Flow'!C10</x:f>
        <x:v>1.806956</x:v>
      </x:c>
      <x:c r="C19" s="11" t="str">
        <x:v>较年初下降8.0%</x:v>
      </x:c>
      <x:c r="D19" s="2"/>
      <x:c r="E19" s="2"/>
      <x:c r="F19" s="2"/>
      <x:c r="G19" s="2"/>
      <x:c r="H19" s="2"/>
      <x:c r="I19" s="2"/>
      <x:c r="J19" s="2"/>
      <x:c r="K19" s="2"/>
    </x:row>
    <x:row r="20">
      <x:c r="A20" s="11" t="str">
        <x:v>当前P/B</x:v>
      </x:c>
      <x:c r="B20" s="76" t="n">
        <x:f>Assumptions!B18</x:f>
        <x:v>0.7987388602618885</x:v>
      </x:c>
      <x:c r="C20" s="11" t="str">
        <x:v>归母权益口径</x:v>
      </x:c>
      <x:c r="D20" s="2"/>
      <x:c r="E20" s="2"/>
      <x:c r="F20" s="2"/>
      <x:c r="G20" s="2"/>
      <x:c r="H20" s="2"/>
      <x:c r="I20" s="2"/>
      <x:c r="J20" s="2"/>
      <x:c r="K20" s="2"/>
    </x:row>
    <x:row r="21">
      <x:c r="A21" s="11" t="str">
        <x:v>Bear合理价值</x:v>
      </x:c>
      <x:c r="B21" s="87" t="n">
        <x:f>Valuation!G5</x:f>
        <x:v>8.68600769444331</x:v>
      </x:c>
      <x:c r="C21" s="11" t="str">
        <x:v>收入继续下降</x:v>
      </x:c>
      <x:c r="D21" s="2"/>
      <x:c r="E21" s="2"/>
      <x:c r="F21" s="2"/>
      <x:c r="G21" s="2"/>
      <x:c r="H21" s="2"/>
      <x:c r="I21" s="2"/>
      <x:c r="J21" s="2"/>
      <x:c r="K21" s="2"/>
    </x:row>
    <x:row r="22">
      <x:c r="A22" s="15" t="str">
        <x:v>Base合理价值</x:v>
      </x:c>
      <x:c r="B22" s="98" t="n">
        <x:f>Valuation!G6</x:f>
        <x:v>13.56759212161116</x:v>
      </x:c>
      <x:c r="C22" s="15" t="str">
        <x:v>H2温和恢复</x:v>
      </x:c>
      <x:c r="D22" s="2"/>
      <x:c r="E22" s="2"/>
      <x:c r="F22" s="2"/>
      <x:c r="G22" s="2"/>
      <x:c r="H22" s="2"/>
      <x:c r="I22" s="2"/>
      <x:c r="J22" s="2"/>
      <x:c r="K22" s="2"/>
    </x:row>
    <x:row r="23">
      <x:c r="A23" s="11" t="str">
        <x:v>Bull合理价值</x:v>
      </x:c>
      <x:c r="B23" s="87" t="n">
        <x:f>Valuation!G7</x:f>
        <x:v>17.830138157580887</x:v>
      </x:c>
      <x:c r="C23" s="11" t="str">
        <x:v>增长与现金流共振</x:v>
      </x:c>
      <x:c r="D23" s="2"/>
      <x:c r="E23" s="2"/>
      <x:c r="F23" s="2"/>
      <x:c r="G23" s="2"/>
      <x:c r="H23" s="2"/>
      <x:c r="I23" s="2"/>
      <x:c r="J23" s="2"/>
      <x:c r="K23" s="2"/>
    </x:row>
    <x:row r="24">
      <x:c r="A24" s="11" t="str">
        <x:v>Base相对现价</x:v>
      </x:c>
      <x:c r="B24" s="14" t="n">
        <x:f>Valuation!H6</x:f>
        <x:v>0.28238110790275606</x:v>
      </x:c>
      <x:c r="C24" s="11" t="str">
        <x:v>情景差异</x:v>
      </x:c>
      <x:c r="D24" s="2"/>
      <x:c r="E24" s="2"/>
      <x:c r="F24" s="2"/>
      <x:c r="G24" s="2"/>
      <x:c r="H24" s="2"/>
      <x:c r="I24" s="2"/>
      <x:c r="J24" s="2"/>
      <x:c r="K24" s="2"/>
    </x:row>
    <x:row r="25">
      <x:c r="A25" s="11" t="str">
        <x:v>Base FCF交叉价值</x:v>
      </x:c>
      <x:c r="B25" s="87" t="n">
        <x:f>Valuation!K6</x:f>
        <x:v>12.30144471493866</x:v>
      </x:c>
      <x:c r="C25" s="11" t="str">
        <x:v>正常化现金流</x:v>
      </x:c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39" t="str">
        <x:v>中报结论</x:v>
      </x:c>
      <x:c r="B28" s="39" t="str">
        <x:v>中报结论</x:v>
      </x:c>
      <x:c r="C28" s="39" t="str">
        <x:v>中报结论</x:v>
      </x:c>
      <x:c r="D28" s="39" t="str">
        <x:v>中报结论</x:v>
      </x:c>
      <x:c r="E28" s="39" t="str">
        <x:v>中报结论</x:v>
      </x:c>
      <x:c r="F28" s="39" t="str">
        <x:v>中报结论</x:v>
      </x:c>
      <x:c r="G28" s="39" t="str">
        <x:v>中报结论</x:v>
      </x:c>
      <x:c r="H28" s="39" t="str">
        <x:v>中报结论</x:v>
      </x:c>
      <x:c r="I28" s="2"/>
      <x:c r="J28" s="2"/>
      <x:c r="K28" s="2"/>
    </x:row>
    <x:row r="29" ht="23" customHeight="1">
      <x:c r="A29" s="32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B29" s="33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C29" s="33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D29" s="33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E29" s="33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F29" s="33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G29" s="33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H29" s="34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I29" s="2"/>
      <x:c r="J29" s="2"/>
      <x:c r="K29" s="2"/>
    </x:row>
    <x:row r="30" ht="23" customHeight="1">
      <x:c r="A30" s="114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B30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C30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D30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E30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F30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G30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H30" s="11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I30" s="2"/>
      <x:c r="J30" s="2"/>
      <x:c r="K30" s="2"/>
    </x:row>
    <x:row r="31" ht="23" customHeight="1">
      <x:c r="A31" s="114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B31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C31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D31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E31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F31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G31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H31" s="11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I31" s="2"/>
      <x:c r="J31" s="2"/>
      <x:c r="K31" s="2"/>
    </x:row>
    <x:row r="32" ht="23" customHeight="1">
      <x:c r="A32" s="114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B32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C32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D32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E32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F32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G32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H32" s="11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I32" s="2"/>
      <x:c r="J32" s="2"/>
      <x:c r="K32" s="2"/>
    </x:row>
    <x:row r="33" ht="23" customHeight="1">
      <x:c r="A33" s="114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B33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C33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D33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E33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F33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G33" s="11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H33" s="11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I33" s="2"/>
      <x:c r="J33" s="2"/>
      <x:c r="K33" s="2"/>
    </x:row>
    <x:row r="34" ht="23" customHeight="1">
      <x:c r="A34" s="35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B34" s="3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C34" s="3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D34" s="3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E34" s="3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F34" s="3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G34" s="36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H34" s="37" t="str">
        <x:v>2026H1收入下降1.4%，但毛利率升至27.4%、调整后净利润增长1.5%、自由现金流增长38.5%，应收下降20.1%、借款下降7.4%。财务修复已验证，收入修复仍待验证：患者量+4.1%、手术+8.2%，却未转化为收入增长。Base价值13.57港元，较10.58港元约有28%空间；观点为谨慎积极。</x:v>
      </x:c>
      <x:c r="I34" s="2"/>
      <x:c r="J34" s="2"/>
      <x:c r="K34" s="2"/>
    </x:row>
  </x:sheetData>
  <x:mergeCells>
    <x:mergeCell ref="A1:H1"/>
    <x:mergeCell ref="A13:C13"/>
    <x:mergeCell ref="A28:H28"/>
    <x:mergeCell ref="A29:H34"/>
  </x:mergeCells>
  <x:pageMargins left="0.7" right="0.7" top="0.75" bottom="0.75" header="0.3" footer="0.3"/>
  <x:drawing xmlns:r="http://schemas.openxmlformats.org/officeDocument/2006/relationships" r:id="R1d634cea1da44f6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1" customHeight="1">
      <x:c r="A1" s="4" t="str">
        <x:v>历史财务与2026年中报</x:v>
      </x:c>
      <x:c r="B1" s="4" t="str">
        <x:v>历史财务与2026年中报</x:v>
      </x:c>
      <x:c r="C1" s="4" t="str">
        <x:v>历史财务与2026年中报</x:v>
      </x:c>
      <x:c r="D1" s="4" t="str">
        <x:v>历史财务与2026年中报</x:v>
      </x:c>
      <x:c r="E1" s="4" t="str">
        <x:v>历史财务与2026年中报</x:v>
      </x:c>
      <x:c r="F1" s="4" t="str">
        <x:v>历史财务与2026年中报</x:v>
      </x:c>
    </x:row>
    <x:row r="2">
      <x:c r="A2" s="2"/>
      <x:c r="B2" s="2"/>
      <x:c r="C2" s="2"/>
      <x:c r="D2" s="2"/>
      <x:c r="E2" s="2"/>
      <x:c r="F2" s="2"/>
    </x:row>
    <x:row r="3">
      <x:c r="A3" s="10" t="str">
        <x:v>指标（RMB bn，除注明外）</x:v>
      </x:c>
      <x:c r="B3" s="10" t="str">
        <x:v>2024A</x:v>
      </x:c>
      <x:c r="C3" s="10" t="str">
        <x:v>2025A</x:v>
      </x:c>
      <x:c r="D3" s="10" t="str">
        <x:v>2025H1</x:v>
      </x:c>
      <x:c r="E3" s="10" t="str">
        <x:v>2026H1</x:v>
      </x:c>
      <x:c r="F3" s="10" t="str">
        <x:v>同比/变化</x:v>
      </x:c>
    </x:row>
    <x:row r="4">
      <x:c r="A4" s="11" t="str">
        <x:v>营业收入</x:v>
      </x:c>
      <x:c r="B4" s="12" t="n">
        <x:v>4.44612</x:v>
      </x:c>
      <x:c r="C4" s="12" t="n">
        <x:v>4.008832</x:v>
      </x:c>
      <x:c r="D4" s="12" t="n">
        <x:v>1.989654</x:v>
      </x:c>
      <x:c r="E4" s="12" t="n">
        <x:v>1.961022</x:v>
      </x:c>
      <x:c r="F4" s="14" t="n">
        <x:f>IFERROR(E4/D4-1,"")</x:f>
        <x:v>-0.014390441755199657</x:v>
      </x:c>
    </x:row>
    <x:row r="5">
      <x:c r="A5" s="11" t="str">
        <x:v>营业成本</x:v>
      </x:c>
      <x:c r="B5" s="12" t="n">
        <x:v>3.116647</x:v>
      </x:c>
      <x:c r="C5" s="12" t="n">
        <x:v>2.985356</x:v>
      </x:c>
      <x:c r="D5" s="12" t="n">
        <x:v>1.460984</x:v>
      </x:c>
      <x:c r="E5" s="12" t="n">
        <x:v>1.423846</x:v>
      </x:c>
      <x:c r="F5" s="14" t="n">
        <x:f>IFERROR(E5/D5-1,"")</x:f>
        <x:v>-0.025419854016197396</x:v>
      </x:c>
    </x:row>
    <x:row r="6">
      <x:c r="A6" s="15" t="str">
        <x:v>毛利</x:v>
      </x:c>
      <x:c r="B6" s="16" t="n">
        <x:f>B4-B5</x:f>
        <x:v>1.3294729999999997</x:v>
      </x:c>
      <x:c r="C6" s="16" t="n">
        <x:f>C4-C5</x:f>
        <x:v>1.023476</x:v>
      </x:c>
      <x:c r="D6" s="16" t="n">
        <x:f>D4-D5</x:f>
        <x:v>0.52867</x:v>
      </x:c>
      <x:c r="E6" s="16" t="n">
        <x:f>E4-E5</x:f>
        <x:v>0.5371760000000001</x:v>
      </x:c>
      <x:c r="F6" s="17" t="n">
        <x:f>IFERROR(E6/D6-1,"")</x:f>
        <x:v>0.016089431970794932</x:v>
      </x:c>
    </x:row>
    <x:row r="7">
      <x:c r="A7" s="15" t="str">
        <x:v>毛利率</x:v>
      </x:c>
      <x:c r="B7" s="18" t="n">
        <x:f>B6/B4</x:f>
        <x:v>0.29901869495200306</x:v>
      </x:c>
      <x:c r="C7" s="18" t="n">
        <x:f>C6/C4</x:f>
        <x:v>0.2553052859286695</x:v>
      </x:c>
      <x:c r="D7" s="18" t="n">
        <x:f>D6/D4</x:f>
        <x:v>0.26570951532276466</x:v>
      </x:c>
      <x:c r="E7" s="18" t="n">
        <x:f>E6/E4</x:f>
        <x:v>0.27392655462304866</x:v>
      </x:c>
      <x:c r="F7" s="17" t="n">
        <x:f>E7-D7</x:f>
        <x:v>0.008217039300284001</x:v>
      </x:c>
    </x:row>
    <x:row r="8">
      <x:c r="A8" s="11" t="str">
        <x:v>营业利润</x:v>
      </x:c>
      <x:c r="B8" s="12" t="n">
        <x:v>0.821144</x:v>
      </x:c>
      <x:c r="C8" s="12" t="n">
        <x:v>0.393425</x:v>
      </x:c>
      <x:c r="D8" s="12" t="n">
        <x:v>0.344477</x:v>
      </x:c>
      <x:c r="E8" s="12" t="n">
        <x:v>0.34034</x:v>
      </x:c>
      <x:c r="F8" s="14" t="n">
        <x:f>IFERROR(E8/D8-1,"")</x:f>
        <x:v>-0.012009510068887064</x:v>
      </x:c>
    </x:row>
    <x:row r="9">
      <x:c r="A9" s="11" t="str">
        <x:v>营业利润率</x:v>
      </x:c>
      <x:c r="B9" s="13" t="n">
        <x:f>B8/B4</x:f>
        <x:v>0.18468777270968845</x:v>
      </x:c>
      <x:c r="C9" s="13" t="n">
        <x:f>C8/C4</x:f>
        <x:v>0.0981395578562534</x:v>
      </x:c>
      <x:c r="D9" s="13" t="n">
        <x:f>D8/D4</x:f>
        <x:v>0.17313412281733406</x:v>
      </x:c>
      <x:c r="E9" s="13" t="n">
        <x:f>E8/E4</x:f>
        <x:v>0.17355236198268045</x:v>
      </x:c>
      <x:c r="F9" s="14" t="n">
        <x:f>E9-D9</x:f>
        <x:v>0.00041823916534639016</x:v>
      </x:c>
    </x:row>
    <x:row r="10">
      <x:c r="A10" s="11" t="str">
        <x:v>归母净利润</x:v>
      </x:c>
      <x:c r="B10" s="12" t="n">
        <x:v>0.598332</x:v>
      </x:c>
      <x:c r="C10" s="12" t="n">
        <x:v>0.164822</x:v>
      </x:c>
      <x:c r="D10" s="12" t="n">
        <x:v>0.247066</x:v>
      </x:c>
      <x:c r="E10" s="12" t="n">
        <x:v>0.257414</x:v>
      </x:c>
      <x:c r="F10" s="14" t="n">
        <x:f>IFERROR(E10/D10-1,"")</x:f>
        <x:v>0.04188354528749394</x:v>
      </x:c>
    </x:row>
    <x:row r="11">
      <x:c r="A11" s="11" t="str">
        <x:v>归母净利率</x:v>
      </x:c>
      <x:c r="B11" s="13" t="n">
        <x:f>B10/B4</x:f>
        <x:v>0.13457396561496315</x:v>
      </x:c>
      <x:c r="C11" s="13" t="n">
        <x:f>C10/C4</x:f>
        <x:v>0.04111471870110795</x:v>
      </x:c>
      <x:c r="D11" s="13" t="n">
        <x:f>D10/D4</x:f>
        <x:v>0.12417535913279394</x:v>
      </x:c>
      <x:c r="E11" s="13" t="n">
        <x:f>E10/E4</x:f>
        <x:v>0.1312652280290583</x:v>
      </x:c>
      <x:c r="F11" s="14" t="n">
        <x:f>E11-D11</x:f>
        <x:v>0.007089868896264354</x:v>
      </x:c>
    </x:row>
    <x:row r="12">
      <x:c r="A12" s="11" t="str">
        <x:v>调整后净利润</x:v>
      </x:c>
      <x:c r="B12" s="12" t="n">
        <x:v>0.602264</x:v>
      </x:c>
      <x:c r="C12" s="12" t="n">
        <x:v>0.45548</x:v>
      </x:c>
      <x:c r="D12" s="12" t="n">
        <x:v>0.262503</x:v>
      </x:c>
      <x:c r="E12" s="12" t="n">
        <x:v>0.266517</x:v>
      </x:c>
      <x:c r="F12" s="14" t="n">
        <x:f>IFERROR(E12/D12-1,"")</x:f>
        <x:v>0.015291253814242234</x:v>
      </x:c>
    </x:row>
    <x:row r="13">
      <x:c r="A13" s="11" t="str">
        <x:v>调整后净利率</x:v>
      </x:c>
      <x:c r="B13" s="13" t="n">
        <x:f>B12/B4</x:f>
        <x:v>0.1354583322087573</x:v>
      </x:c>
      <x:c r="C13" s="13" t="n">
        <x:f>C12/C4</x:f>
        <x:v>0.11361912896324915</x:v>
      </x:c>
      <x:c r="D13" s="13" t="n">
        <x:f>D12/D4</x:f>
        <x:v>0.13193399455382693</x:v>
      </x:c>
      <x:c r="E13" s="13" t="n">
        <x:f>E12/E4</x:f>
        <x:v>0.13590719532978213</x:v>
      </x:c>
      <x:c r="F13" s="14" t="n">
        <x:f>E13-D13</x:f>
        <x:v>0.003973200775955199</x:v>
      </x:c>
    </x:row>
    <x:row r="14">
      <x:c r="A14" s="11" t="str">
        <x:v>经营现金流</x:v>
      </x:c>
      <x:c r="B14" s="12" t="n">
        <x:v>0.707132</x:v>
      </x:c>
      <x:c r="C14" s="12" t="n">
        <x:v>0.949976</x:v>
      </x:c>
      <x:c r="D14" s="12" t="n">
        <x:v>0.4557</x:v>
      </x:c>
      <x:c r="E14" s="12" t="n">
        <x:v>0.4587</x:v>
      </x:c>
      <x:c r="F14" s="14" t="n">
        <x:f>IFERROR(E14/D14-1,"")</x:f>
        <x:v>0.006583278472679366</x:v>
      </x:c>
    </x:row>
    <x:row r="15">
      <x:c r="A15" s="11" t="str">
        <x:v>资本开支</x:v>
      </x:c>
      <x:c r="B15" s="12" t="n">
        <x:v>0.6151</x:v>
      </x:c>
      <x:c r="C15" s="12" t="n">
        <x:v>0.4836</x:v>
      </x:c>
      <x:c r="D15" s="12" t="n">
        <x:v>0.2419</x:v>
      </x:c>
      <x:c r="E15" s="12" t="n">
        <x:v>0.1624</x:v>
      </x:c>
      <x:c r="F15" s="14" t="n">
        <x:f>IFERROR(E15/D15-1,"")</x:f>
        <x:v>-0.32864820173625475</x:v>
      </x:c>
    </x:row>
    <x:row r="16">
      <x:c r="A16" s="11"/>
      <x:c r="B16" s="12"/>
      <x:c r="C16" s="12"/>
      <x:c r="D16" s="12"/>
      <x:c r="E16" s="12"/>
      <x:c r="F16" s="14" t="str">
        <x:f>IFERROR(E16/D16-1,"")</x:f>
      </x:c>
    </x:row>
    <x:row r="17">
      <x:c r="A17" s="2"/>
      <x:c r="B17" s="2"/>
      <x:c r="C17" s="2"/>
      <x:c r="D17" s="2"/>
      <x:c r="E17" s="2"/>
      <x:c r="F17" s="2"/>
    </x:row>
    <x:row r="18">
      <x:c r="A18" s="32" t="str">
        <x:v>中报验证：毛利率同比+0.8个百分点、调整后净利润+1.5%、经营现金流+0.7%、资本开支-32.9%；但收入-1.4%、营业利润-1.2%，核心经营尚未全面转正。</x:v>
      </x:c>
      <x:c r="B18" s="33" t="str">
        <x:v>中报验证：毛利率同比+0.8个百分点、调整后净利润+1.5%、经营现金流+0.7%、资本开支-32.9%；但收入-1.4%、营业利润-1.2%，核心经营尚未全面转正。</x:v>
      </x:c>
      <x:c r="C18" s="33" t="str">
        <x:v>中报验证：毛利率同比+0.8个百分点、调整后净利润+1.5%、经营现金流+0.7%、资本开支-32.9%；但收入-1.4%、营业利润-1.2%，核心经营尚未全面转正。</x:v>
      </x:c>
      <x:c r="D18" s="33" t="str">
        <x:v>中报验证：毛利率同比+0.8个百分点、调整后净利润+1.5%、经营现金流+0.7%、资本开支-32.9%；但收入-1.4%、营业利润-1.2%，核心经营尚未全面转正。</x:v>
      </x:c>
      <x:c r="E18" s="33" t="str">
        <x:v>中报验证：毛利率同比+0.8个百分点、调整后净利润+1.5%、经营现金流+0.7%、资本开支-32.9%；但收入-1.4%、营业利润-1.2%，核心经营尚未全面转正。</x:v>
      </x:c>
      <x:c r="F18" s="34" t="str">
        <x:v>中报验证：毛利率同比+0.8个百分点、调整后净利润+1.5%、经营现金流+0.7%、资本开支-32.9%；但收入-1.4%、营业利润-1.2%，核心经营尚未全面转正。</x:v>
      </x:c>
    </x:row>
    <x:row r="19">
      <x:c r="A19" s="35" t="str">
        <x:v>中报验证：毛利率同比+0.8个百分点、调整后净利润+1.5%、经营现金流+0.7%、资本开支-32.9%；但收入-1.4%、营业利润-1.2%，核心经营尚未全面转正。</x:v>
      </x:c>
      <x:c r="B19" s="36" t="str">
        <x:v>中报验证：毛利率同比+0.8个百分点、调整后净利润+1.5%、经营现金流+0.7%、资本开支-32.9%；但收入-1.4%、营业利润-1.2%，核心经营尚未全面转正。</x:v>
      </x:c>
      <x:c r="C19" s="36" t="str">
        <x:v>中报验证：毛利率同比+0.8个百分点、调整后净利润+1.5%、经营现金流+0.7%、资本开支-32.9%；但收入-1.4%、营业利润-1.2%，核心经营尚未全面转正。</x:v>
      </x:c>
      <x:c r="D19" s="36" t="str">
        <x:v>中报验证：毛利率同比+0.8个百分点、调整后净利润+1.5%、经营现金流+0.7%、资本开支-32.9%；但收入-1.4%、营业利润-1.2%，核心经营尚未全面转正。</x:v>
      </x:c>
      <x:c r="E19" s="36" t="str">
        <x:v>中报验证：毛利率同比+0.8个百分点、调整后净利润+1.5%、经营现金流+0.7%、资本开支-32.9%；但收入-1.4%、营业利润-1.2%，核心经营尚未全面转正。</x:v>
      </x:c>
      <x:c r="F19" s="37" t="str">
        <x:v>中报验证：毛利率同比+0.8个百分点、调整后净利润+1.5%、经营现金流+0.7%、资本开支-32.9%；但收入-1.4%、营业利润-1.2%，核心经营尚未全面转正。</x:v>
      </x:c>
    </x:row>
  </x:sheetData>
  <x:mergeCells>
    <x:mergeCell ref="A1:F1"/>
    <x:mergeCell ref="A18:F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4" hidden="0" customWidth="1"/>
    <x:col min="6" max="6" width="29" hidden="0" customWidth="1"/>
    <x:col min="7" max="7" width="18" hidden="0" customWidth="1"/>
    <x:col min="8" max="8" width="30" hidden="0" customWidth="1"/>
  </x:cols>
  <x:sheetData>
    <x:row r="1" ht="31" customHeight="1">
      <x:c r="A1" s="4" t="str">
        <x:v>收入结构与经营驱动</x:v>
      </x:c>
      <x:c r="B1" s="4" t="str">
        <x:v>收入结构与经营驱动</x:v>
      </x:c>
      <x:c r="C1" s="4" t="str">
        <x:v>收入结构与经营驱动</x:v>
      </x:c>
      <x:c r="D1" s="4" t="str">
        <x:v>收入结构与经营驱动</x:v>
      </x:c>
      <x:c r="E1" s="4" t="str">
        <x:v>收入结构与经营驱动</x:v>
      </x:c>
      <x:c r="F1" s="4" t="str">
        <x:v>收入结构与经营驱动</x:v>
      </x:c>
      <x:c r="G1" s="4" t="str">
        <x:v>收入结构与经营驱动</x:v>
      </x:c>
      <x:c r="H1" s="4" t="str">
        <x:v>收入结构与经营驱动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39" t="str">
        <x:v>2026H1收入性质</x:v>
      </x:c>
      <x:c r="B3" s="39" t="str">
        <x:v>2026H1收入性质</x:v>
      </x:c>
      <x:c r="C3" s="39" t="str">
        <x:v>2026H1收入性质</x:v>
      </x:c>
      <x:c r="D3" s="39" t="str">
        <x:v>2026H1收入性质</x:v>
      </x:c>
      <x:c r="E3" s="2"/>
      <x:c r="F3" s="39" t="str">
        <x:v>2026H1运营指标</x:v>
      </x:c>
      <x:c r="G3" s="39" t="str">
        <x:v>2026H1运营指标</x:v>
      </x:c>
      <x:c r="H3" s="39" t="str">
        <x:v>2026H1运营指标</x:v>
      </x:c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10" t="str">
        <x:v>收入性质</x:v>
      </x:c>
      <x:c r="B5" s="10" t="str">
        <x:v>2025H1</x:v>
      </x:c>
      <x:c r="C5" s="10" t="str">
        <x:v>2026H1</x:v>
      </x:c>
      <x:c r="D5" s="10" t="str">
        <x:v>同比</x:v>
      </x:c>
      <x:c r="E5" s="2"/>
      <x:c r="F5" s="10" t="str">
        <x:v>指标</x:v>
      </x:c>
      <x:c r="G5" s="10" t="str">
        <x:v>数值</x:v>
      </x:c>
      <x:c r="H5" s="10" t="str">
        <x:v>同比/说明</x:v>
      </x:c>
    </x:row>
    <x:row r="6">
      <x:c r="A6" s="11" t="str">
        <x:v>住院服务</x:v>
      </x:c>
      <x:c r="B6" s="12" t="n">
        <x:v>1.219784</x:v>
      </x:c>
      <x:c r="C6" s="12" t="n">
        <x:v>1.182415</x:v>
      </x:c>
      <x:c r="D6" s="14" t="n">
        <x:f>C6/B6-1</x:f>
        <x:v>-0.03063575190361567</x:v>
      </x:c>
      <x:c r="E6" s="2"/>
      <x:c r="F6" s="11" t="str">
        <x:v>患者量</x:v>
      </x:c>
      <x:c r="G6" s="43" t="n">
        <x:v>2.3</x:v>
      </x:c>
      <x:c r="H6" s="11" t="str">
        <x:v>+4.1%</x:v>
      </x:c>
    </x:row>
    <x:row r="7">
      <x:c r="A7" s="11" t="str">
        <x:v>门诊服务</x:v>
      </x:c>
      <x:c r="B7" s="12" t="n">
        <x:v>0.722427</x:v>
      </x:c>
      <x:c r="C7" s="12" t="n">
        <x:v>0.728779</x:v>
      </x:c>
      <x:c r="D7" s="14" t="n">
        <x:f>C7/B7-1</x:f>
        <x:v>0.008792583887368366</x:v>
      </x:c>
      <x:c r="E7" s="2"/>
      <x:c r="F7" s="11" t="str">
        <x:v>门诊量</x:v>
      </x:c>
      <x:c r="G7" s="43" t="n">
        <x:v>1.8</x:v>
      </x:c>
      <x:c r="H7" s="11" t="str">
        <x:v>+4.5%</x:v>
      </x:c>
    </x:row>
    <x:row r="8">
      <x:c r="A8" s="11" t="str">
        <x:v>其他</x:v>
      </x:c>
      <x:c r="B8" s="12" t="n">
        <x:v>0.047443</x:v>
      </x:c>
      <x:c r="C8" s="12" t="n">
        <x:v>0.049828</x:v>
      </x:c>
      <x:c r="D8" s="14" t="n">
        <x:f>C8/B8-1</x:f>
        <x:v>0.050270851337394395</x:v>
      </x:c>
      <x:c r="E8" s="2"/>
      <x:c r="F8" s="11" t="str">
        <x:v>手术量</x:v>
      </x:c>
      <x:c r="G8" s="44" t="n">
        <x:v>46000</x:v>
      </x:c>
      <x:c r="H8" s="11" t="str">
        <x:v>+8.2%</x:v>
      </x:c>
    </x:row>
    <x:row r="9">
      <x:c r="A9" s="40" t="str">
        <x:v>合计</x:v>
      </x:c>
      <x:c r="B9" s="41" t="n">
        <x:f>SUM(B6:B8)</x:f>
        <x:v>1.9896539999999998</x:v>
      </x:c>
      <x:c r="C9" s="41" t="n">
        <x:f>SUM(C6:C8)</x:f>
        <x:v>1.961022</x:v>
      </x:c>
      <x:c r="D9" s="42" t="n">
        <x:f>C9/B9-1</x:f>
        <x:v>-0.014390441755199546</x:v>
      </x:c>
      <x:c r="E9" s="2"/>
      <x:c r="F9" s="11" t="str">
        <x:v>三级、四级手术</x:v>
      </x:c>
      <x:c r="G9" s="44" t="n">
        <x:v>21000</x:v>
      </x:c>
      <x:c r="H9" s="11" t="str">
        <x:v>+17.8%</x:v>
      </x:c>
    </x:row>
    <x:row r="10">
      <x:c r="A10" s="2"/>
      <x:c r="B10" s="2"/>
      <x:c r="C10" s="2"/>
      <x:c r="D10" s="2"/>
      <x:c r="E10" s="2"/>
      <x:c r="F10" s="11" t="str">
        <x:v>高级职称全职医务人员</x:v>
      </x:c>
      <x:c r="G10" s="44" t="n">
        <x:v>929</x:v>
      </x:c>
      <x:c r="H10" s="11" t="str">
        <x:v>较年末+22人</x:v>
      </x:c>
    </x:row>
    <x:row r="11">
      <x:c r="A11" s="2"/>
      <x:c r="B11" s="2"/>
      <x:c r="C11" s="2"/>
      <x:c r="D11" s="2"/>
      <x:c r="E11" s="2"/>
      <x:c r="F11" s="11" t="str">
        <x:v>高层次人才</x:v>
      </x:c>
      <x:c r="G11" s="44" t="n">
        <x:v>118</x:v>
      </x:c>
      <x:c r="H11" s="11" t="str">
        <x:v>持续引进</x:v>
      </x:c>
    </x:row>
    <x:row r="12">
      <x:c r="A12" s="39" t="str">
        <x:v>新医院与资本配置</x:v>
      </x:c>
      <x:c r="B12" s="39" t="str">
        <x:v>新医院与资本配置</x:v>
      </x:c>
      <x:c r="C12" s="39" t="str">
        <x:v>新医院与资本配置</x:v>
      </x:c>
      <x:c r="D12" s="39" t="str">
        <x:v>新医院与资本配置</x:v>
      </x:c>
      <x:c r="E12" s="2"/>
      <x:c r="F12" s="11" t="str">
        <x:v>互联网医院诊疗</x:v>
      </x:c>
      <x:c r="G12" s="44" t="n">
        <x:v>110000</x:v>
      </x:c>
      <x:c r="H12" s="11" t="str">
        <x:v>超过11万人次</x:v>
      </x:c>
    </x:row>
    <x:row r="13">
      <x:c r="A13" s="2"/>
      <x:c r="B13" s="2"/>
      <x:c r="C13" s="2"/>
      <x:c r="D13" s="2"/>
      <x:c r="E13" s="2"/>
      <x:c r="F13" s="11" t="str">
        <x:v>重点临床专科/中心</x:v>
      </x:c>
      <x:c r="G13" s="44" t="n">
        <x:v>38</x:v>
      </x:c>
      <x:c r="H13" s="11" t="str">
        <x:v>另有国家/市级项目</x:v>
      </x:c>
    </x:row>
    <x:row r="14">
      <x:c r="A14" s="10" t="str">
        <x:v>项目</x:v>
      </x:c>
      <x:c r="B14" s="10" t="str">
        <x:v>状态/数值</x:v>
      </x:c>
      <x:c r="C14" s="10" t="str">
        <x:v>时间</x:v>
      </x:c>
      <x:c r="D14" s="10" t="str">
        <x:v>研究解读</x:v>
      </x:c>
      <x:c r="E14" s="2"/>
      <x:c r="F14" s="45" t="str">
        <x:v>收入/患者量推算</x:v>
      </x:c>
      <x:c r="G14" s="45"/>
      <x:c r="H14" s="45" t="str">
        <x:v>约-5%；分析计算</x:v>
      </x:c>
    </x:row>
    <x:row r="15">
      <x:c r="A15" s="11" t="str">
        <x:v>无锡海吉亚</x:v>
      </x:c>
      <x:c r="B15" s="11" t="str">
        <x:v>已投入运营</x:v>
      </x:c>
      <x:c r="C15" s="11" t="str">
        <x:v>2026H1</x:v>
      </x:c>
      <x:c r="D15" s="11" t="str">
        <x:v>6月纳入医保；进入爬坡期</x:v>
      </x:c>
      <x:c r="E15" s="2"/>
      <x:c r="F15" s="2"/>
      <x:c r="G15" s="2"/>
      <x:c r="H15" s="2"/>
    </x:row>
    <x:row r="16">
      <x:c r="A16" s="11" t="str">
        <x:v>常熟海吉亚</x:v>
      </x:c>
      <x:c r="B16" s="11" t="str">
        <x:v>开业前验收准备</x:v>
      </x:c>
      <x:c r="C16" s="11" t="str">
        <x:v>截至2026H1</x:v>
      </x:c>
      <x:c r="D16" s="11" t="str">
        <x:v>规划800–1,200床；无确定开业日</x:v>
      </x:c>
      <x:c r="E16" s="2"/>
      <x:c r="F16" s="2"/>
      <x:c r="G16" s="2"/>
      <x:c r="H16" s="2"/>
    </x:row>
    <x:row r="17">
      <x:c r="A17" s="11" t="str">
        <x:v>H1股份回购</x:v>
      </x:c>
      <x:c r="B17" s="46" t="n">
        <x:v>0.087459</x:v>
      </x:c>
      <x:c r="C17" s="11" t="str">
        <x:v>2026H1</x:v>
      </x:c>
      <x:c r="D17" s="11" t="str">
        <x:v>RMB bn；931.3万股</x:v>
      </x:c>
      <x:c r="E17" s="2"/>
      <x:c r="F17" s="2"/>
      <x:c r="G17" s="2"/>
      <x:c r="H17" s="2"/>
    </x:row>
    <x:row r="18">
      <x:c r="A18" s="11" t="str">
        <x:v>累计库存股</x:v>
      </x:c>
      <x:c r="B18" s="47" t="n">
        <x:v>12.8468</x:v>
      </x:c>
      <x:c r="C18" s="11" t="str">
        <x:v>公告日</x:v>
      </x:c>
      <x:c r="D18" s="11" t="str">
        <x:v>mn shares；占总股本约2.08%</x:v>
      </x:c>
      <x:c r="E18" s="2"/>
      <x:c r="F18" s="2"/>
      <x:c r="G18" s="2"/>
      <x:c r="H18" s="2"/>
    </x:row>
    <x:row r="19">
      <x:c r="A19" s="11" t="str">
        <x:v>年度股东回报计划</x:v>
      </x:c>
      <x:c r="B19" s="48" t="n">
        <x:v>0.5</x:v>
      </x:c>
      <x:c r="C19" s="11" t="str">
        <x:v>2026–2028</x:v>
      </x:c>
      <x:c r="D19" s="11" t="str">
        <x:v>RMB bn/年；有条件</x:v>
      </x:c>
      <x:c r="E19" s="2"/>
      <x:c r="F19" s="2"/>
      <x:c r="G19" s="2"/>
      <x:c r="H19" s="2"/>
    </x:row>
    <x:row r="20">
      <x:c r="A20" s="11" t="str">
        <x:v>中期股息</x:v>
      </x:c>
      <x:c r="B20" s="11" t="n">
        <x:v>0</x:v>
      </x:c>
      <x:c r="C20" s="11" t="str">
        <x:v>2026H1</x:v>
      </x:c>
      <x:c r="D20" s="11" t="str">
        <x:v>未宣派</x:v>
      </x:c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67" t="str">
        <x:v>核心矛盾：患者量+4.1%、手术+8.2%、高等级手术+17.8%，但收入-1.4%。病例升级正在发生，却仍未完全抵消DRG/DIP、医保价格和收入结构压力。</x:v>
      </x:c>
      <x:c r="B22" s="68" t="str">
        <x:v>核心矛盾：患者量+4.1%、手术+8.2%、高等级手术+17.8%，但收入-1.4%。病例升级正在发生，却仍未完全抵消DRG/DIP、医保价格和收入结构压力。</x:v>
      </x:c>
      <x:c r="C22" s="68" t="str">
        <x:v>核心矛盾：患者量+4.1%、手术+8.2%、高等级手术+17.8%，但收入-1.4%。病例升级正在发生，却仍未完全抵消DRG/DIP、医保价格和收入结构压力。</x:v>
      </x:c>
      <x:c r="D22" s="68" t="str">
        <x:v>核心矛盾：患者量+4.1%、手术+8.2%、高等级手术+17.8%，但收入-1.4%。病例升级正在发生，却仍未完全抵消DRG/DIP、医保价格和收入结构压力。</x:v>
      </x:c>
      <x:c r="E22" s="68" t="str">
        <x:v>核心矛盾：患者量+4.1%、手术+8.2%、高等级手术+17.8%，但收入-1.4%。病例升级正在发生，却仍未完全抵消DRG/DIP、医保价格和收入结构压力。</x:v>
      </x:c>
      <x:c r="F22" s="68" t="str">
        <x:v>核心矛盾：患者量+4.1%、手术+8.2%、高等级手术+17.8%，但收入-1.4%。病例升级正在发生，却仍未完全抵消DRG/DIP、医保价格和收入结构压力。</x:v>
      </x:c>
      <x:c r="G22" s="68" t="str">
        <x:v>核心矛盾：患者量+4.1%、手术+8.2%、高等级手术+17.8%，但收入-1.4%。病例升级正在发生，却仍未完全抵消DRG/DIP、医保价格和收入结构压力。</x:v>
      </x:c>
      <x:c r="H22" s="69" t="str">
        <x:v>核心矛盾：患者量+4.1%、手术+8.2%、高等级手术+17.8%，但收入-1.4%。病例升级正在发生，却仍未完全抵消DRG/DIP、医保价格和收入结构压力。</x:v>
      </x:c>
    </x:row>
    <x:row r="23">
      <x:c r="A23" s="70" t="str">
        <x:v>核心矛盾：患者量+4.1%、手术+8.2%、高等级手术+17.8%，但收入-1.4%。病例升级正在发生，却仍未完全抵消DRG/DIP、医保价格和收入结构压力。</x:v>
      </x:c>
      <x:c r="B23" s="71" t="str">
        <x:v>核心矛盾：患者量+4.1%、手术+8.2%、高等级手术+17.8%，但收入-1.4%。病例升级正在发生，却仍未完全抵消DRG/DIP、医保价格和收入结构压力。</x:v>
      </x:c>
      <x:c r="C23" s="71" t="str">
        <x:v>核心矛盾：患者量+4.1%、手术+8.2%、高等级手术+17.8%，但收入-1.4%。病例升级正在发生，却仍未完全抵消DRG/DIP、医保价格和收入结构压力。</x:v>
      </x:c>
      <x:c r="D23" s="71" t="str">
        <x:v>核心矛盾：患者量+4.1%、手术+8.2%、高等级手术+17.8%，但收入-1.4%。病例升级正在发生，却仍未完全抵消DRG/DIP、医保价格和收入结构压力。</x:v>
      </x:c>
      <x:c r="E23" s="71" t="str">
        <x:v>核心矛盾：患者量+4.1%、手术+8.2%、高等级手术+17.8%，但收入-1.4%。病例升级正在发生，却仍未完全抵消DRG/DIP、医保价格和收入结构压力。</x:v>
      </x:c>
      <x:c r="F23" s="71" t="str">
        <x:v>核心矛盾：患者量+4.1%、手术+8.2%、高等级手术+17.8%，但收入-1.4%。病例升级正在发生，却仍未完全抵消DRG/DIP、医保价格和收入结构压力。</x:v>
      </x:c>
      <x:c r="G23" s="71" t="str">
        <x:v>核心矛盾：患者量+4.1%、手术+8.2%、高等级手术+17.8%，但收入-1.4%。病例升级正在发生，却仍未完全抵消DRG/DIP、医保价格和收入结构压力。</x:v>
      </x:c>
      <x:c r="H23" s="72" t="str">
        <x:v>核心矛盾：患者量+4.1%、手术+8.2%、高等级手术+17.8%，但收入-1.4%。病例升级正在发生，却仍未完全抵消DRG/DIP、医保价格和收入结构压力。</x:v>
      </x:c>
    </x:row>
    <x:row r="24">
      <x:c r="A24" s="73" t="str">
        <x:v>核心矛盾：患者量+4.1%、手术+8.2%、高等级手术+17.8%，但收入-1.4%。病例升级正在发生，却仍未完全抵消DRG/DIP、医保价格和收入结构压力。</x:v>
      </x:c>
      <x:c r="B24" s="74" t="str">
        <x:v>核心矛盾：患者量+4.1%、手术+8.2%、高等级手术+17.8%，但收入-1.4%。病例升级正在发生，却仍未完全抵消DRG/DIP、医保价格和收入结构压力。</x:v>
      </x:c>
      <x:c r="C24" s="74" t="str">
        <x:v>核心矛盾：患者量+4.1%、手术+8.2%、高等级手术+17.8%，但收入-1.4%。病例升级正在发生，却仍未完全抵消DRG/DIP、医保价格和收入结构压力。</x:v>
      </x:c>
      <x:c r="D24" s="74" t="str">
        <x:v>核心矛盾：患者量+4.1%、手术+8.2%、高等级手术+17.8%，但收入-1.4%。病例升级正在发生，却仍未完全抵消DRG/DIP、医保价格和收入结构压力。</x:v>
      </x:c>
      <x:c r="E24" s="74" t="str">
        <x:v>核心矛盾：患者量+4.1%、手术+8.2%、高等级手术+17.8%，但收入-1.4%。病例升级正在发生，却仍未完全抵消DRG/DIP、医保价格和收入结构压力。</x:v>
      </x:c>
      <x:c r="F24" s="74" t="str">
        <x:v>核心矛盾：患者量+4.1%、手术+8.2%、高等级手术+17.8%，但收入-1.4%。病例升级正在发生，却仍未完全抵消DRG/DIP、医保价格和收入结构压力。</x:v>
      </x:c>
      <x:c r="G24" s="74" t="str">
        <x:v>核心矛盾：患者量+4.1%、手术+8.2%、高等级手术+17.8%，但收入-1.4%。病例升级正在发生，却仍未完全抵消DRG/DIP、医保价格和收入结构压力。</x:v>
      </x:c>
      <x:c r="H24" s="75" t="str">
        <x:v>核心矛盾：患者量+4.1%、手术+8.2%、高等级手术+17.8%，但收入-1.4%。病例升级正在发生，却仍未完全抵消DRG/DIP、医保价格和收入结构压力。</x:v>
      </x:c>
    </x:row>
  </x:sheetData>
  <x:mergeCells>
    <x:mergeCell ref="A1:H1"/>
    <x:mergeCell ref="A3:D3"/>
    <x:mergeCell ref="F3:H3"/>
    <x:mergeCell ref="A12:D12"/>
    <x:mergeCell ref="A22:H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35" hidden="0" customWidth="1"/>
  </x:cols>
  <x:sheetData>
    <x:row r="1" ht="31" customHeight="1">
      <x:c r="A1" s="4" t="str">
        <x:v>资产负债表、现金流与财务质量</x:v>
      </x:c>
      <x:c r="B1" s="4" t="str">
        <x:v>资产负债表、现金流与财务质量</x:v>
      </x:c>
      <x:c r="C1" s="4" t="str">
        <x:v>资产负债表、现金流与财务质量</x:v>
      </x:c>
      <x:c r="D1" s="4" t="str">
        <x:v>资产负债表、现金流与财务质量</x:v>
      </x:c>
      <x:c r="E1" s="4" t="str">
        <x:v>资产负债表、现金流与财务质量</x:v>
      </x:c>
      <x:c r="F1" s="4" t="str">
        <x:v>资产负债表、现金流与财务质量</x:v>
      </x:c>
    </x:row>
    <x:row r="2">
      <x:c r="A2" s="2"/>
      <x:c r="B2" s="2"/>
      <x:c r="C2" s="2"/>
      <x:c r="D2" s="2"/>
      <x:c r="E2" s="2"/>
      <x:c r="F2" s="2"/>
    </x:row>
    <x:row r="3">
      <x:c r="A3" s="10" t="str">
        <x:v>资产负债表（RMB bn）</x:v>
      </x:c>
      <x:c r="B3" s="10" t="str">
        <x:v>2025A</x:v>
      </x:c>
      <x:c r="C3" s="10" t="str">
        <x:v>2026H1</x:v>
      </x:c>
      <x:c r="D3" s="10" t="str">
        <x:v>变化</x:v>
      </x:c>
      <x:c r="E3" s="2"/>
      <x:c r="F3" s="2"/>
    </x:row>
    <x:row r="4">
      <x:c r="A4" s="11" t="str">
        <x:v>现金及现金等价物</x:v>
      </x:c>
      <x:c r="B4" s="12" t="n">
        <x:v>0.42924</x:v>
      </x:c>
      <x:c r="C4" s="12" t="n">
        <x:v>0.413671</x:v>
      </x:c>
      <x:c r="D4" s="14" t="n">
        <x:f>IFERROR(C4/B4-1,"")</x:f>
        <x:v>-0.0362710837759761</x:v>
      </x:c>
      <x:c r="E4" s="2"/>
      <x:c r="F4" s="2"/>
    </x:row>
    <x:row r="5">
      <x:c r="A5" s="11" t="str">
        <x:v>受限存款</x:v>
      </x:c>
      <x:c r="B5" s="12" t="n">
        <x:v>0.045913</x:v>
      </x:c>
      <x:c r="C5" s="12" t="n">
        <x:v>0.037247</x:v>
      </x:c>
      <x:c r="D5" s="14" t="n">
        <x:f>IFERROR(C5/B5-1,"")</x:f>
        <x:v>-0.1887482847995121</x:v>
      </x:c>
      <x:c r="E5" s="2"/>
      <x:c r="F5" s="2"/>
    </x:row>
    <x:row r="6">
      <x:c r="A6" s="11" t="str">
        <x:v>定期存款</x:v>
      </x:c>
      <x:c r="B6" s="12" t="n">
        <x:v>0.0066</x:v>
      </x:c>
      <x:c r="C6" s="12" t="n">
        <x:v>0.0066</x:v>
      </x:c>
      <x:c r="D6" s="14" t="n">
        <x:f>IFERROR(C6/B6-1,"")</x:f>
        <x:v>0</x:v>
      </x:c>
      <x:c r="E6" s="2"/>
      <x:c r="F6" s="2"/>
    </x:row>
    <x:row r="7">
      <x:c r="A7" s="11" t="str">
        <x:v>交易性金融资产</x:v>
      </x:c>
      <x:c r="B7" s="12" t="n">
        <x:v>0.258953</x:v>
      </x:c>
      <x:c r="C7" s="12" t="n">
        <x:v>0.301486</x:v>
      </x:c>
      <x:c r="D7" s="14" t="n">
        <x:f>IFERROR(C7/B7-1,"")</x:f>
        <x:v>0.1642498831834347</x:v>
      </x:c>
      <x:c r="E7" s="2"/>
      <x:c r="F7" s="2"/>
    </x:row>
    <x:row r="8">
      <x:c r="A8" s="11" t="str">
        <x:v>借款</x:v>
      </x:c>
      <x:c r="B8" s="12" t="n">
        <x:v>2.436214</x:v>
      </x:c>
      <x:c r="C8" s="12" t="n">
        <x:v>2.256433</x:v>
      </x:c>
      <x:c r="D8" s="14" t="n">
        <x:f>IFERROR(C8/B8-1,"")</x:f>
        <x:v>-0.0737952413047459</x:v>
      </x:c>
      <x:c r="E8" s="2"/>
      <x:c r="F8" s="2"/>
    </x:row>
    <x:row r="9">
      <x:c r="A9" s="11" t="str">
        <x:v>租赁负债</x:v>
      </x:c>
      <x:c r="B9" s="12" t="n">
        <x:v>0.009469</x:v>
      </x:c>
      <x:c r="C9" s="12" t="n">
        <x:v>0.008041</x:v>
      </x:c>
      <x:c r="D9" s="14" t="n">
        <x:f>IFERROR(C9/B9-1,"")</x:f>
        <x:v>-0.15080789946140039</x:v>
      </x:c>
      <x:c r="E9" s="2"/>
      <x:c r="F9" s="2"/>
    </x:row>
    <x:row r="10">
      <x:c r="A10" s="15" t="str">
        <x:v>公司定义净债务</x:v>
      </x:c>
      <x:c r="B10" s="16" t="n">
        <x:f>B8+B9-B4-B5-B6</x:f>
        <x:v>1.9639300000000002</x:v>
      </x:c>
      <x:c r="C10" s="16" t="n">
        <x:f>C8+C9-C4-C5-C6</x:f>
        <x:v>1.806956</x:v>
      </x:c>
      <x:c r="D10" s="17" t="n">
        <x:f>IFERROR(C10/B10-1,"")</x:f>
        <x:v>-0.0799285106902996</x:v>
      </x:c>
      <x:c r="E10" s="2"/>
      <x:c r="F10" s="2"/>
    </x:row>
    <x:row r="11">
      <x:c r="A11" s="15" t="str">
        <x:v>经济净债务</x:v>
      </x:c>
      <x:c r="B11" s="16" t="n">
        <x:f>B10-B7</x:f>
        <x:v>1.7049770000000002</x:v>
      </x:c>
      <x:c r="C11" s="16" t="n">
        <x:f>C10-C7</x:f>
        <x:v>1.50547</x:v>
      </x:c>
      <x:c r="D11" s="17" t="n">
        <x:f>IFERROR(C11/B11-1,"")</x:f>
        <x:v>-0.11701448172028128</x:v>
      </x:c>
      <x:c r="E11" s="2"/>
      <x:c r="F11" s="2"/>
    </x:row>
    <x:row r="12">
      <x:c r="A12" s="11" t="str">
        <x:v>总资产</x:v>
      </x:c>
      <x:c r="B12" s="12" t="n">
        <x:v>10.664937</x:v>
      </x:c>
      <x:c r="C12" s="12" t="n">
        <x:v>10.59735</x:v>
      </x:c>
      <x:c r="D12" s="14" t="n">
        <x:f>IFERROR(C12/B12-1,"")</x:f>
        <x:v>-0.006337308884243775</x:v>
      </x:c>
      <x:c r="E12" s="2"/>
      <x:c r="F12" s="2"/>
    </x:row>
    <x:row r="13">
      <x:c r="A13" s="11" t="str">
        <x:v>归母权益</x:v>
      </x:c>
      <x:c r="B13" s="12" t="n">
        <x:v>6.768189</x:v>
      </x:c>
      <x:c r="C13" s="12" t="n">
        <x:v>6.939213</x:v>
      </x:c>
      <x:c r="D13" s="14" t="n">
        <x:f>IFERROR(C13/B13-1,"")</x:f>
        <x:v>0.025268797901476958</x:v>
      </x:c>
      <x:c r="E13" s="2"/>
      <x:c r="F13" s="2"/>
    </x:row>
    <x:row r="14">
      <x:c r="A14" s="11" t="str">
        <x:v>总权益</x:v>
      </x:c>
      <x:c r="B14" s="12" t="n">
        <x:v>6.784556</x:v>
      </x:c>
      <x:c r="C14" s="12" t="n">
        <x:v>6.955607</x:v>
      </x:c>
      <x:c r="D14" s="14" t="n">
        <x:f>IFERROR(C14/B14-1,"")</x:f>
        <x:v>0.025211819314336692</x:v>
      </x:c>
      <x:c r="E14" s="2"/>
      <x:c r="F14" s="2"/>
    </x:row>
    <x:row r="15">
      <x:c r="A15" s="11" t="str">
        <x:v>净负债率</x:v>
      </x:c>
      <x:c r="B15" s="13" t="n">
        <x:v>0.289</x:v>
      </x:c>
      <x:c r="C15" s="13" t="n">
        <x:v>0.26</x:v>
      </x:c>
      <x:c r="D15" s="14" t="n">
        <x:f>IFERROR(C15/B15-1,"")</x:f>
        <x:v>-0.10034602076124555</x:v>
      </x:c>
      <x:c r="E15" s="2"/>
      <x:c r="F15" s="2"/>
    </x:row>
    <x:row r="16">
      <x:c r="A16" s="11" t="str">
        <x:v>应收账款净额</x:v>
      </x:c>
      <x:c r="B16" s="12" t="n">
        <x:v>0.686629</x:v>
      </x:c>
      <x:c r="C16" s="12" t="n">
        <x:v>0.548671</x:v>
      </x:c>
      <x:c r="D16" s="14" t="n">
        <x:f>IFERROR(C16/B16-1,"")</x:f>
        <x:v>-0.20092073011772005</x:v>
      </x:c>
      <x:c r="E16" s="2"/>
      <x:c r="F16" s="2"/>
    </x:row>
    <x:row r="17">
      <x:c r="A17" s="11" t="str">
        <x:v>存货</x:v>
      </x:c>
      <x:c r="B17" s="12" t="n">
        <x:v>0.150963</x:v>
      </x:c>
      <x:c r="C17" s="12" t="n">
        <x:v>0.121964</x:v>
      </x:c>
      <x:c r="D17" s="14" t="n">
        <x:f>IFERROR(C17/B17-1,"")</x:f>
        <x:v>-0.1920934268661858</x:v>
      </x:c>
      <x:c r="E17" s="2"/>
      <x:c r="F17" s="2"/>
    </x:row>
    <x:row r="18">
      <x:c r="A18" s="11" t="str">
        <x:v>无形资产（含商誉）</x:v>
      </x:c>
      <x:c r="B18" s="12" t="n">
        <x:v>3.650802</x:v>
      </x:c>
      <x:c r="C18" s="12" t="n">
        <x:v>3.644573</x:v>
      </x:c>
      <x:c r="D18" s="14" t="n">
        <x:f>IFERROR(C18/B18-1,"")</x:f>
        <x:v>-0.0017062004458199276</x:v>
      </x:c>
      <x:c r="E18" s="2"/>
      <x:c r="F18" s="2"/>
    </x:row>
    <x:row r="19">
      <x:c r="A19" s="11" t="str">
        <x:v>资本承诺</x:v>
      </x:c>
      <x:c r="B19" s="12" t="n">
        <x:v>0.252844</x:v>
      </x:c>
      <x:c r="C19" s="12" t="n">
        <x:v>0.192043</x:v>
      </x:c>
      <x:c r="D19" s="14" t="n">
        <x:f>IFERROR(C19/B19-1,"")</x:f>
        <x:v>-0.24046843112749372</x:v>
      </x:c>
      <x:c r="E19" s="2"/>
      <x:c r="F19" s="2"/>
    </x:row>
    <x:row r="20">
      <x:c r="A20" s="11" t="str">
        <x:v>流动比率</x:v>
      </x:c>
      <x:c r="B20" s="76" t="n">
        <x:v>1.011042088165731</x:v>
      </x:c>
      <x:c r="C20" s="76" t="n">
        <x:v>0.883209716373155</x:v>
      </x:c>
      <x:c r="D20" s="14" t="n">
        <x:f>IFERROR(C20/B20-1,"")</x:f>
        <x:v>-0.12643625155555493</x:v>
      </x:c>
      <x:c r="E20" s="2"/>
      <x:c r="F20" s="2"/>
    </x:row>
    <x:row r="21">
      <x:c r="A21" s="77"/>
      <x:c r="B21" s="77"/>
      <x:c r="C21" s="77"/>
      <x:c r="D21" s="78" t="str">
        <x:f>IFERROR(C21/B21-1,"")</x:f>
      </x:c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39" t="str">
        <x:v>中报现金流与流动性</x:v>
      </x:c>
      <x:c r="B24" s="39" t="str">
        <x:v>中报现金流与流动性</x:v>
      </x:c>
      <x:c r="C24" s="39" t="str">
        <x:v>中报现金流与流动性</x:v>
      </x:c>
      <x:c r="D24" s="39" t="str">
        <x:v>中报现金流与流动性</x:v>
      </x:c>
      <x:c r="E24" s="39" t="str">
        <x:v>中报现金流与流动性</x:v>
      </x:c>
      <x:c r="F24" s="39" t="str">
        <x:v>中报现金流与流动性</x:v>
      </x:c>
    </x:row>
    <x:row r="25">
      <x:c r="A25" s="2"/>
      <x:c r="B25" s="2"/>
      <x:c r="C25" s="2"/>
      <x:c r="D25" s="2"/>
      <x:c r="E25" s="2"/>
      <x:c r="F25" s="2"/>
    </x:row>
    <x:row r="26">
      <x:c r="A26" s="10" t="str">
        <x:v>指标</x:v>
      </x:c>
      <x:c r="B26" s="10" t="str">
        <x:v>2025H1</x:v>
      </x:c>
      <x:c r="C26" s="10" t="str">
        <x:v>2026H1</x:v>
      </x:c>
      <x:c r="D26" s="10" t="str">
        <x:v>同比</x:v>
      </x:c>
      <x:c r="E26" s="10" t="str">
        <x:v>验证</x:v>
      </x:c>
      <x:c r="F26" s="10" t="str">
        <x:v>说明</x:v>
      </x:c>
    </x:row>
    <x:row r="27">
      <x:c r="A27" s="11" t="str">
        <x:v>经营现金流</x:v>
      </x:c>
      <x:c r="B27" s="79" t="n">
        <x:v>0.4557</x:v>
      </x:c>
      <x:c r="C27" s="79" t="n">
        <x:v>0.4587</x:v>
      </x:c>
      <x:c r="D27" s="14" t="n">
        <x:f>C27/B27-1</x:f>
        <x:v>0.006583278472679366</x:v>
      </x:c>
      <x:c r="E27" s="11" t="str">
        <x:v>通过</x:v>
      </x:c>
      <x:c r="F27" s="11" t="str">
        <x:v>CFO/净利润178.2%</x:v>
      </x:c>
    </x:row>
    <x:row r="28">
      <x:c r="A28" s="11" t="str">
        <x:v>资本开支</x:v>
      </x:c>
      <x:c r="B28" s="79" t="n">
        <x:v>0.2419</x:v>
      </x:c>
      <x:c r="C28" s="79" t="n">
        <x:v>0.1624</x:v>
      </x:c>
      <x:c r="D28" s="14" t="n">
        <x:f>C28/B28-1</x:f>
        <x:v>-0.32864820173625475</x:v>
      </x:c>
      <x:c r="E28" s="11" t="str">
        <x:v>通过</x:v>
      </x:c>
      <x:c r="F28" s="11" t="str">
        <x:v>建设高峰回落</x:v>
      </x:c>
    </x:row>
    <x:row r="29">
      <x:c r="A29" s="11" t="str">
        <x:v>公司口径自由现金流</x:v>
      </x:c>
      <x:c r="B29" s="79" t="n">
        <x:f>B27-B28</x:f>
        <x:v>0.2138</x:v>
      </x:c>
      <x:c r="C29" s="79" t="n">
        <x:f>C27-C28</x:f>
        <x:v>0.2963</x:v>
      </x:c>
      <x:c r="D29" s="14" t="n">
        <x:f>C29/B29-1</x:f>
        <x:v>0.38587464920486436</x:v>
      </x:c>
      <x:c r="E29" s="11" t="str">
        <x:v>通过</x:v>
      </x:c>
      <x:c r="F29" s="11" t="str">
        <x:v>CFO-资本开支</x:v>
      </x:c>
    </x:row>
    <x:row r="30">
      <x:c r="A30" s="11" t="str">
        <x:v>回购现金支出</x:v>
      </x:c>
      <x:c r="B30" s="79"/>
      <x:c r="C30" s="79" t="n">
        <x:v>0.087459</x:v>
      </x:c>
      <x:c r="D30" s="11"/>
      <x:c r="E30" s="11" t="str">
        <x:v>覆盖</x:v>
      </x:c>
      <x:c r="F30" s="11" t="str">
        <x:v>H1自由现金流可覆盖</x:v>
      </x:c>
    </x:row>
    <x:row r="31">
      <x:c r="A31" s="45" t="str">
        <x:v>净流动资产</x:v>
      </x:c>
      <x:c r="B31" s="80"/>
      <x:c r="C31" s="80" t="n">
        <x:v>-0.204166</x:v>
      </x:c>
      <x:c r="D31" s="45"/>
      <x:c r="E31" s="45" t="str">
        <x:v>跟踪</x:v>
      </x:c>
      <x:c r="F31" s="45" t="str">
        <x:v>流动负债超过流动资产</x:v>
      </x:c>
    </x:row>
  </x:sheetData>
  <x:mergeCells>
    <x:mergeCell ref="A1:F1"/>
    <x:mergeCell ref="A24:F24"/>
  </x:mergeCells>
  <x:pageMargins left="0.7" right="0.7" top="0.75" bottom="0.75" header="0.3" footer="0.3"/>
  <x:legacyDrawing xmlns:r="http://schemas.openxmlformats.org/officeDocument/2006/relationships" r:id="R9a996c63a82e4e62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1" customHeight="1">
      <x:c r="A1" s="4" t="str">
        <x:v>市场输入与估值假设</x:v>
      </x:c>
      <x:c r="B1" s="4" t="str">
        <x:v>市场输入与估值假设</x:v>
      </x:c>
      <x:c r="C1" s="4" t="str">
        <x:v>市场输入与估值假设</x:v>
      </x:c>
      <x:c r="D1" s="4" t="str">
        <x:v>市场输入与估值假设</x:v>
      </x:c>
      <x:c r="E1" s="4" t="str">
        <x:v>市场输入与估值假设</x:v>
      </x:c>
      <x:c r="F1" s="4" t="str">
        <x:v>市场输入与估值假设</x:v>
      </x:c>
      <x:c r="G1" s="4" t="str">
        <x:v>市场输入与估值假设</x:v>
      </x:c>
      <x:c r="H1" s="4" t="str">
        <x:v>市场输入与估值假设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39" t="str">
        <x:v>市场与财务输入</x:v>
      </x:c>
      <x:c r="B3" s="39" t="str">
        <x:v>市场与财务输入</x:v>
      </x:c>
      <x:c r="C3" s="39" t="str">
        <x:v>市场与财务输入</x:v>
      </x:c>
      <x:c r="D3" s="39" t="str">
        <x:v>市场与财务输入</x:v>
      </x:c>
      <x:c r="E3" s="39" t="str">
        <x:v>市场与财务输入</x:v>
      </x:c>
      <x:c r="F3" s="39" t="str">
        <x:v>市场与财务输入</x:v>
      </x:c>
      <x:c r="G3" s="39" t="str">
        <x:v>市场与财务输入</x:v>
      </x:c>
      <x:c r="H3" s="39" t="str">
        <x:v>市场与财务输入</x:v>
      </x:c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11" t="str">
        <x:v>港股价格（HKD/股）</x:v>
      </x:c>
      <x:c r="B5" s="82" t="n">
        <x:v>10.58</x:v>
      </x:c>
      <x:c r="C5" s="2"/>
      <x:c r="D5" s="2"/>
      <x:c r="E5" s="2"/>
      <x:c r="F5" s="2"/>
      <x:c r="G5" s="2"/>
      <x:c r="H5" s="2"/>
    </x:row>
    <x:row r="6">
      <x:c r="A6" s="11" t="str">
        <x:v>经济在外股份（bn）</x:v>
      </x:c>
      <x:c r="B6" s="83" t="n">
        <x:v>0.6056522</x:v>
      </x:c>
      <x:c r="C6" s="2"/>
      <x:c r="D6" s="2"/>
      <x:c r="E6" s="2"/>
      <x:c r="F6" s="2"/>
      <x:c r="G6" s="2"/>
      <x:c r="H6" s="2"/>
    </x:row>
    <x:row r="7">
      <x:c r="A7" s="11" t="str">
        <x:v>HKD兑RMB</x:v>
      </x:c>
      <x:c r="B7" s="84" t="n">
        <x:v>0.86498</x:v>
      </x:c>
      <x:c r="C7" s="2"/>
      <x:c r="D7" s="2"/>
      <x:c r="E7" s="2"/>
      <x:c r="F7" s="2"/>
      <x:c r="G7" s="2"/>
      <x:c r="H7" s="2"/>
    </x:row>
    <x:row r="8">
      <x:c r="A8" s="11" t="str">
        <x:v>港元市值（HKD bn）</x:v>
      </x:c>
      <x:c r="B8" s="85" t="n">
        <x:f>B5*B6</x:f>
        <x:v>6.407800276</x:v>
      </x:c>
      <x:c r="C8" s="2"/>
      <x:c r="D8" s="2"/>
      <x:c r="E8" s="2"/>
      <x:c r="F8" s="2"/>
      <x:c r="G8" s="2"/>
      <x:c r="H8" s="2"/>
    </x:row>
    <x:row r="9">
      <x:c r="A9" s="11" t="str">
        <x:v>人民币市值（RMB bn）</x:v>
      </x:c>
      <x:c r="B9" s="46" t="n">
        <x:f>B8*B7</x:f>
        <x:v>5.54261908273448</x:v>
      </x:c>
      <x:c r="C9" s="2"/>
      <x:c r="D9" s="2"/>
      <x:c r="E9" s="2"/>
      <x:c r="F9" s="2"/>
      <x:c r="G9" s="2"/>
      <x:c r="H9" s="2"/>
    </x:row>
    <x:row r="10">
      <x:c r="A10" s="11" t="str">
        <x:v>2026H1调整后净利润（RMB bn）</x:v>
      </x:c>
      <x:c r="B10" s="46" t="n">
        <x:v>0.266517</x:v>
      </x:c>
      <x:c r="C10" s="2"/>
      <x:c r="D10" s="2"/>
      <x:c r="E10" s="2"/>
      <x:c r="F10" s="2"/>
      <x:c r="G10" s="2"/>
      <x:c r="H10" s="2"/>
    </x:row>
    <x:row r="11">
      <x:c r="A11" s="11" t="str">
        <x:v>年化调整后P/E</x:v>
      </x:c>
      <x:c r="B11" s="86" t="n">
        <x:f>B9/(B10*2)</x:f>
        <x:v>10.398246796141484</x:v>
      </x:c>
      <x:c r="C11" s="2"/>
      <x:c r="D11" s="2"/>
      <x:c r="E11" s="2"/>
      <x:c r="F11" s="2"/>
      <x:c r="G11" s="2"/>
      <x:c r="H11" s="2"/>
    </x:row>
    <x:row r="12">
      <x:c r="A12" s="11" t="str">
        <x:v>2026H1归母净利润（RMB bn）</x:v>
      </x:c>
      <x:c r="B12" s="46" t="n">
        <x:v>0.257414</x:v>
      </x:c>
      <x:c r="C12" s="2"/>
      <x:c r="D12" s="2"/>
      <x:c r="E12" s="2"/>
      <x:c r="F12" s="2"/>
      <x:c r="G12" s="2"/>
      <x:c r="H12" s="2"/>
    </x:row>
    <x:row r="13">
      <x:c r="A13" s="11" t="str">
        <x:v>年化IFRS P/E</x:v>
      </x:c>
      <x:c r="B13" s="86" t="n">
        <x:f>B9/(B12*2)</x:f>
        <x:v>10.765962773459254</x:v>
      </x:c>
      <x:c r="C13" s="2"/>
      <x:c r="D13" s="2"/>
      <x:c r="E13" s="2"/>
      <x:c r="F13" s="2"/>
      <x:c r="G13" s="2"/>
      <x:c r="H13" s="2"/>
    </x:row>
    <x:row r="14">
      <x:c r="A14" s="11" t="str">
        <x:v>H1公司口径FCF（RMB bn）</x:v>
      </x:c>
      <x:c r="B14" s="46" t="n">
        <x:v>0.2963</x:v>
      </x:c>
      <x:c r="C14" s="2"/>
      <x:c r="D14" s="2"/>
      <x:c r="E14" s="2"/>
      <x:c r="F14" s="2"/>
      <x:c r="G14" s="2"/>
      <x:c r="H14" s="2"/>
    </x:row>
    <x:row r="15">
      <x:c r="A15" s="11" t="str">
        <x:v>简单年化FCF收益率</x:v>
      </x:c>
      <x:c r="B15" s="13" t="n">
        <x:f>B14*2/B9</x:f>
        <x:v>0.10691696310972858</x:v>
      </x:c>
      <x:c r="C15" s="2"/>
      <x:c r="D15" s="2"/>
      <x:c r="E15" s="2"/>
      <x:c r="F15" s="2"/>
      <x:c r="G15" s="2"/>
      <x:c r="H15" s="2"/>
    </x:row>
    <x:row r="16">
      <x:c r="A16" s="11" t="str">
        <x:v>归母权益（RMB bn）</x:v>
      </x:c>
      <x:c r="B16" s="46" t="n">
        <x:v>6.939213</x:v>
      </x:c>
      <x:c r="C16" s="2"/>
      <x:c r="D16" s="2"/>
      <x:c r="E16" s="2"/>
      <x:c r="F16" s="2"/>
      <x:c r="G16" s="2"/>
      <x:c r="H16" s="2"/>
    </x:row>
    <x:row r="17">
      <x:c r="A17" s="11" t="str">
        <x:v>账面价值/股（HKD）</x:v>
      </x:c>
      <x:c r="B17" s="87" t="n">
        <x:f>B16/B6/B7</x:f>
        <x:v>13.245881133830219</x:v>
      </x:c>
      <x:c r="C17" s="2"/>
      <x:c r="D17" s="2"/>
      <x:c r="E17" s="2"/>
      <x:c r="F17" s="2"/>
      <x:c r="G17" s="2"/>
      <x:c r="H17" s="2"/>
    </x:row>
    <x:row r="18">
      <x:c r="A18" s="11" t="str">
        <x:v>当前P/B</x:v>
      </x:c>
      <x:c r="B18" s="76" t="n">
        <x:f>B5/B17</x:f>
        <x:v>0.7987388602618885</x:v>
      </x:c>
      <x:c r="C18" s="2"/>
      <x:c r="D18" s="2"/>
      <x:c r="E18" s="2"/>
      <x:c r="F18" s="2"/>
      <x:c r="G18" s="2"/>
      <x:c r="H18" s="2"/>
    </x:row>
    <x:row r="19">
      <x:c r="A19" s="11" t="str">
        <x:v>估值日</x:v>
      </x:c>
      <x:c r="B19" s="88" t="n">
        <x:v>46262</x:v>
      </x:c>
      <x:c r="C19" s="2"/>
      <x:c r="D19" s="2"/>
      <x:c r="E19" s="2"/>
      <x:c r="F19" s="2"/>
      <x:c r="G19" s="2"/>
      <x:c r="H19" s="2"/>
    </x:row>
    <x:row r="20">
      <x:c r="A20" s="11" t="str">
        <x:v>资料截止</x:v>
      </x:c>
      <x:c r="B20" s="88" t="n">
        <x:v>46264</x:v>
      </x:c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39" t="str">
        <x:v>2026年情景驱动</x:v>
      </x:c>
      <x:c r="B23" s="39" t="str">
        <x:v>2026年情景驱动</x:v>
      </x:c>
      <x:c r="C23" s="39" t="str">
        <x:v>2026年情景驱动</x:v>
      </x:c>
      <x:c r="D23" s="39" t="str">
        <x:v>2026年情景驱动</x:v>
      </x:c>
      <x:c r="E23" s="39" t="str">
        <x:v>2026年情景驱动</x:v>
      </x:c>
      <x:c r="F23" s="39" t="str">
        <x:v>2026年情景驱动</x:v>
      </x:c>
      <x:c r="G23" s="39" t="str">
        <x:v>2026年情景驱动</x:v>
      </x:c>
      <x:c r="H23" s="39" t="str">
        <x:v>2026年情景驱动</x:v>
      </x:c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10" t="str">
        <x:v>驱动</x:v>
      </x:c>
      <x:c r="B25" s="10" t="str">
        <x:v>Bear</x:v>
      </x:c>
      <x:c r="C25" s="10" t="str">
        <x:v>Base</x:v>
      </x:c>
      <x:c r="D25" s="10" t="str">
        <x:v>Bull</x:v>
      </x:c>
      <x:c r="E25" s="10" t="str">
        <x:v>单位</x:v>
      </x:c>
      <x:c r="F25" s="10" t="str">
        <x:v>Bear逻辑</x:v>
      </x:c>
      <x:c r="G25" s="10" t="str">
        <x:v>Base逻辑</x:v>
      </x:c>
      <x:c r="H25" s="10" t="str">
        <x:v>Bull逻辑</x:v>
      </x:c>
    </x:row>
    <x:row r="26">
      <x:c r="A26" s="11" t="str">
        <x:v>2026E收入</x:v>
      </x:c>
      <x:c r="B26" s="89" t="n">
        <x:v>3.95</x:v>
      </x:c>
      <x:c r="C26" s="89" t="n">
        <x:v>4.05</x:v>
      </x:c>
      <x:c r="D26" s="89" t="n">
        <x:v>4.17</x:v>
      </x:c>
      <x:c r="E26" s="11" t="str">
        <x:v>RMB bn</x:v>
      </x:c>
      <x:c r="F26" s="92" t="str">
        <x:v>收入继续下降</x:v>
      </x:c>
      <x:c r="G26" s="92" t="str">
        <x:v>H2恢复小幅增长</x:v>
      </x:c>
      <x:c r="H26" s="92" t="str">
        <x:v>新医院与病例升级兑现</x:v>
      </x:c>
    </x:row>
    <x:row r="27">
      <x:c r="A27" s="11" t="str">
        <x:v>调整后净利率</x:v>
      </x:c>
      <x:c r="B27" s="90" t="n">
        <x:v>0.128</x:v>
      </x:c>
      <x:c r="C27" s="90" t="n">
        <x:v>0.135</x:v>
      </x:c>
      <x:c r="D27" s="90" t="n">
        <x:v>0.14</x:v>
      </x:c>
      <x:c r="E27" s="11" t="str">
        <x:v>%</x:v>
      </x:c>
      <x:c r="F27" s="92" t="str">
        <x:v>毛利改善有限</x:v>
      </x:c>
      <x:c r="G27" s="92" t="str">
        <x:v>维持中报水平</x:v>
      </x:c>
      <x:c r="H27" s="92" t="str">
        <x:v>经营杠杆进一步释放</x:v>
      </x:c>
    </x:row>
    <x:row r="28">
      <x:c r="A28" s="11" t="str">
        <x:v>调整后净利润</x:v>
      </x:c>
      <x:c r="B28" s="12" t="n">
        <x:f>B26*B27</x:f>
        <x:v>0.5056</x:v>
      </x:c>
      <x:c r="C28" s="12" t="n">
        <x:f>C26*C27</x:f>
        <x:v>0.54675</x:v>
      </x:c>
      <x:c r="D28" s="12" t="n">
        <x:f>D26*D27</x:f>
        <x:v>0.5838000000000001</x:v>
      </x:c>
      <x:c r="E28" s="11" t="str">
        <x:v>RMB bn</x:v>
      </x:c>
      <x:c r="F28" s="92" t="str">
        <x:v>同比温和增长</x:v>
      </x:c>
      <x:c r="G28" s="92" t="str">
        <x:v>同比约+20%</x:v>
      </x:c>
      <x:c r="H28" s="92" t="str">
        <x:v>同比约+28%</x:v>
      </x:c>
    </x:row>
    <x:row r="29">
      <x:c r="A29" s="11" t="str">
        <x:v>P/E</x:v>
      </x:c>
      <x:c r="B29" s="91" t="n">
        <x:v>9</x:v>
      </x:c>
      <x:c r="C29" s="91" t="n">
        <x:v>13</x:v>
      </x:c>
      <x:c r="D29" s="91" t="n">
        <x:v>16</x:v>
      </x:c>
      <x:c r="E29" s="11" t="str">
        <x:v>x</x:v>
      </x:c>
      <x:c r="F29" s="92" t="str">
        <x:v>量增不增收折价</x:v>
      </x:c>
      <x:c r="G29" s="92" t="str">
        <x:v>温和修复估值</x:v>
      </x:c>
      <x:c r="H29" s="92" t="str">
        <x:v>收入与现金流共振</x:v>
      </x:c>
    </x:row>
    <x:row r="30">
      <x:c r="A30" s="11" t="str">
        <x:v>公司口径FCF</x:v>
      </x:c>
      <x:c r="B30" s="89" t="n">
        <x:v>0.5</x:v>
      </x:c>
      <x:c r="C30" s="89" t="n">
        <x:v>0.58</x:v>
      </x:c>
      <x:c r="D30" s="89" t="n">
        <x:v>0.65</x:v>
      </x:c>
      <x:c r="E30" s="11" t="str">
        <x:v>RMB bn</x:v>
      </x:c>
      <x:c r="F30" s="92" t="str">
        <x:v>营运资金回归</x:v>
      </x:c>
      <x:c r="G30" s="92" t="str">
        <x:v>低于H1简单年化</x:v>
      </x:c>
      <x:c r="H30" s="92" t="str">
        <x:v>现金转换保持强劲</x:v>
      </x:c>
    </x:row>
    <x:row r="31">
      <x:c r="A31" s="11" t="str">
        <x:v>FCF要求收益率</x:v>
      </x:c>
      <x:c r="B31" s="90" t="n">
        <x:v>0.105</x:v>
      </x:c>
      <x:c r="C31" s="90" t="n">
        <x:v>0.09</x:v>
      </x:c>
      <x:c r="D31" s="90" t="n">
        <x:v>0.075</x:v>
      </x:c>
      <x:c r="E31" s="11" t="str">
        <x:v>%</x:v>
      </x:c>
      <x:c r="F31" s="92" t="str">
        <x:v>高风险折价</x:v>
      </x:c>
      <x:c r="G31" s="92" t="str">
        <x:v>中性要求</x:v>
      </x:c>
      <x:c r="H31" s="92" t="str">
        <x:v>高质量修复</x:v>
      </x:c>
    </x:row>
  </x:sheetData>
  <x:mergeCells>
    <x:mergeCell ref="A1:H1"/>
    <x:mergeCell ref="A3:H3"/>
    <x:mergeCell ref="A23:H23"/>
  </x:mergeCells>
  <x:pageMargins left="0.7" right="0.7" top="0.75" bottom="0.75" header="0.3" footer="0.3"/>
  <x:legacyDrawing xmlns:r="http://schemas.openxmlformats.org/officeDocument/2006/relationships" r:id="Rf7835149ce97476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1" customHeight="1">
      <x:c r="A1" s="4" t="str">
        <x:v>2026E情景估值与现金流交叉验证</x:v>
      </x:c>
      <x:c r="B1" s="4" t="str">
        <x:v>2026E情景估值与现金流交叉验证</x:v>
      </x:c>
      <x:c r="C1" s="4" t="str">
        <x:v>2026E情景估值与现金流交叉验证</x:v>
      </x:c>
      <x:c r="D1" s="4" t="str">
        <x:v>2026E情景估值与现金流交叉验证</x:v>
      </x:c>
      <x:c r="E1" s="4" t="str">
        <x:v>2026E情景估值与现金流交叉验证</x:v>
      </x:c>
      <x:c r="F1" s="4" t="str">
        <x:v>2026E情景估值与现金流交叉验证</x:v>
      </x:c>
      <x:c r="G1" s="4" t="str">
        <x:v>2026E情景估值与现金流交叉验证</x:v>
      </x:c>
      <x:c r="H1" s="4" t="str">
        <x:v>2026E情景估值与现金流交叉验证</x:v>
      </x:c>
      <x:c r="I1" s="4" t="str">
        <x:v>2026E情景估值与现金流交叉验证</x:v>
      </x:c>
      <x:c r="J1" s="4" t="str">
        <x:v>2026E情景估值与现金流交叉验证</x:v>
      </x:c>
      <x:c r="K1" s="4" t="str">
        <x:v>2026E情景估值与现金流交叉验证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10" t="str">
        <x:v>情景</x:v>
      </x:c>
      <x:c r="B3" s="10" t="str">
        <x:v>2026E收入</x:v>
      </x:c>
      <x:c r="C3" s="10" t="str">
        <x:v>调整后净利率</x:v>
      </x:c>
      <x:c r="D3" s="10" t="str">
        <x:v>调整后净利润</x:v>
      </x:c>
      <x:c r="E3" s="10" t="str">
        <x:v>P/E</x:v>
      </x:c>
      <x:c r="F3" s="10" t="str">
        <x:v>人民币权益价值</x:v>
      </x:c>
      <x:c r="G3" s="10" t="str">
        <x:v>P/E合理价值/股</x:v>
      </x:c>
      <x:c r="H3" s="10" t="str">
        <x:v>相对现价</x:v>
      </x:c>
      <x:c r="I3" s="10" t="str">
        <x:v>2026E FCF</x:v>
      </x:c>
      <x:c r="J3" s="10" t="str">
        <x:v>FCF收益率</x:v>
      </x:c>
      <x:c r="K3" s="10" t="str">
        <x:v>FCF交叉价值/股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11" t="str">
        <x:v>Bear</x:v>
      </x:c>
      <x:c r="B5" s="93" t="n">
        <x:f>Assumptions!B26</x:f>
        <x:v>3.95</x:v>
      </x:c>
      <x:c r="C5" s="13" t="n">
        <x:f>Assumptions!B27</x:f>
        <x:v>0.128</x:v>
      </x:c>
      <x:c r="D5" s="12" t="n">
        <x:f>Assumptions!B28</x:f>
        <x:v>0.5056</x:v>
      </x:c>
      <x:c r="E5" s="86" t="n">
        <x:f>Assumptions!B29</x:f>
        <x:v>9</x:v>
      </x:c>
      <x:c r="F5" s="94" t="n">
        <x:f>D5*E5</x:f>
        <x:v>4.550400000000001</x:v>
      </x:c>
      <x:c r="G5" s="87" t="n">
        <x:f>F5/Assumptions!$B$6/Assumptions!$B$7</x:f>
        <x:v>8.68600769444331</x:v>
      </x:c>
      <x:c r="H5" s="14" t="n">
        <x:f>G5/Assumptions!$B$5-1</x:f>
        <x:v>-0.1790162859694414</x:v>
      </x:c>
      <x:c r="I5" s="93" t="n">
        <x:f>Assumptions!B30</x:f>
        <x:v>0.5</x:v>
      </x:c>
      <x:c r="J5" s="13" t="n">
        <x:f>Assumptions!B31</x:f>
        <x:v>0.105</x:v>
      </x:c>
      <x:c r="K5" s="87" t="n">
        <x:f>I5/J5/Assumptions!$B$6/Assumptions!$B$7</x:f>
        <x:v>9.089737474092605</x:v>
      </x:c>
    </x:row>
    <x:row r="6">
      <x:c r="A6" s="15" t="str">
        <x:v>Base</x:v>
      </x:c>
      <x:c r="B6" s="95" t="n">
        <x:f>Assumptions!C26</x:f>
        <x:v>4.05</x:v>
      </x:c>
      <x:c r="C6" s="18" t="n">
        <x:f>Assumptions!C27</x:f>
        <x:v>0.135</x:v>
      </x:c>
      <x:c r="D6" s="16" t="n">
        <x:f>Assumptions!C28</x:f>
        <x:v>0.54675</x:v>
      </x:c>
      <x:c r="E6" s="96" t="n">
        <x:f>Assumptions!C29</x:f>
        <x:v>13</x:v>
      </x:c>
      <x:c r="F6" s="97" t="n">
        <x:f>D6*E6</x:f>
        <x:v>7.107749999999999</x:v>
      </x:c>
      <x:c r="G6" s="98" t="n">
        <x:f>F6/Assumptions!$B$6/Assumptions!$B$7</x:f>
        <x:v>13.56759212161116</x:v>
      </x:c>
      <x:c r="H6" s="17" t="n">
        <x:f>G6/Assumptions!$B$5-1</x:f>
        <x:v>0.28238110790275606</x:v>
      </x:c>
      <x:c r="I6" s="95" t="n">
        <x:f>Assumptions!C30</x:f>
        <x:v>0.58</x:v>
      </x:c>
      <x:c r="J6" s="18" t="n">
        <x:f>Assumptions!C31</x:f>
        <x:v>0.09</x:v>
      </x:c>
      <x:c r="K6" s="98" t="n">
        <x:f>I6/J6/Assumptions!$B$6/Assumptions!$B$7</x:f>
        <x:v>12.30144471493866</x:v>
      </x:c>
    </x:row>
    <x:row r="7">
      <x:c r="A7" s="11" t="str">
        <x:v>Bull</x:v>
      </x:c>
      <x:c r="B7" s="93" t="n">
        <x:f>Assumptions!D26</x:f>
        <x:v>4.17</x:v>
      </x:c>
      <x:c r="C7" s="13" t="n">
        <x:f>Assumptions!D27</x:f>
        <x:v>0.14</x:v>
      </x:c>
      <x:c r="D7" s="12" t="n">
        <x:f>Assumptions!D28</x:f>
        <x:v>0.5838000000000001</x:v>
      </x:c>
      <x:c r="E7" s="86" t="n">
        <x:f>Assumptions!D29</x:f>
        <x:v>16</x:v>
      </x:c>
      <x:c r="F7" s="94" t="n">
        <x:f>D7*E7</x:f>
        <x:v>9.340800000000002</x:v>
      </x:c>
      <x:c r="G7" s="87" t="n">
        <x:f>F7/Assumptions!$B$6/Assumptions!$B$7</x:f>
        <x:v>17.830138157580887</x:v>
      </x:c>
      <x:c r="H7" s="14" t="n">
        <x:f>G7/Assumptions!$B$5-1</x:f>
        <x:v>0.6852682568601973</x:v>
      </x:c>
      <x:c r="I7" s="93" t="n">
        <x:f>Assumptions!D30</x:f>
        <x:v>0.65</x:v>
      </x:c>
      <x:c r="J7" s="13" t="n">
        <x:f>Assumptions!D31</x:f>
        <x:v>0.075</x:v>
      </x:c>
      <x:c r="K7" s="87" t="n">
        <x:f>I7/J7/Assumptions!$B$6/Assumptions!$B$7</x:f>
        <x:v>16.543322202848543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39" t="str">
        <x:v>调整后净利润—P/E敏感性（HKD/股）</x:v>
      </x:c>
      <x:c r="B10" s="39" t="str">
        <x:v>调整后净利润—P/E敏感性（HKD/股）</x:v>
      </x:c>
      <x:c r="C10" s="39" t="str">
        <x:v>调整后净利润—P/E敏感性（HKD/股）</x:v>
      </x:c>
      <x:c r="D10" s="39" t="str">
        <x:v>调整后净利润—P/E敏感性（HKD/股）</x:v>
      </x:c>
      <x:c r="E10" s="39" t="str">
        <x:v>调整后净利润—P/E敏感性（HKD/股）</x:v>
      </x:c>
      <x:c r="F10" s="39" t="str">
        <x:v>调整后净利润—P/E敏感性（HKD/股）</x:v>
      </x:c>
      <x:c r="G10" s="39" t="str">
        <x:v>调整后净利润—P/E敏感性（HKD/股）</x:v>
      </x:c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10" t="str">
        <x:v>利润 \ P/E</x:v>
      </x:c>
      <x:c r="B12" s="10" t="n">
        <x:v>9</x:v>
      </x:c>
      <x:c r="C12" s="10" t="n">
        <x:v>11</x:v>
      </x:c>
      <x:c r="D12" s="10" t="n">
        <x:v>13</x:v>
      </x:c>
      <x:c r="E12" s="10" t="n">
        <x:v>15</x:v>
      </x:c>
      <x:c r="F12" s="10" t="n">
        <x:v>16</x:v>
      </x:c>
      <x:c r="G12" s="10" t="str">
        <x:v>说明</x:v>
      </x:c>
      <x:c r="H12" s="2"/>
      <x:c r="I12" s="2"/>
      <x:c r="J12" s="2"/>
      <x:c r="K12" s="2"/>
    </x:row>
    <x:row r="13">
      <x:c r="A13" s="12" t="n">
        <x:v>0.5</x:v>
      </x:c>
      <x:c r="B13" s="87" t="n">
        <x:f>$A13*B$12/Assumptions!$B$6/Assumptions!$B$7</x:f>
        <x:v>8.589801913017512</x:v>
      </x:c>
      <x:c r="C13" s="87" t="n">
        <x:f>$A13*C$12/Assumptions!$B$6/Assumptions!$B$7</x:f>
        <x:v>10.498646782576959</x:v>
      </x:c>
      <x:c r="D13" s="87" t="n">
        <x:f>$A13*D$12/Assumptions!$B$6/Assumptions!$B$7</x:f>
        <x:v>12.407491652136407</x:v>
      </x:c>
      <x:c r="E13" s="87" t="n">
        <x:f>$A13*E$12/Assumptions!$B$6/Assumptions!$B$7</x:f>
        <x:v>14.316336521695854</x:v>
      </x:c>
      <x:c r="F13" s="87" t="n">
        <x:f>$A13*F$12/Assumptions!$B$6/Assumptions!$B$7</x:f>
        <x:v>15.270758956475577</x:v>
      </x:c>
      <x:c r="G13" s="11" t="str">
        <x:v>偏弱</x:v>
      </x:c>
      <x:c r="H13" s="2"/>
      <x:c r="I13" s="2"/>
      <x:c r="J13" s="2"/>
      <x:c r="K13" s="2"/>
    </x:row>
    <x:row r="14">
      <x:c r="A14" s="12" t="n">
        <x:v>0.52</x:v>
      </x:c>
      <x:c r="B14" s="87" t="n">
        <x:f>$A14*B$12/Assumptions!$B$6/Assumptions!$B$7</x:f>
        <x:v>8.933393989538212</x:v>
      </x:c>
      <x:c r="C14" s="87" t="n">
        <x:f>$A14*C$12/Assumptions!$B$6/Assumptions!$B$7</x:f>
        <x:v>10.918592653880038</x:v>
      </x:c>
      <x:c r="D14" s="87" t="n">
        <x:f>$A14*D$12/Assumptions!$B$6/Assumptions!$B$7</x:f>
        <x:v>12.903791318221861</x:v>
      </x:c>
      <x:c r="E14" s="87" t="n">
        <x:f>$A14*E$12/Assumptions!$B$6/Assumptions!$B$7</x:f>
        <x:v>14.88898998256369</x:v>
      </x:c>
      <x:c r="F14" s="87" t="n">
        <x:f>$A14*F$12/Assumptions!$B$6/Assumptions!$B$7</x:f>
        <x:v>15.881589314734601</x:v>
      </x:c>
      <x:c r="G14" s="11" t="str">
        <x:v>弱恢复</x:v>
      </x:c>
      <x:c r="H14" s="2"/>
      <x:c r="I14" s="2"/>
      <x:c r="J14" s="2"/>
      <x:c r="K14" s="2"/>
    </x:row>
    <x:row r="15">
      <x:c r="A15" s="16" t="n">
        <x:v>0.54675</x:v>
      </x:c>
      <x:c r="B15" s="98" t="n">
        <x:f>$A15*B$12/Assumptions!$B$6/Assumptions!$B$7</x:f>
        <x:v>9.39294839188465</x:v>
      </x:c>
      <x:c r="C15" s="98" t="n">
        <x:f>$A15*C$12/Assumptions!$B$6/Assumptions!$B$7</x:f>
        <x:v>11.480270256747906</x:v>
      </x:c>
      <x:c r="D15" s="98" t="n">
        <x:f>$A15*D$12/Assumptions!$B$6/Assumptions!$B$7</x:f>
        <x:v>13.56759212161116</x:v>
      </x:c>
      <x:c r="E15" s="98" t="n">
        <x:f>$A15*E$12/Assumptions!$B$6/Assumptions!$B$7</x:f>
        <x:v>15.654913986474416</x:v>
      </x:c>
      <x:c r="F15" s="98" t="n">
        <x:f>$A15*F$12/Assumptions!$B$6/Assumptions!$B$7</x:f>
        <x:v>16.698574918906044</x:v>
      </x:c>
      <x:c r="G15" s="15" t="str">
        <x:v>Base</x:v>
      </x:c>
      <x:c r="H15" s="2"/>
      <x:c r="I15" s="2"/>
      <x:c r="J15" s="2"/>
      <x:c r="K15" s="2"/>
    </x:row>
    <x:row r="16">
      <x:c r="A16" s="12" t="n">
        <x:v>0.57</x:v>
      </x:c>
      <x:c r="B16" s="87" t="n">
        <x:f>$A16*B$12/Assumptions!$B$6/Assumptions!$B$7</x:f>
        <x:v>9.792374180839964</x:v>
      </x:c>
      <x:c r="C16" s="87" t="n">
        <x:f>$A16*C$12/Assumptions!$B$6/Assumptions!$B$7</x:f>
        <x:v>11.968457332137731</x:v>
      </x:c>
      <x:c r="D16" s="87" t="n">
        <x:f>$A16*D$12/Assumptions!$B$6/Assumptions!$B$7</x:f>
        <x:v>14.144540483435502</x:v>
      </x:c>
      <x:c r="E16" s="87" t="n">
        <x:f>$A16*E$12/Assumptions!$B$6/Assumptions!$B$7</x:f>
        <x:v>16.32062363473327</x:v>
      </x:c>
      <x:c r="F16" s="87" t="n">
        <x:f>$A16*F$12/Assumptions!$B$6/Assumptions!$B$7</x:f>
        <x:v>17.408665210382157</x:v>
      </x:c>
      <x:c r="G16" s="11" t="str">
        <x:v>较强恢复</x:v>
      </x:c>
      <x:c r="H16" s="2"/>
      <x:c r="I16" s="2"/>
      <x:c r="J16" s="2"/>
      <x:c r="K16" s="2"/>
    </x:row>
    <x:row r="17">
      <x:c r="A17" s="12" t="n">
        <x:v>0.6</x:v>
      </x:c>
      <x:c r="B17" s="87" t="n">
        <x:f>$A17*B$12/Assumptions!$B$6/Assumptions!$B$7</x:f>
        <x:v>10.307762295621014</x:v>
      </x:c>
      <x:c r="C17" s="87" t="n">
        <x:f>$A17*C$12/Assumptions!$B$6/Assumptions!$B$7</x:f>
        <x:v>12.59837613909235</x:v>
      </x:c>
      <x:c r="D17" s="87" t="n">
        <x:f>$A17*D$12/Assumptions!$B$6/Assumptions!$B$7</x:f>
        <x:v>14.888989982563688</x:v>
      </x:c>
      <x:c r="E17" s="87" t="n">
        <x:f>$A17*E$12/Assumptions!$B$6/Assumptions!$B$7</x:f>
        <x:v>17.179603826035024</x:v>
      </x:c>
      <x:c r="F17" s="87" t="n">
        <x:f>$A17*F$12/Assumptions!$B$6/Assumptions!$B$7</x:f>
        <x:v>18.32491074777069</x:v>
      </x:c>
      <x:c r="G17" s="11" t="str">
        <x:v>高恢复</x:v>
      </x:c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39" t="str">
        <x:v>估值限制</x:v>
      </x:c>
      <x:c r="B20" s="39" t="str">
        <x:v>估值限制</x:v>
      </x:c>
      <x:c r="C20" s="39" t="str">
        <x:v>估值限制</x:v>
      </x:c>
      <x:c r="D20" s="39" t="str">
        <x:v>估值限制</x:v>
      </x:c>
      <x:c r="E20" s="39" t="str">
        <x:v>估值限制</x:v>
      </x:c>
      <x:c r="F20" s="39" t="str">
        <x:v>估值限制</x:v>
      </x:c>
      <x:c r="G20" s="39" t="str">
        <x:v>估值限制</x:v>
      </x:c>
      <x:c r="H20" s="39" t="str">
        <x:v>估值限制</x:v>
      </x:c>
      <x:c r="I20" s="39" t="str">
        <x:v>估值限制</x:v>
      </x:c>
      <x:c r="J20" s="39" t="str">
        <x:v>估值限制</x:v>
      </x:c>
      <x:c r="K20" s="39" t="str">
        <x:v>估值限制</x:v>
      </x:c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67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B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C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D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E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F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G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H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I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J22" s="68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K22" s="69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</x:row>
    <x:row r="23">
      <x:c r="A23" s="70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B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C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D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E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F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G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H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I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J23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K23" s="72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</x:row>
    <x:row r="24">
      <x:c r="A24" s="70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B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C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D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E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F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G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H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I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J24" s="71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K24" s="72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</x:row>
    <x:row r="25">
      <x:c r="A25" s="73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B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C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D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E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F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G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H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I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J25" s="74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  <x:c r="K25" s="75" t="str">
        <x:v>中报后下调收入假设、上调正常化利润率：Base收入仅+1%，调整后净利率13.5%。P/E使用股权利润，不重复扣减净债务；FCF法只作交叉验证。上半年现金流受应收和库存释放支持，不能机械年化。VIE、商誉、新医院爬坡和净流动负债均包含在估值折价内。</x:v>
      </x:c>
    </x:row>
  </x:sheetData>
  <x:mergeCells>
    <x:mergeCell ref="A1:K1"/>
    <x:mergeCell ref="A10:G10"/>
    <x:mergeCell ref="A20:K20"/>
    <x:mergeCell ref="A22:K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1" hidden="0" customWidth="1"/>
    <x:col min="7" max="7" width="36" hidden="0" customWidth="1"/>
  </x:cols>
  <x:sheetData>
    <x:row r="1" ht="31" customHeight="1">
      <x:c r="A1" s="4" t="str">
        <x:v>模型检查</x:v>
      </x:c>
      <x:c r="B1" s="4" t="str">
        <x:v>模型检查</x:v>
      </x:c>
      <x:c r="C1" s="4" t="str">
        <x:v>模型检查</x:v>
      </x:c>
      <x:c r="D1" s="4" t="str">
        <x:v>模型检查</x:v>
      </x:c>
      <x:c r="E1" s="4" t="str">
        <x:v>模型检查</x:v>
      </x:c>
      <x:c r="F1" s="4" t="str">
        <x:v>模型检查</x:v>
      </x:c>
      <x:c r="G1" s="4" t="str">
        <x:v>模型检查</x:v>
      </x:c>
    </x:row>
    <x:row r="2">
      <x:c r="A2" s="2" t="str">
        <x:v>总体模型状态</x:v>
      </x:c>
      <x:c r="B2" s="2" t="str">
        <x:v>总体模型状态</x:v>
      </x:c>
      <x:c r="C2" s="2" t="str">
        <x:v>总体模型状态</x:v>
      </x:c>
      <x:c r="D2" s="2" t="str">
        <x:v>总体模型状态</x:v>
      </x:c>
      <x:c r="E2" s="2" t="str">
        <x:v>总体模型状态</x:v>
      </x:c>
      <x:c r="F2" s="100" t="str">
        <x:f>IF(COUNTIF(F5:F17,"FAIL")=0,"OK","FAIL")</x:f>
        <x:v>OK</x:v>
      </x:c>
      <x:c r="G2" s="2"/>
    </x:row>
    <x:row r="3">
      <x:c r="A3" s="2"/>
      <x:c r="B3" s="2"/>
      <x:c r="C3" s="2"/>
      <x:c r="D3" s="2"/>
      <x:c r="E3" s="2"/>
      <x:c r="F3" s="100"/>
      <x:c r="G3" s="2"/>
    </x:row>
    <x:row r="4">
      <x:c r="A4" s="10" t="str">
        <x:v>检查项</x:v>
      </x:c>
      <x:c r="B4" s="10" t="str">
        <x:v>实际值</x:v>
      </x:c>
      <x:c r="C4" s="10" t="str">
        <x:v>预期/阈值</x:v>
      </x:c>
      <x:c r="D4" s="10" t="str">
        <x:v>差异</x:v>
      </x:c>
      <x:c r="E4" s="10" t="str">
        <x:v>容差</x:v>
      </x:c>
      <x:c r="F4" s="101" t="str">
        <x:v>状态</x:v>
      </x:c>
      <x:c r="G4" s="10" t="str">
        <x:v>说明</x:v>
      </x:c>
    </x:row>
    <x:row r="5">
      <x:c r="A5" s="11" t="str">
        <x:v>市值换算</x:v>
      </x:c>
      <x:c r="B5" s="99" t="n">
        <x:f>Assumptions!B9</x:f>
        <x:v>5.54261908273448</x:v>
      </x:c>
      <x:c r="C5" s="99" t="n">
        <x:f>Assumptions!B5*Assumptions!B6*Assumptions!B7</x:f>
        <x:v>5.54261908273448</x:v>
      </x:c>
      <x:c r="D5" s="99" t="n">
        <x:f>B5-C5</x:f>
        <x:v>0</x:v>
      </x:c>
      <x:c r="E5" s="99" t="n">
        <x:v>0.0001</x:v>
      </x:c>
      <x:c r="F5" s="102" t="str">
        <x:f>IF(ABS(D5)&lt;=E5,"OK","FAIL")</x:f>
        <x:v>OK</x:v>
      </x:c>
      <x:c r="G5" s="11" t="str">
        <x:v>价格×股份×汇率</x:v>
      </x:c>
    </x:row>
    <x:row r="6">
      <x:c r="A6" s="11" t="str">
        <x:v>2026H1收入分项合计</x:v>
      </x:c>
      <x:c r="B6" s="99" t="n">
        <x:f>'Operating Drivers'!C9</x:f>
        <x:v>1.961022</x:v>
      </x:c>
      <x:c r="C6" s="99" t="n">
        <x:f>Historical!E4</x:f>
        <x:v>1.961022</x:v>
      </x:c>
      <x:c r="D6" s="99" t="n">
        <x:f>B6-C6</x:f>
        <x:v>0</x:v>
      </x:c>
      <x:c r="E6" s="99" t="n">
        <x:v>0.0001</x:v>
      </x:c>
      <x:c r="F6" s="102" t="str">
        <x:f>IF(ABS(D6)&lt;=E6,"OK","FAIL")</x:f>
        <x:v>OK</x:v>
      </x:c>
      <x:c r="G6" s="11" t="str">
        <x:v>住院+门诊+其他</x:v>
      </x:c>
    </x:row>
    <x:row r="7">
      <x:c r="A7" s="11" t="str">
        <x:v>2026H1毛利桥</x:v>
      </x:c>
      <x:c r="B7" s="99" t="n">
        <x:f>Historical!E4-Historical!E5</x:f>
        <x:v>0.5371760000000001</x:v>
      </x:c>
      <x:c r="C7" s="99" t="n">
        <x:f>Historical!E6</x:f>
        <x:v>0.5371760000000001</x:v>
      </x:c>
      <x:c r="D7" s="99" t="n">
        <x:f>B7-C7</x:f>
        <x:v>0</x:v>
      </x:c>
      <x:c r="E7" s="99" t="n">
        <x:v>0.0001</x:v>
      </x:c>
      <x:c r="F7" s="102" t="str">
        <x:f>IF(ABS(D7)&lt;=E7,"OK","FAIL")</x:f>
        <x:v>OK</x:v>
      </x:c>
      <x:c r="G7" s="11" t="str">
        <x:v>收入-成本=毛利</x:v>
      </x:c>
    </x:row>
    <x:row r="8">
      <x:c r="A8" s="11" t="str">
        <x:v>2026H1 FCF桥</x:v>
      </x:c>
      <x:c r="B8" s="99" t="n">
        <x:f>Historical!E14-Historical!E15</x:f>
        <x:v>0.2963</x:v>
      </x:c>
      <x:c r="C8" s="99" t="n">
        <x:f>'Balance &amp; Cash Flow'!C29</x:f>
        <x:v>0.2963</x:v>
      </x:c>
      <x:c r="D8" s="99" t="n">
        <x:f>B8-C8</x:f>
        <x:v>0</x:v>
      </x:c>
      <x:c r="E8" s="99" t="n">
        <x:v>0.0001</x:v>
      </x:c>
      <x:c r="F8" s="102" t="str">
        <x:f>IF(ABS(D8)&lt;=E8,"OK","FAIL")</x:f>
        <x:v>OK</x:v>
      </x:c>
      <x:c r="G8" s="11" t="str">
        <x:v>CFO-资本开支</x:v>
      </x:c>
    </x:row>
    <x:row r="9">
      <x:c r="A9" s="11" t="str">
        <x:v>公司净债务桥</x:v>
      </x:c>
      <x:c r="B9" s="99" t="n">
        <x:f>'Balance &amp; Cash Flow'!C10</x:f>
        <x:v>1.806956</x:v>
      </x:c>
      <x:c r="C9" s="99" t="n">
        <x:f>'Balance &amp; Cash Flow'!C8+'Balance &amp; Cash Flow'!C9-'Balance &amp; Cash Flow'!C4-'Balance &amp; Cash Flow'!C5-'Balance &amp; Cash Flow'!C6</x:f>
        <x:v>1.806956</x:v>
      </x:c>
      <x:c r="D9" s="99" t="n">
        <x:f>B9-C9</x:f>
        <x:v>0</x:v>
      </x:c>
      <x:c r="E9" s="99" t="n">
        <x:v>0.0001</x:v>
      </x:c>
      <x:c r="F9" s="102" t="str">
        <x:f>IF(ABS(D9)&lt;=E9,"OK","FAIL")</x:f>
        <x:v>OK</x:v>
      </x:c>
      <x:c r="G9" s="11" t="str">
        <x:v>债务-现金-受限-定期</x:v>
      </x:c>
    </x:row>
    <x:row r="10">
      <x:c r="A10" s="11" t="str">
        <x:v>经济净债务桥</x:v>
      </x:c>
      <x:c r="B10" s="99" t="n">
        <x:f>'Balance &amp; Cash Flow'!C11</x:f>
        <x:v>1.50547</x:v>
      </x:c>
      <x:c r="C10" s="99" t="n">
        <x:f>'Balance &amp; Cash Flow'!C10-'Balance &amp; Cash Flow'!C7</x:f>
        <x:v>1.50547</x:v>
      </x:c>
      <x:c r="D10" s="99" t="n">
        <x:f>B10-C10</x:f>
        <x:v>0</x:v>
      </x:c>
      <x:c r="E10" s="99" t="n">
        <x:v>0.0001</x:v>
      </x:c>
      <x:c r="F10" s="102" t="str">
        <x:f>IF(ABS(D10)&lt;=E10,"OK","FAIL")</x:f>
        <x:v>OK</x:v>
      </x:c>
      <x:c r="G10" s="11" t="str">
        <x:v>公司净债务-金融资产</x:v>
      </x:c>
    </x:row>
    <x:row r="11">
      <x:c r="A11" s="11" t="str">
        <x:v>年化调整后P/E</x:v>
      </x:c>
      <x:c r="B11" s="99" t="n">
        <x:f>Assumptions!B11</x:f>
        <x:v>10.398246796141484</x:v>
      </x:c>
      <x:c r="C11" s="99" t="n">
        <x:f>Assumptions!B9/(Assumptions!B10*2)</x:f>
        <x:v>10.398246796141484</x:v>
      </x:c>
      <x:c r="D11" s="99" t="n">
        <x:f>B11-C11</x:f>
        <x:v>0</x:v>
      </x:c>
      <x:c r="E11" s="99" t="n">
        <x:v>0.0001</x:v>
      </x:c>
      <x:c r="F11" s="102" t="str">
        <x:f>IF(ABS(D11)&lt;=E11,"OK","FAIL")</x:f>
        <x:v>OK</x:v>
      </x:c>
      <x:c r="G11" s="11" t="str">
        <x:v>市值/(H1利润×2)</x:v>
      </x:c>
    </x:row>
    <x:row r="12">
      <x:c r="A12" s="11" t="str">
        <x:v>Base利润桥</x:v>
      </x:c>
      <x:c r="B12" s="99" t="n">
        <x:f>Assumptions!C28</x:f>
        <x:v>0.54675</x:v>
      </x:c>
      <x:c r="C12" s="99" t="n">
        <x:f>Assumptions!C26*Assumptions!C27</x:f>
        <x:v>0.54675</x:v>
      </x:c>
      <x:c r="D12" s="99" t="n">
        <x:f>B12-C12</x:f>
        <x:v>0</x:v>
      </x:c>
      <x:c r="E12" s="99" t="n">
        <x:v>0.0001</x:v>
      </x:c>
      <x:c r="F12" s="102" t="str">
        <x:f>IF(ABS(D12)&lt;=E12,"OK","FAIL")</x:f>
        <x:v>OK</x:v>
      </x:c>
      <x:c r="G12" s="11" t="str">
        <x:v>收入×净利率</x:v>
      </x:c>
    </x:row>
    <x:row r="13">
      <x:c r="A13" s="11" t="str">
        <x:v>Base价值桥</x:v>
      </x:c>
      <x:c r="B13" s="99" t="n">
        <x:f>Valuation!G6</x:f>
        <x:v>13.56759212161116</x:v>
      </x:c>
      <x:c r="C13" s="99" t="n">
        <x:f>Valuation!D6*Valuation!E6/Assumptions!B6/Assumptions!B7</x:f>
        <x:v>13.56759212161116</x:v>
      </x:c>
      <x:c r="D13" s="99" t="n">
        <x:f>B13-C13</x:f>
        <x:v>0</x:v>
      </x:c>
      <x:c r="E13" s="99" t="n">
        <x:v>0.0001</x:v>
      </x:c>
      <x:c r="F13" s="102" t="str">
        <x:f>IF(ABS(D13)&lt;=E13,"OK","FAIL")</x:f>
        <x:v>OK</x:v>
      </x:c>
      <x:c r="G13" s="11" t="str">
        <x:v>利润×P/E÷股本÷汇率</x:v>
      </x:c>
    </x:row>
    <x:row r="14">
      <x:c r="A14" s="11" t="str">
        <x:v>情景价值递增</x:v>
      </x:c>
      <x:c r="B14" s="99" t="n">
        <x:f>Valuation!G7-Valuation!G5</x:f>
        <x:v>9.144130463137577</x:v>
      </x:c>
      <x:c r="C14" s="99" t="n">
        <x:v>0</x:v>
      </x:c>
      <x:c r="D14" s="99" t="n">
        <x:f>B14-C14</x:f>
        <x:v>9.144130463137577</x:v>
      </x:c>
      <x:c r="E14" s="99" t="n">
        <x:v>0</x:v>
      </x:c>
      <x:c r="F14" s="102" t="str">
        <x:f>IF(B14&gt;C14,"OK","FAIL")</x:f>
        <x:v>OK</x:v>
      </x:c>
      <x:c r="G14" s="11" t="str">
        <x:v>Bull必须高于Bear</x:v>
      </x:c>
    </x:row>
    <x:row r="15">
      <x:c r="A15" s="11" t="str">
        <x:v>当前价格为正</x:v>
      </x:c>
      <x:c r="B15" s="99" t="n">
        <x:f>Assumptions!B5</x:f>
        <x:v>10.58</x:v>
      </x:c>
      <x:c r="C15" s="99" t="n">
        <x:v>0</x:v>
      </x:c>
      <x:c r="D15" s="99" t="n">
        <x:f>B15-C15</x:f>
        <x:v>10.58</x:v>
      </x:c>
      <x:c r="E15" s="99" t="n">
        <x:v>0</x:v>
      </x:c>
      <x:c r="F15" s="102" t="str">
        <x:f>IF(B15&gt;C15,"OK","FAIL")</x:f>
        <x:v>OK</x:v>
      </x:c>
      <x:c r="G15" s="11" t="str">
        <x:v>市场价格必须为正</x:v>
      </x:c>
    </x:row>
    <x:row r="16">
      <x:c r="A16" s="11" t="str">
        <x:v>借款较年初下降</x:v>
      </x:c>
      <x:c r="B16" s="99" t="n">
        <x:f>'Balance &amp; Cash Flow'!B8-'Balance &amp; Cash Flow'!C8</x:f>
        <x:v>0.1797810000000002</x:v>
      </x:c>
      <x:c r="C16" s="99" t="n">
        <x:v>0</x:v>
      </x:c>
      <x:c r="D16" s="99" t="n">
        <x:f>B16-C16</x:f>
        <x:v>0.1797810000000002</x:v>
      </x:c>
      <x:c r="E16" s="99" t="n">
        <x:v>0</x:v>
      </x:c>
      <x:c r="F16" s="102" t="str">
        <x:f>IF(B16&gt;C16,"OK","FAIL")</x:f>
        <x:v>OK</x:v>
      </x:c>
      <x:c r="G16" s="11" t="str">
        <x:v>正数代表借款下降</x:v>
      </x:c>
    </x:row>
    <x:row r="17">
      <x:c r="A17" s="45" t="str">
        <x:v>流动比率提示</x:v>
      </x:c>
      <x:c r="B17" s="103" t="n">
        <x:f>'Balance &amp; Cash Flow'!C20</x:f>
        <x:v>0.883209716373155</x:v>
      </x:c>
      <x:c r="C17" s="103" t="n">
        <x:v>1</x:v>
      </x:c>
      <x:c r="D17" s="103" t="n">
        <x:f>B17-C17</x:f>
        <x:v>-0.11679028362684496</x:v>
      </x:c>
      <x:c r="E17" s="103" t="n">
        <x:v>0</x:v>
      </x:c>
      <x:c r="F17" s="104" t="str">
        <x:f>IF(B17&lt;C17,"OK","FAIL")</x:f>
        <x:v>OK</x:v>
      </x:c>
      <x:c r="G17" s="45" t="str">
        <x:v>低于1应显示风险提示</x:v>
      </x:c>
    </x:row>
    <x:row r="18">
      <x:c r="A18" s="2"/>
      <x:c r="B18" s="2"/>
      <x:c r="C18" s="2"/>
      <x:c r="D18" s="2"/>
      <x:c r="E18" s="2"/>
      <x:c r="F18" s="2"/>
      <x:c r="G18" s="2"/>
    </x:row>
  </x:sheetData>
  <x:mergeCells>
    <x:mergeCell ref="A1:G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1" hidden="0" customWidth="1"/>
    <x:col min="3" max="3" width="16" hidden="0" customWidth="1"/>
    <x:col min="4" max="4" width="17" hidden="0" customWidth="1"/>
    <x:col min="5" max="5" width="18" hidden="0" customWidth="1"/>
    <x:col min="6" max="6" width="28" hidden="0" customWidth="1"/>
    <x:col min="7" max="7" width="64" hidden="0" customWidth="1"/>
    <x:col min="8" max="8" width="35" hidden="0" customWidth="1"/>
  </x:cols>
  <x:sheetData>
    <x:row r="1" ht="31" customHeight="1">
      <x:c r="A1" s="4" t="str">
        <x:v>来源与审计索引</x:v>
      </x:c>
      <x:c r="B1" s="4" t="str">
        <x:v>来源与审计索引</x:v>
      </x:c>
      <x:c r="C1" s="4" t="str">
        <x:v>来源与审计索引</x:v>
      </x:c>
      <x:c r="D1" s="4" t="str">
        <x:v>来源与审计索引</x:v>
      </x:c>
      <x:c r="E1" s="4" t="str">
        <x:v>来源与审计索引</x:v>
      </x:c>
      <x:c r="F1" s="4" t="str">
        <x:v>来源与审计索引</x:v>
      </x:c>
      <x:c r="G1" s="4" t="str">
        <x:v>来源与审计索引</x:v>
      </x:c>
      <x:c r="H1" s="4" t="str">
        <x:v>来源与审计索引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10" t="str">
        <x:v>ID</x:v>
      </x:c>
      <x:c r="B3" s="10" t="str">
        <x:v>输入/主题</x:v>
      </x:c>
      <x:c r="C3" s="10" t="str">
        <x:v>数值</x:v>
      </x:c>
      <x:c r="D3" s="10" t="str">
        <x:v>单位</x:v>
      </x:c>
      <x:c r="E3" s="10" t="str">
        <x:v>截至/期间</x:v>
      </x:c>
      <x:c r="F3" s="10" t="str">
        <x:v>来源</x:v>
      </x:c>
      <x:c r="G3" s="10" t="str">
        <x:v>URL</x:v>
      </x:c>
      <x:c r="H3" s="10" t="str">
        <x:v>审计说明</x:v>
      </x:c>
    </x:row>
    <x:row r="4" ht="43" customHeight="1">
      <x:c r="A4" s="92" t="str">
        <x:v>S1</x:v>
      </x:c>
      <x:c r="B4" s="92" t="str">
        <x:v>2025财务、VIE、商誉、治理</x:v>
      </x:c>
      <x:c r="C4" s="105"/>
      <x:c r="D4" s="92"/>
      <x:c r="E4" s="92" t="str">
        <x:v>FY2025</x:v>
      </x:c>
      <x:c r="F4" s="92" t="str">
        <x:v>2025年年度报告</x:v>
      </x:c>
      <x:c r="G4" s="107" t="str">
        <x:v>https://www1.hkexnews.hk/listedco/listconews/sehk/2026/0428/2026042803647.pdf</x:v>
      </x:c>
      <x:c r="H4" s="92" t="str">
        <x:v>德勤审计；标准无保留意见</x:v>
      </x:c>
    </x:row>
    <x:row r="5" ht="43" customHeight="1">
      <x:c r="A5" s="92" t="str">
        <x:v>S3</x:v>
      </x:c>
      <x:c r="B5" s="92" t="str">
        <x:v>2025H1同比基准</x:v>
      </x:c>
      <x:c r="C5" s="105"/>
      <x:c r="D5" s="92"/>
      <x:c r="E5" s="92" t="str">
        <x:v>2025H1</x:v>
      </x:c>
      <x:c r="F5" s="92" t="str">
        <x:v>2025年中期业绩公告</x:v>
      </x:c>
      <x:c r="G5" s="107" t="str">
        <x:v>https://www1.hkexnews.hk/listedco/listconews/sehk/2025/0828/2025082800491.pdf</x:v>
      </x:c>
      <x:c r="H5" s="92" t="str">
        <x:v>未经审计；IFRS</x:v>
      </x:c>
    </x:row>
    <x:row r="6" ht="43" customHeight="1">
      <x:c r="A6" s="92" t="str">
        <x:v>S5</x:v>
      </x:c>
      <x:c r="B6" s="92" t="str">
        <x:v>年度股东回报计划</x:v>
      </x:c>
      <x:c r="C6" s="105" t="n">
        <x:v>0.5</x:v>
      </x:c>
      <x:c r="D6" s="92" t="str">
        <x:v>RMB bn/年</x:v>
      </x:c>
      <x:c r="E6" s="92" t="str">
        <x:v>2026–2028</x:v>
      </x:c>
      <x:c r="F6" s="92" t="str">
        <x:v>股东回报计划</x:v>
      </x:c>
      <x:c r="G6" s="107" t="str">
        <x:v>https://www1.hkexnews.hk/listedco/listconews/sehk/2026/0617/2026061701654.pdf</x:v>
      </x:c>
      <x:c r="H6" s="92" t="str">
        <x:v>有条件；回购和/或股息</x:v>
      </x:c>
    </x:row>
    <x:row r="7" ht="43" customHeight="1">
      <x:c r="A7" s="92" t="str">
        <x:v>S6</x:v>
      </x:c>
      <x:c r="B7" s="92" t="str">
        <x:v>经济在外股份</x:v>
      </x:c>
      <x:c r="C7" s="105" t="n">
        <x:v>0.6056522</x:v>
      </x:c>
      <x:c r="D7" s="92" t="str">
        <x:v>bn shares</x:v>
      </x:c>
      <x:c r="E7" s="92" t="str">
        <x:v>2026-07-31</x:v>
      </x:c>
      <x:c r="F7" s="92" t="str">
        <x:v>股份月报</x:v>
      </x:c>
      <x:c r="G7" s="107" t="str">
        <x:v>https://www1.hkexnews.hk/listedco/listconews/sehk/2026/0806/2026080601537.pdf</x:v>
      </x:c>
      <x:c r="H7" s="92" t="str">
        <x:v>另有0.0128468bn库存股</x:v>
      </x:c>
    </x:row>
    <x:row r="8" ht="43" customHeight="1">
      <x:c r="A8" s="92" t="str">
        <x:v>S9</x:v>
      </x:c>
      <x:c r="B8" s="92" t="str">
        <x:v>2026H1财务与资产负债表</x:v>
      </x:c>
      <x:c r="C8" s="105"/>
      <x:c r="D8" s="92"/>
      <x:c r="E8" s="92" t="str">
        <x:v>2026H1</x:v>
      </x:c>
      <x:c r="F8" s="92" t="str">
        <x:v>2026年中期业绩公告</x:v>
      </x:c>
      <x:c r="G8" s="107" t="str">
        <x:v>https://www1.hkexnews.hk/listedco/listconews/sehk/2026/0827/2026082700830.pdf</x:v>
      </x:c>
      <x:c r="H8" s="92" t="str">
        <x:v>未经审计但经审阅；IFRS</x:v>
      </x:c>
    </x:row>
    <x:row r="9" ht="43" customHeight="1">
      <x:c r="A9" s="92" t="str">
        <x:v>S10</x:v>
      </x:c>
      <x:c r="B9" s="92" t="str">
        <x:v>2026H1运营指标与新医院</x:v>
      </x:c>
      <x:c r="C9" s="105"/>
      <x:c r="D9" s="92"/>
      <x:c r="E9" s="92" t="str">
        <x:v>2026H1</x:v>
      </x:c>
      <x:c r="F9" s="92" t="str">
        <x:v>2026年中期业绩演示</x:v>
      </x:c>
      <x:c r="G9" s="107" t="str">
        <x:v>https://www1.hkexnews.hk/listedco/listconews/sehk/2026/0827/2026082700850.pdf</x:v>
      </x:c>
      <x:c r="H9" s="92" t="str">
        <x:v>公司演示；与S9交叉核对</x:v>
      </x:c>
    </x:row>
    <x:row r="10" ht="43" customHeight="1">
      <x:c r="A10" s="92" t="str">
        <x:v>M1</x:v>
      </x:c>
      <x:c r="B10" s="92" t="str">
        <x:v>港股收盘价</x:v>
      </x:c>
      <x:c r="C10" s="105" t="n">
        <x:v>10.58</x:v>
      </x:c>
      <x:c r="D10" s="92" t="str">
        <x:v>HKD/股</x:v>
      </x:c>
      <x:c r="E10" s="92" t="str">
        <x:v>2026-08-28</x:v>
      </x:c>
      <x:c r="F10" s="92" t="str">
        <x:v>FT历史行情</x:v>
      </x:c>
      <x:c r="G10" s="107" t="str">
        <x:v>https://markets.ft.markitdigital.com/data/equities/tearsheet/historical?s=6078%3AHKG</x:v>
      </x:c>
      <x:c r="H10" s="92" t="str">
        <x:v>中报后首个完整交易日</x:v>
      </x:c>
    </x:row>
    <x:row r="11" ht="43" customHeight="1">
      <x:c r="A11" s="92" t="str">
        <x:v>M2</x:v>
      </x:c>
      <x:c r="B11" s="92" t="str">
        <x:v>HKD兑RMB</x:v>
      </x:c>
      <x:c r="C11" s="105" t="n">
        <x:v>0.86498</x:v>
      </x:c>
      <x:c r="D11" s="92" t="str">
        <x:v>RMB/HKD</x:v>
      </x:c>
      <x:c r="E11" s="92" t="str">
        <x:v>2026-08-28</x:v>
      </x:c>
      <x:c r="F11" s="92" t="str">
        <x:v>新华社人民币汇率中间价</x:v>
      </x:c>
      <x:c r="G11" s="107" t="str">
        <x:v>https://www.xinhuanet.com/fortune/20260828/e3803f68b59f429c94673e34367148a6/c.html</x:v>
      </x:c>
      <x:c r="H11" s="92" t="str">
        <x:v>100港元=86.498人民币</x:v>
      </x:c>
    </x:row>
    <x:row r="12" ht="43" customHeight="1">
      <x:c r="A12" s="92" t="str">
        <x:v>A1</x:v>
      </x:c>
      <x:c r="B12" s="92" t="str">
        <x:v>Bear 2026E收入</x:v>
      </x:c>
      <x:c r="C12" s="105" t="n">
        <x:v>3.95</x:v>
      </x:c>
      <x:c r="D12" s="92" t="str">
        <x:v>RMB bn</x:v>
      </x:c>
      <x:c r="E12" s="92" t="str">
        <x:v>情景</x:v>
      </x:c>
      <x:c r="F12" s="92" t="str">
        <x:v>分析假设</x:v>
      </x:c>
      <x:c r="G12" s="107"/>
      <x:c r="H12" s="92" t="str">
        <x:v>不是公司指引或一致预期</x:v>
      </x:c>
    </x:row>
    <x:row r="13" ht="43" customHeight="1">
      <x:c r="A13" s="92" t="str">
        <x:v>A2</x:v>
      </x:c>
      <x:c r="B13" s="92" t="str">
        <x:v>Base 2026E收入</x:v>
      </x:c>
      <x:c r="C13" s="105" t="n">
        <x:v>4.05</x:v>
      </x:c>
      <x:c r="D13" s="92" t="str">
        <x:v>RMB bn</x:v>
      </x:c>
      <x:c r="E13" s="92" t="str">
        <x:v>情景</x:v>
      </x:c>
      <x:c r="F13" s="92" t="str">
        <x:v>分析假设</x:v>
      </x:c>
      <x:c r="G13" s="107"/>
      <x:c r="H13" s="92" t="str">
        <x:v>H2收入恢复小幅增长</x:v>
      </x:c>
    </x:row>
    <x:row r="14" ht="43" customHeight="1">
      <x:c r="A14" s="92" t="str">
        <x:v>A3</x:v>
      </x:c>
      <x:c r="B14" s="92" t="str">
        <x:v>Base调整后净利率</x:v>
      </x:c>
      <x:c r="C14" s="106" t="n">
        <x:v>0.135</x:v>
      </x:c>
      <x:c r="D14" s="92" t="str">
        <x:v>%</x:v>
      </x:c>
      <x:c r="E14" s="92" t="str">
        <x:v>情景</x:v>
      </x:c>
      <x:c r="F14" s="92" t="str">
        <x:v>分析假设</x:v>
      </x:c>
      <x:c r="G14" s="107"/>
      <x:c r="H14" s="92" t="str">
        <x:v>接近2026H1水平</x:v>
      </x:c>
    </x:row>
    <x:row r="15" ht="43" customHeight="1">
      <x:c r="A15" s="92" t="str">
        <x:v>A4</x:v>
      </x:c>
      <x:c r="B15" s="92" t="str">
        <x:v>Base P/E</x:v>
      </x:c>
      <x:c r="C15" s="105" t="n">
        <x:v>13</x:v>
      </x:c>
      <x:c r="D15" s="92" t="str">
        <x:v>x</x:v>
      </x:c>
      <x:c r="E15" s="92" t="str">
        <x:v>情景</x:v>
      </x:c>
      <x:c r="F15" s="92" t="str">
        <x:v>分析假设</x:v>
      </x:c>
      <x:c r="G15" s="107"/>
      <x:c r="H15" s="92" t="str">
        <x:v>包含VIE、商誉与执行折价</x:v>
      </x:c>
    </x:row>
    <x:row r="16" ht="43" customHeight="1">
      <x:c r="A16" s="92"/>
      <x:c r="B16" s="92"/>
      <x:c r="C16" s="105"/>
      <x:c r="D16" s="92"/>
      <x:c r="E16" s="92"/>
      <x:c r="F16" s="92"/>
      <x:c r="G16" s="107"/>
      <x:c r="H16" s="92"/>
    </x:row>
  </x:sheetData>
  <x:mergeCells>
    <x:mergeCell ref="A1:H1"/>
  </x:mergeCells>
  <x:pageMargins left="0.7" right="0.7" top="0.75" bottom="0.75" header="0.3" footer="0.3"/>
</x:worksheet>
</file>
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3e70c0bed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df12c71d2af4a21"/>
    <x:sheet xmlns:r="http://schemas.openxmlformats.org/officeDocument/2006/relationships" name="Historical" sheetId="2" r:id="Rf4d7e3d188994796"/>
    <x:sheet xmlns:r="http://schemas.openxmlformats.org/officeDocument/2006/relationships" name="Leasing Ops" sheetId="3" r:id="Rc28cc182f4624c54"/>
    <x:sheet xmlns:r="http://schemas.openxmlformats.org/officeDocument/2006/relationships" name="Balance &amp; Cash" sheetId="4" r:id="R899ea95ed20349b0"/>
    <x:sheet xmlns:r="http://schemas.openxmlformats.org/officeDocument/2006/relationships" name="Valuation" sheetId="5" r:id="R286ab9fdfeb34c14"/>
    <x:sheet xmlns:r="http://schemas.openxmlformats.org/officeDocument/2006/relationships" name="Checks" sheetId="6" r:id="R189dda46394343c6"/>
    <x:sheet xmlns:r="http://schemas.openxmlformats.org/officeDocument/2006/relationships" name="Sources Audit" sheetId="7" r:id="R3b993425538e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HK$0.00"/>
    <x:numFmt numFmtId="201" formatCode="0.0%"/>
    <x:numFmt numFmtId="202" formatCode="HK$#,##0&quot;m&quot;"/>
    <x:numFmt numFmtId="203" formatCode="0.0x"/>
    <x:numFmt numFmtId="204" formatCode="0.00"/>
    <x:numFmt numFmtId="205" formatCode="#,##0;(#,##0);-"/>
    <x:numFmt numFmtId="206" formatCode="#,##0"/>
    <x:numFmt numFmtId="207" formatCode="#,##0.0"/>
    <x:numFmt numFmtId="208" formatCode="0.00x"/>
  </x:numFmts>
  <x:fonts count="8">
    <x:font>
      <x:sz val="11"/>
      <x:name val="Carlito"/>
    </x:font>
    <x:font>
      <x:sz val="10"/>
      <x:color rgb="FF202020"/>
      <x:name val="Arial"/>
    </x:font>
    <x:font>
      <x:b/>
      <x:sz val="15"/>
      <x:color rgb="FF1F4E78"/>
      <x:name val="Arial"/>
    </x:font>
    <x:font>
      <x:b/>
      <x:sz val="10"/>
      <x:color rgb="FF1F4E78"/>
      <x:name val="Arial"/>
    </x:font>
    <x:font>
      <x:b/>
      <x:sz val="10"/>
      <x:color rgb="FF203040"/>
      <x:name val="Arial"/>
    </x:font>
    <x:font>
      <x:b/>
      <x:sz val="10"/>
      <x:color rgb="FFFFFFFF"/>
      <x:name val="Arial"/>
    </x:font>
    <x:font>
      <x:i/>
      <x:sz val="10"/>
      <x:color rgb="FF404040"/>
      <x:name val="Arial"/>
    </x:font>
    <x:font>
      <x:sz val="10"/>
      <x:color rgb="FF0000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12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left style="thin">
        <x:color rgb="FFC6D5E1"/>
      </x:left>
      <x:top style="thin">
        <x:color rgb="FFC6D5E1"/>
      </x:top>
      <x:bottom style="thin">
        <x:color rgb="FF9FBAD0"/>
      </x:bottom>
    </x:border>
    <x:border>
      <x:top style="thin">
        <x:color rgb="FFC6D5E1"/>
      </x:top>
      <x:bottom style="thin">
        <x:color rgb="FF9FBAD0"/>
      </x:bottom>
    </x:border>
    <x:border>
      <x:right style="thin">
        <x:color rgb="FFC6D5E1"/>
      </x:right>
      <x:top style="thin">
        <x:color rgb="FFC6D5E1"/>
      </x:top>
      <x:bottom style="thin">
        <x:color rgb="FF9FBAD0"/>
      </x:bottom>
    </x:border>
    <x:border>
      <x:left style="thin">
        <x:color rgb="FFC6D5E1"/>
      </x:left>
    </x:border>
    <x:border>
      <x:right style="thin">
        <x:color rgb="FFC6D5E1"/>
      </x:right>
    </x:border>
    <x:border>
      <x:left style="thin">
        <x:color rgb="FFC6D5E1"/>
      </x:left>
      <x:bottom style="thin">
        <x:color rgb="FFC6D5E1"/>
      </x:bottom>
    </x:border>
    <x:border>
      <x:bottom style="thin">
        <x:color rgb="FFC6D5E1"/>
      </x:bottom>
    </x:border>
    <x:border>
      <x:right style="thin">
        <x:color rgb="FFC6D5E1"/>
      </x:right>
      <x:bottom style="thin">
        <x:color rgb="FFC6D5E1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/>
    <x:xf numFmtId="205" fontId="1" fillId="0" borderId="8" xfId="0" applyNumberFormat="1" applyFont="1" applyFill="1" applyBorder="1"/>
    <x:xf numFmtId="0" fontId="6" fillId="0" borderId="7" xfId="0" applyNumberFormat="1" applyFont="1" applyFill="1" applyBorder="1"/>
    <x:xf numFmtId="203" fontId="6" fillId="0" borderId="8" xfId="0" applyNumberFormat="1" applyFont="1" applyFill="1" applyBorder="1"/>
    <x:xf numFmtId="200" fontId="1" fillId="0" borderId="8" xfId="0" applyNumberFormat="1" applyFont="1" applyFill="1" applyBorder="1"/>
    <x:xf numFmtId="201" fontId="6" fillId="0" borderId="8" xfId="0" applyNumberFormat="1" applyFont="1" applyFill="1" applyBorder="1"/>
    <x:xf numFmtId="0" fontId="6" fillId="0" borderId="9" xfId="0" applyNumberFormat="1" applyFont="1" applyFill="1" applyBorder="1"/>
    <x:xf numFmtId="201" fontId="6" fillId="0" borderId="10" xfId="0" applyNumberFormat="1" applyFont="1" applyFill="1" applyBorder="1"/>
    <x:xf numFmtId="201" fontId="6" fillId="0" borderId="11" xfId="0" applyNumberFormat="1" applyFont="1" applyFill="1" applyBorder="1"/>
    <x:xf numFmtId="206" fontId="1" fillId="0" borderId="0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6" fontId="1" fillId="0" borderId="10" xfId="0" applyNumberFormat="1" applyFont="1" applyFill="1" applyBorder="1"/>
    <x:xf numFmtId="201" fontId="1" fillId="0" borderId="10" xfId="0" applyNumberFormat="1" applyFont="1" applyFill="1" applyBorder="1"/>
    <x:xf numFmtId="0" fontId="1" fillId="0" borderId="11" xfId="0" applyNumberFormat="1" applyFont="1" applyFill="1" applyBorder="1"/>
    <x:xf numFmtId="207" fontId="1" fillId="0" borderId="0" xfId="0" applyNumberFormat="1" applyFont="1" applyFill="1" applyBorder="1"/>
    <x:xf numFmtId="207" fontId="1" fillId="0" borderId="10" xfId="0" applyNumberFormat="1" applyFont="1" applyFill="1" applyBorder="1"/>
    <x:xf numFmtId="208" fontId="1" fillId="0" borderId="0" xfId="0" applyNumberFormat="1" applyFont="1" applyFill="1" applyBorder="1"/>
    <x:xf numFmtId="200" fontId="1" fillId="5" borderId="0" xfId="0" applyNumberFormat="1" applyFont="1" applyFill="1" applyBorder="1"/>
    <x:xf numFmtId="200" fontId="7" fillId="5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201" fontId="7" fillId="5" borderId="0" xfId="0" applyNumberFormat="1" applyFont="1" applyFill="1" applyBorder="1"/>
    <x:xf numFmtId="206" fontId="7" fillId="5" borderId="0" xfId="0" applyNumberFormat="1" applyFont="1" applyFill="1" applyBorder="1"/>
    <x:xf numFmtId="203" fontId="7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8" xfId="0" applyNumberFormat="1" applyFont="1" applyFill="1" applyBorder="1"/>
    <x:xf numFmtId="201" fontId="7" fillId="5" borderId="10" xfId="0" applyNumberFormat="1" applyFont="1" applyFill="1" applyBorder="1"/>
    <x:xf numFmtId="204" fontId="1" fillId="0" borderId="10" xfId="0" applyNumberFormat="1" applyFont="1" applyFill="1" applyBorder="1"/>
    <x:xf numFmtId="206" fontId="7" fillId="5" borderId="10" xfId="0" applyNumberFormat="1" applyFont="1" applyFill="1" applyBorder="1"/>
    <x:xf numFmtId="203" fontId="7" fillId="5" borderId="10" xfId="0" applyNumberFormat="1" applyFont="1" applyFill="1" applyBorder="1"/>
    <x:xf numFmtId="201" fontId="1" fillId="0" borderId="11" xfId="0" applyNumberFormat="1" applyFont="1" applyFill="1" applyBorder="1"/>
    <x:xf numFmtId="0" fontId="1" fillId="0" borderId="1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8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1" fontId="6" fillId="0" borderId="10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0" borderId="1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1" fontId="7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6" fontId="7" fillId="5" borderId="0" xfId="0" applyNumberFormat="1" applyFont="1" applyFill="1" applyBorder="1" applyAlignment="1">
      <x:alignment vertical="center"/>
    </x:xf>
    <x:xf numFmtId="203" fontId="7" fillId="5" borderId="0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7" fillId="5" borderId="1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6" fontId="7" fillId="5" borderId="10" xfId="0" applyNumberFormat="1" applyFont="1" applyFill="1" applyBorder="1" applyAlignment="1">
      <x:alignment vertical="center"/>
    </x:xf>
    <x:xf numFmtId="203" fontId="7" fillId="5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0b8d9cbe943df" /><Relationship Type="http://schemas.openxmlformats.org/officeDocument/2006/relationships/theme" Target="/xl/theme/theme1.xml" Id="R4ce5541998424d79" /><Relationship Type="http://schemas.openxmlformats.org/officeDocument/2006/relationships/sharedStrings" Target="/xl/sharedStrings.xml" Id="R9e24f2afa48e43dd" /><Relationship Type="http://schemas.openxmlformats.org/officeDocument/2006/relationships/worksheet" Target="/xl/worksheets/sheet1.xml" Id="R7df12c71d2af4a21" /><Relationship Type="http://schemas.openxmlformats.org/officeDocument/2006/relationships/worksheet" Target="/xl/worksheets/sheet2.xml" Id="Rf4d7e3d188994796" /><Relationship Type="http://schemas.openxmlformats.org/officeDocument/2006/relationships/worksheet" Target="/xl/worksheets/sheet3.xml" Id="Rc28cc182f4624c54" /><Relationship Type="http://schemas.openxmlformats.org/officeDocument/2006/relationships/worksheet" Target="/xl/worksheets/sheet4.xml" Id="R899ea95ed20349b0" /><Relationship Type="http://schemas.openxmlformats.org/officeDocument/2006/relationships/worksheet" Target="/xl/worksheets/sheet5.xml" Id="R286ab9fdfeb34c14" /><Relationship Type="http://schemas.openxmlformats.org/officeDocument/2006/relationships/worksheet" Target="/xl/worksheets/sheet6.xml" Id="R189dda46394343c6" /><Relationship Type="http://schemas.openxmlformats.org/officeDocument/2006/relationships/worksheet" Target="/xl/worksheets/sheet7.xml" Id="R3b993425538e4b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3f28d3e77441a2" /><Relationship Type="http://schemas.openxmlformats.org/officeDocument/2006/relationships/chart" Target="/xl/drawings/charts/chart2.xml" Id="R3b3c8836a18840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情景价值与当前价格（港元）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cat>
            <c:strRef>
              <c:f>'Cover'!$D$5:$D$8</c:f>
              <c:strCache>
                <c:ptCount val="0"/>
              </c:strCache>
            </c:strRef>
          </c:cat>
          <c:val>
            <c:numRef>
              <c:f>'Cover'!$E$5:$E$8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HK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基础归母利润（百万港元）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基础归母利润</c:v>
          </c:tx>
          <c:marker>
            <c:symbol val="none"/>
          </c:marker>
          <c:cat>
            <c:strRef>
              <c:f>'Cover'!$D$18:$D$21</c:f>
              <c:strCache>
                <c:ptCount val="0"/>
              </c:strCache>
            </c:strRef>
          </c:cat>
          <c:val>
            <c:numRef>
              <c:f>'Cover'!$E$18:$E$21</c:f>
              <c:numCache>
                <c:formatCode>HK$#,##0"m"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3f28d3e77441a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3c8836a18840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a982b8a04d44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3" t="str">
        <x:v>恒隆地产（00101.HK）财务与估值模型</x:v>
      </x:c>
      <x:c r="B2" s="3" t="str">
        <x:v>恒隆地产（00101.HK）财务与估值模型</x:v>
      </x:c>
      <x:c r="C2" s="3" t="str">
        <x:v>恒隆地产（00101.HK）财务与估值模型</x:v>
      </x:c>
      <x:c r="D2" s="3" t="str">
        <x:v>恒隆地产（00101.HK）财务与估值模型</x:v>
      </x:c>
      <x:c r="E2" s="3" t="str">
        <x:v>恒隆地产（00101.HK）财务与估值模型</x:v>
      </x:c>
      <x:c r="F2" s="3" t="str">
        <x:v>恒隆地产（00101.HK）财务与估值模型</x:v>
      </x:c>
      <x:c r="G2" s="3" t="str">
        <x:v>恒隆地产（00101.HK）财务与估值模型</x:v>
      </x:c>
      <x:c r="H2" s="3" t="str">
        <x:v>恒隆地产（00101.HK）财务与估值模型</x:v>
      </x:c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4" t="str">
        <x:v>资料截止</x:v>
      </x:c>
      <x:c r="B4" s="5" t="str">
        <x:v>2026-09-11</x:v>
      </x:c>
      <x:c r="C4" s="1"/>
      <x:c r="D4" s="15" t="str">
        <x:v>情景</x:v>
      </x:c>
      <x:c r="E4" s="16" t="str">
        <x:v>每股价值</x:v>
      </x:c>
      <x:c r="F4" s="1"/>
      <x:c r="G4" s="1"/>
      <x:c r="H4" s="1"/>
      <x:c r="I4" s="1"/>
      <x:c r="J4" s="1"/>
    </x:row>
    <x:row r="5" ht="22" customHeight="1">
      <x:c r="A5" s="4" t="str">
        <x:v>价格基准</x:v>
      </x:c>
      <x:c r="B5" s="5" t="str">
        <x:v>2026-09-10收盘</x:v>
      </x:c>
      <x:c r="C5" s="1"/>
      <x:c r="D5" s="1" t="str">
        <x:v>现价</x:v>
      </x:c>
      <x:c r="E5" s="26" t="n">
        <x:f>Valuation!B5</x:f>
        <x:v>6.93</x:v>
      </x:c>
      <x:c r="F5" s="1"/>
      <x:c r="G5" s="1"/>
      <x:c r="H5" s="1"/>
      <x:c r="I5" s="1"/>
      <x:c r="J5" s="1"/>
    </x:row>
    <x:row r="6" ht="22" customHeight="1">
      <x:c r="A6" s="4" t="str">
        <x:v>当前价格（港元）</x:v>
      </x:c>
      <x:c r="B6" s="6" t="n">
        <x:v>6.93</x:v>
      </x:c>
      <x:c r="C6" s="1"/>
      <x:c r="D6" s="1" t="str">
        <x:v>Bear</x:v>
      </x:c>
      <x:c r="E6" s="26" t="n">
        <x:f>Valuation!H17</x:f>
        <x:v>4.835715089001869</x:v>
      </x:c>
      <x:c r="F6" s="1"/>
      <x:c r="G6" s="1"/>
      <x:c r="H6" s="1"/>
      <x:c r="I6" s="1"/>
      <x:c r="J6" s="1"/>
    </x:row>
    <x:row r="7" ht="22" customHeight="1">
      <x:c r="A7" s="4" t="str">
        <x:v>当前判断</x:v>
      </x:c>
      <x:c r="B7" s="5" t="str">
        <x:v>中性观察</x:v>
      </x:c>
      <x:c r="C7" s="1"/>
      <x:c r="D7" s="1" t="str">
        <x:v>Base</x:v>
      </x:c>
      <x:c r="E7" s="26" t="n">
        <x:f>Valuation!H18</x:f>
        <x:v>7.800277663170096</x:v>
      </x:c>
      <x:c r="F7" s="1"/>
      <x:c r="G7" s="1"/>
      <x:c r="H7" s="1"/>
      <x:c r="I7" s="1"/>
      <x:c r="J7" s="1"/>
    </x:row>
    <x:row r="8" ht="22" customHeight="1">
      <x:c r="A8" s="4" t="str">
        <x:v>业务质量</x:v>
      </x:c>
      <x:c r="B8" s="5" t="str">
        <x:v>中上</x:v>
      </x:c>
      <x:c r="C8" s="1"/>
      <x:c r="D8" s="1" t="str">
        <x:v>Bull</x:v>
      </x:c>
      <x:c r="E8" s="26" t="n">
        <x:f>Valuation!H19</x:f>
        <x:v>11.63207836604673</x:v>
      </x:c>
      <x:c r="F8" s="1"/>
      <x:c r="G8" s="1"/>
      <x:c r="H8" s="1"/>
      <x:c r="I8" s="1"/>
      <x:c r="J8" s="1"/>
    </x:row>
    <x:row r="9" ht="22" customHeight="1">
      <x:c r="A9" s="4" t="str">
        <x:v>盈利可见度</x:v>
      </x:c>
      <x:c r="B9" s="5" t="str">
        <x:v>中低</x:v>
      </x:c>
      <x:c r="C9" s="1"/>
      <x:c r="D9" s="1"/>
      <x:c r="E9" s="1"/>
      <x:c r="F9" s="1"/>
      <x:c r="G9" s="1"/>
      <x:c r="H9" s="1"/>
      <x:c r="I9" s="1"/>
      <x:c r="J9" s="1"/>
    </x:row>
    <x:row r="10" ht="22" customHeight="1">
      <x:c r="A10" s="4" t="str">
        <x:v>估值置信度</x:v>
      </x:c>
      <x:c r="B10" s="5" t="str">
        <x:v>中</x:v>
      </x:c>
      <x:c r="C10" s="1"/>
      <x:c r="D10" s="1"/>
      <x:c r="E10" s="1"/>
      <x:c r="F10" s="1"/>
      <x:c r="G10" s="1"/>
      <x:c r="H10" s="1"/>
      <x:c r="I10" s="1"/>
      <x:c r="J10" s="1"/>
    </x:row>
    <x:row r="11" ht="22" customHeight="1">
      <x:c r="A11" s="4" t="str">
        <x:v>主要方法</x:v>
      </x:c>
      <x:c r="B11" s="5" t="str">
        <x:v>60%折价NAV + 40%正常化P/E</x:v>
      </x:c>
      <x:c r="C11" s="1"/>
      <x:c r="D11" s="1"/>
      <x:c r="E11" s="1"/>
      <x:c r="F11" s="1"/>
      <x:c r="G11" s="1"/>
      <x:c r="H11" s="1"/>
      <x:c r="I11" s="1"/>
      <x:c r="J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2" customHeight="1">
      <x:c r="A13" s="15" t="str">
        <x:v>关键指标</x:v>
      </x:c>
      <x:c r="B13" s="16" t="str">
        <x:v>数值</x:v>
      </x:c>
      <x:c r="C13" s="1"/>
      <x:c r="D13" s="1"/>
      <x:c r="E13" s="1"/>
      <x:c r="F13" s="1"/>
      <x:c r="G13" s="1"/>
      <x:c r="H13" s="1"/>
      <x:c r="I13" s="1"/>
      <x:c r="J13" s="1"/>
    </x:row>
    <x:row r="14" ht="22" customHeight="1">
      <x:c r="A14" s="1" t="str">
        <x:v>2026H1内地商场租金增速（RMB）</x:v>
      </x:c>
      <x:c r="B14" s="17" t="n">
        <x:f>'Leasing Ops'!B19</x:f>
        <x:v>0.06</x:v>
      </x:c>
      <x:c r="C14" s="1"/>
      <x:c r="D14" s="1"/>
      <x:c r="E14" s="1"/>
      <x:c r="F14" s="1"/>
      <x:c r="G14" s="1"/>
      <x:c r="H14" s="1"/>
      <x:c r="I14" s="1"/>
      <x:c r="J14" s="1"/>
    </x:row>
    <x:row r="15" ht="22" customHeight="1">
      <x:c r="A15" s="1" t="str">
        <x:v>2026H1内地写字楼收入增速（RMB）</x:v>
      </x:c>
      <x:c r="B15" s="17" t="n">
        <x:f>'Leasing Ops'!B21</x:f>
        <x:v>-0.12</x:v>
      </x:c>
      <x:c r="C15" s="1"/>
      <x:c r="D15" s="1"/>
      <x:c r="E15" s="1"/>
      <x:c r="F15" s="1"/>
      <x:c r="G15" s="1"/>
      <x:c r="H15" s="1"/>
      <x:c r="I15" s="1"/>
      <x:c r="J15" s="1"/>
    </x:row>
    <x:row r="16" ht="22" customHeight="1">
      <x:c r="A16" s="1" t="str">
        <x:v>2026H1基础归母利润</x:v>
      </x:c>
      <x:c r="B16" s="18" t="n">
        <x:f>Historical!F8</x:f>
        <x:v>1436</x:v>
      </x:c>
      <x:c r="C16" s="1"/>
      <x:c r="D16" s="1"/>
      <x:c r="E16" s="1"/>
      <x:c r="F16" s="1"/>
      <x:c r="G16" s="1"/>
      <x:c r="H16" s="1"/>
      <x:c r="I16" s="1"/>
      <x:c r="J16" s="1"/>
    </x:row>
    <x:row r="17" ht="22" customHeight="1">
      <x:c r="A17" s="1" t="str">
        <x:v>净债务/权益</x:v>
      </x:c>
      <x:c r="B17" s="17" t="n">
        <x:f>'Balance &amp; Cash'!B11</x:f>
        <x:v>0.316</x:v>
      </x:c>
      <x:c r="C17" s="1"/>
      <x:c r="D17" s="15" t="str">
        <x:v>期间</x:v>
      </x:c>
      <x:c r="E17" s="16" t="str">
        <x:v>基础归母利润</x:v>
      </x:c>
      <x:c r="F17" s="1"/>
      <x:c r="G17" s="1"/>
      <x:c r="H17" s="1"/>
      <x:c r="I17" s="1"/>
      <x:c r="J17" s="1"/>
    </x:row>
    <x:row r="18" ht="22" customHeight="1">
      <x:c r="A18" s="1" t="str">
        <x:v>每股归母净资产</x:v>
      </x:c>
      <x:c r="B18" s="19" t="n">
        <x:f>'Balance &amp; Cash'!B13</x:f>
        <x:v>26.63</x:v>
      </x:c>
      <x:c r="C18" s="1"/>
      <x:c r="D18" s="1" t="str">
        <x:v>2023A</x:v>
      </x:c>
      <x:c r="E18" s="18" t="n">
        <x:f>Historical!B8</x:f>
        <x:v>4137</x:v>
      </x:c>
      <x:c r="F18" s="1"/>
      <x:c r="G18" s="1"/>
      <x:c r="H18" s="1"/>
      <x:c r="I18" s="1"/>
      <x:c r="J18" s="1"/>
    </x:row>
    <x:row r="19" ht="22" customHeight="1">
      <x:c r="A19" s="1" t="str">
        <x:v>TTM基础P/E</x:v>
      </x:c>
      <x:c r="B19" s="20" t="n">
        <x:f>Valuation!B11</x:f>
        <x:v>11.818212123893804</x:v>
      </x:c>
      <x:c r="C19" s="1"/>
      <x:c r="D19" s="1" t="str">
        <x:v>2024A</x:v>
      </x:c>
      <x:c r="E19" s="18" t="n">
        <x:f>Historical!C8</x:f>
        <x:v>3095</x:v>
      </x:c>
      <x:c r="F19" s="1"/>
      <x:c r="G19" s="1"/>
      <x:c r="H19" s="1"/>
      <x:c r="I19" s="1"/>
      <x:c r="J19" s="1"/>
    </x:row>
    <x:row r="20" ht="22" customHeight="1">
      <x:c r="A20" s="1" t="str">
        <x:v>2025每股股息率</x:v>
      </x:c>
      <x:c r="B20" s="17" t="n">
        <x:f>Valuation!B13</x:f>
        <x:v>0.07503607503607504</x:v>
      </x:c>
      <x:c r="C20" s="1"/>
      <x:c r="D20" s="1" t="str">
        <x:v>2025A</x:v>
      </x:c>
      <x:c r="E20" s="18" t="n">
        <x:f>Historical!D8</x:f>
        <x:v>3202</x:v>
      </x:c>
      <x:c r="F20" s="1"/>
      <x:c r="G20" s="1"/>
      <x:c r="H20" s="1"/>
      <x:c r="I20" s="1"/>
      <x:c r="J20" s="1"/>
    </x:row>
    <x:row r="21" ht="22" customHeight="1">
      <x:c r="A21" s="1"/>
      <x:c r="B21" s="1"/>
      <x:c r="C21" s="1"/>
      <x:c r="D21" s="1" t="str">
        <x:v>TTM</x:v>
      </x:c>
      <x:c r="E21" s="18" t="n">
        <x:f>Historical!G8</x:f>
        <x:v>3051</x:v>
      </x:c>
      <x:c r="F21" s="1"/>
      <x:c r="G21" s="1"/>
      <x:c r="H21" s="1"/>
      <x:c r="I21" s="1"/>
      <x:c r="J21" s="1"/>
    </x:row>
    <x:row r="22" ht="22" customHeight="1">
      <x:c r="A22" s="23" t="str">
        <x:v>研究结论</x:v>
      </x:c>
      <x:c r="B22" s="23" t="str">
        <x:v>研究结论</x:v>
      </x:c>
      <x:c r="C22" s="23" t="str">
        <x:v>研究结论</x:v>
      </x:c>
      <x:c r="D22" s="23" t="str">
        <x:v>研究结论</x:v>
      </x:c>
      <x:c r="E22" s="23" t="str">
        <x:v>研究结论</x:v>
      </x:c>
      <x:c r="F22" s="1"/>
      <x:c r="G22" s="1"/>
      <x:c r="H22" s="1"/>
      <x:c r="I22" s="1"/>
      <x:c r="J22" s="1"/>
    </x:row>
    <x:row r="23" ht="24" customHeight="1">
      <x:c r="A23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3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3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3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3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3" s="1"/>
      <x:c r="G23" s="1"/>
      <x:c r="H23" s="1"/>
      <x:c r="I23" s="1"/>
      <x:c r="J23" s="1"/>
    </x:row>
    <x:row r="24" ht="24" customHeight="1">
      <x:c r="A24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4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4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4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4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4" s="1"/>
      <x:c r="G24" s="1"/>
      <x:c r="H24" s="1"/>
      <x:c r="I24" s="1"/>
      <x:c r="J24" s="1"/>
    </x:row>
    <x:row r="25" ht="24" customHeight="1">
      <x:c r="A25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5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5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5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5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5" s="1"/>
      <x:c r="G25" s="1"/>
      <x:c r="H25" s="1"/>
      <x:c r="I25" s="1"/>
      <x:c r="J25" s="1"/>
    </x:row>
    <x:row r="26" ht="24" customHeight="1">
      <x:c r="A26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6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6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6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6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6" s="1"/>
      <x:c r="G26" s="1"/>
      <x:c r="H26" s="1"/>
      <x:c r="I26" s="1"/>
      <x:c r="J26" s="1"/>
    </x:row>
    <x:row r="27" ht="24" customHeight="1">
      <x:c r="A27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7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7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7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7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7" s="1"/>
      <x:c r="G27" s="1"/>
      <x:c r="H27" s="1"/>
      <x:c r="I27" s="1"/>
      <x:c r="J27" s="1"/>
    </x:row>
    <x:row r="28" ht="24" customHeight="1">
      <x:c r="A28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8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8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8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8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8" s="1"/>
      <x:c r="G28" s="1"/>
      <x:c r="H28" s="1"/>
      <x:c r="I28" s="1"/>
      <x:c r="J28" s="1"/>
    </x:row>
    <x:row r="29" ht="24" customHeight="1">
      <x:c r="A29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29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29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29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29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29" s="1"/>
      <x:c r="G29" s="1"/>
      <x:c r="H29" s="1"/>
      <x:c r="I29" s="1"/>
      <x:c r="J29" s="1"/>
    </x:row>
    <x:row r="30" ht="24" customHeight="1">
      <x:c r="A30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B30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C30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D30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E30" s="25" t="str">
        <x:v>内地高端商场正在恢复，2026H1租金按人民币增长6%，租户销售增长17%，但写字楼收入下降12%，且杭州恒隆广场仍在爬坡。基础归母利润同比下降10%，主因内地住宅销售计提与利息资本化减少。每股净资产26.6港元，现价仅约0.26倍P/B；不过净债务470.5亿港元、股息大量以新股支付及无业绩条件的期权授予，使低估值存在长期折价理由。Base价值7.80港元，较6.93港元高12.6%，结论为中性观察。</x:v>
      </x:c>
      <x:c r="F30" s="1"/>
      <x:c r="G30" s="1"/>
      <x:c r="H30" s="1"/>
      <x:c r="I30" s="1"/>
      <x:c r="J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</x:sheetData>
  <x:mergeCells>
    <x:mergeCell ref="A2:H2"/>
    <x:mergeCell ref="A22:E22"/>
    <x:mergeCell ref="A23:E30"/>
  </x:mergeCells>
  <x:pageMargins left="0.7" right="0.7" top="0.75" bottom="0.75" header="0.3" footer="0.3"/>
  <x:drawing xmlns:r="http://schemas.openxmlformats.org/officeDocument/2006/relationships" r:id="Rb2a982b8a04d446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8" customHeight="1">
      <x:c r="A2" s="3" t="str">
        <x:v>历史财务与现金流（百万港元，除每股数据）</x:v>
      </x:c>
      <x:c r="B2" s="3" t="str">
        <x:v>历史财务与现金流（百万港元，除每股数据）</x:v>
      </x:c>
      <x:c r="C2" s="3" t="str">
        <x:v>历史财务与现金流（百万港元，除每股数据）</x:v>
      </x:c>
      <x:c r="D2" s="3" t="str">
        <x:v>历史财务与现金流（百万港元，除每股数据）</x:v>
      </x:c>
      <x:c r="E2" s="3" t="str">
        <x:v>历史财务与现金流（百万港元，除每股数据）</x:v>
      </x:c>
      <x:c r="F2" s="3" t="str">
        <x:v>历史财务与现金流（百万港元，除每股数据）</x:v>
      </x:c>
      <x:c r="G2" s="3" t="str">
        <x:v>历史财务与现金流（百万港元，除每股数据）</x:v>
      </x:c>
      <x:c r="H2" s="79"/>
      <x:c r="I2" s="79"/>
      <x:c r="J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</x:row>
    <x:row r="4">
      <x:c r="A4" s="35" t="str">
        <x:v>指标</x:v>
      </x:c>
      <x:c r="B4" s="36" t="str">
        <x:v>2023A</x:v>
      </x:c>
      <x:c r="C4" s="36" t="str">
        <x:v>2024A</x:v>
      </x:c>
      <x:c r="D4" s="36" t="str">
        <x:v>2025A</x:v>
      </x:c>
      <x:c r="E4" s="36" t="str">
        <x:v>2025H1</x:v>
      </x:c>
      <x:c r="F4" s="36" t="str">
        <x:v>2026H1</x:v>
      </x:c>
      <x:c r="G4" s="37" t="str">
        <x:v>TTM</x:v>
      </x:c>
      <x:c r="H4" s="79"/>
      <x:c r="I4" s="79"/>
      <x:c r="J4" s="79"/>
    </x:row>
    <x:row r="5">
      <x:c r="A5" s="80" t="str">
        <x:v>营业收入</x:v>
      </x:c>
      <x:c r="B5" s="81" t="n">
        <x:v>10316</x:v>
      </x:c>
      <x:c r="C5" s="81" t="n">
        <x:v>11242</x:v>
      </x:c>
      <x:c r="D5" s="81" t="n">
        <x:v>9950</x:v>
      </x:c>
      <x:c r="E5" s="81" t="n">
        <x:v>4968</x:v>
      </x:c>
      <x:c r="F5" s="81" t="n">
        <x:v>6113</x:v>
      </x:c>
      <x:c r="G5" s="82" t="n">
        <x:f>D5-E5+F5</x:f>
        <x:v>11095</x:v>
      </x:c>
      <x:c r="H5" s="79"/>
      <x:c r="I5" s="79"/>
      <x:c r="J5" s="79"/>
    </x:row>
    <x:row r="6">
      <x:c r="A6" s="80" t="str">
        <x:v>物业租赁收入</x:v>
      </x:c>
      <x:c r="B6" s="81" t="n">
        <x:v>10162</x:v>
      </x:c>
      <x:c r="C6" s="81" t="n">
        <x:v>9515</x:v>
      </x:c>
      <x:c r="D6" s="81" t="n">
        <x:v>9389</x:v>
      </x:c>
      <x:c r="E6" s="81" t="n">
        <x:v>4678</x:v>
      </x:c>
      <x:c r="F6" s="81" t="n">
        <x:v>4923</x:v>
      </x:c>
      <x:c r="G6" s="82" t="n">
        <x:f>D6-E6+F6</x:f>
        <x:v>9634</x:v>
      </x:c>
      <x:c r="H6" s="79"/>
      <x:c r="I6" s="79"/>
      <x:c r="J6" s="79"/>
    </x:row>
    <x:row r="7">
      <x:c r="A7" s="80" t="str">
        <x:v>物业租赁经营利润</x:v>
      </x:c>
      <x:c r="B7" s="81" t="n">
        <x:v>7440</x:v>
      </x:c>
      <x:c r="C7" s="81" t="n">
        <x:v>6763</x:v>
      </x:c>
      <x:c r="D7" s="81" t="n">
        <x:v>6663</x:v>
      </x:c>
      <x:c r="E7" s="81" t="n">
        <x:v>3346</x:v>
      </x:c>
      <x:c r="F7" s="81" t="n">
        <x:v>3471</x:v>
      </x:c>
      <x:c r="G7" s="82" t="n">
        <x:f>D7-E7+F7</x:f>
        <x:v>6788</x:v>
      </x:c>
      <x:c r="H7" s="79"/>
      <x:c r="I7" s="79"/>
      <x:c r="J7" s="79"/>
    </x:row>
    <x:row r="8">
      <x:c r="A8" s="80" t="str">
        <x:v>基础归母净利润</x:v>
      </x:c>
      <x:c r="B8" s="81" t="n">
        <x:v>4137</x:v>
      </x:c>
      <x:c r="C8" s="81" t="n">
        <x:v>3095</x:v>
      </x:c>
      <x:c r="D8" s="81" t="n">
        <x:v>3202</x:v>
      </x:c>
      <x:c r="E8" s="81" t="n">
        <x:v>1587</x:v>
      </x:c>
      <x:c r="F8" s="81" t="n">
        <x:v>1436</x:v>
      </x:c>
      <x:c r="G8" s="82" t="n">
        <x:f>D8-E8+F8</x:f>
        <x:v>3051</x:v>
      </x:c>
      <x:c r="H8" s="79"/>
      <x:c r="I8" s="79"/>
      <x:c r="J8" s="79"/>
    </x:row>
    <x:row r="9">
      <x:c r="A9" s="80" t="str">
        <x:v>报告归母净利润</x:v>
      </x:c>
      <x:c r="B9" s="81" t="n">
        <x:v>3970</x:v>
      </x:c>
      <x:c r="C9" s="81" t="n">
        <x:v>2153</x:v>
      </x:c>
      <x:c r="D9" s="81" t="n">
        <x:v>1806</x:v>
      </x:c>
      <x:c r="E9" s="81" t="n">
        <x:v>912</x:v>
      </x:c>
      <x:c r="F9" s="81" t="n">
        <x:v>758</x:v>
      </x:c>
      <x:c r="G9" s="82" t="n">
        <x:f>D9-E9+F9</x:f>
        <x:v>1652</x:v>
      </x:c>
      <x:c r="H9" s="79"/>
      <x:c r="I9" s="79"/>
      <x:c r="J9" s="79"/>
    </x:row>
    <x:row r="10">
      <x:c r="A10" s="80" t="str">
        <x:v>经营现金流</x:v>
      </x:c>
      <x:c r="B10" s="81"/>
      <x:c r="C10" s="81" t="n">
        <x:v>4956</x:v>
      </x:c>
      <x:c r="D10" s="81" t="n">
        <x:v>5864</x:v>
      </x:c>
      <x:c r="E10" s="81" t="n">
        <x:v>2340</x:v>
      </x:c>
      <x:c r="F10" s="81" t="n">
        <x:v>3572</x:v>
      </x:c>
      <x:c r="G10" s="82" t="n">
        <x:f>D10-E10+F10</x:f>
        <x:v>7096</x:v>
      </x:c>
      <x:c r="H10" s="79"/>
      <x:c r="I10" s="79"/>
      <x:c r="J10" s="79"/>
    </x:row>
    <x:row r="11">
      <x:c r="A11" s="80" t="str">
        <x:v>投资物业及固定资产现金支出</x:v>
      </x:c>
      <x:c r="B11" s="81"/>
      <x:c r="C11" s="81" t="n">
        <x:v>3252</x:v>
      </x:c>
      <x:c r="D11" s="81" t="n">
        <x:v>2356</x:v>
      </x:c>
      <x:c r="E11" s="81" t="n">
        <x:v>1338</x:v>
      </x:c>
      <x:c r="F11" s="81" t="n">
        <x:v>1134</x:v>
      </x:c>
      <x:c r="G11" s="82" t="n">
        <x:f>D11-E11+F11</x:f>
        <x:v>2152</x:v>
      </x:c>
      <x:c r="H11" s="79"/>
      <x:c r="I11" s="79"/>
      <x:c r="J11" s="79"/>
    </x:row>
    <x:row r="12">
      <x:c r="A12" s="80" t="str">
        <x:v>简化自由现金流</x:v>
      </x:c>
      <x:c r="B12" s="81"/>
      <x:c r="C12" s="81" t="n">
        <x:v>1704</x:v>
      </x:c>
      <x:c r="D12" s="81" t="n">
        <x:v>3508</x:v>
      </x:c>
      <x:c r="E12" s="81" t="n">
        <x:v>1002</x:v>
      </x:c>
      <x:c r="F12" s="81" t="n">
        <x:v>2438</x:v>
      </x:c>
      <x:c r="G12" s="82" t="n">
        <x:f>G10-G11</x:f>
        <x:v>4944</x:v>
      </x:c>
      <x:c r="H12" s="79"/>
      <x:c r="I12" s="79"/>
      <x:c r="J12" s="79"/>
    </x:row>
    <x:row r="13">
      <x:c r="A13" s="83" t="str">
        <x:v>基础利润现金转化</x:v>
      </x:c>
      <x:c r="B13" s="84"/>
      <x:c r="C13" s="84" t="n">
        <x:v>0.5506</x:v>
      </x:c>
      <x:c r="D13" s="84" t="n">
        <x:v>1.0956</x:v>
      </x:c>
      <x:c r="E13" s="84" t="n">
        <x:v>0.6314</x:v>
      </x:c>
      <x:c r="F13" s="84" t="n">
        <x:v>1.6978</x:v>
      </x:c>
      <x:c r="G13" s="85" t="n">
        <x:f>G12/G8</x:f>
        <x:v>1.6204523107177975</x:v>
      </x:c>
      <x:c r="H13" s="79"/>
      <x:c r="I13" s="79"/>
      <x:c r="J13" s="79"/>
    </x:row>
    <x:row r="14">
      <x:c r="A14" s="80" t="str">
        <x:v>净债务</x:v>
      </x:c>
      <x:c r="B14" s="81" t="n">
        <x:v>45352</x:v>
      </x:c>
      <x:c r="C14" s="81" t="n">
        <x:v>47073</x:v>
      </x:c>
      <x:c r="D14" s="81" t="n">
        <x:v>47254</x:v>
      </x:c>
      <x:c r="E14" s="81"/>
      <x:c r="F14" s="81" t="n">
        <x:v>47053</x:v>
      </x:c>
      <x:c r="G14" s="82" t="n">
        <x:f>F14</x:f>
        <x:v>47053</x:v>
      </x:c>
      <x:c r="H14" s="79"/>
      <x:c r="I14" s="79"/>
      <x:c r="J14" s="79"/>
    </x:row>
    <x:row r="15">
      <x:c r="A15" s="80" t="str">
        <x:v>归母权益</x:v>
      </x:c>
      <x:c r="B15" s="81" t="n">
        <x:v>132408</x:v>
      </x:c>
      <x:c r="C15" s="81" t="n">
        <x:v>131587</x:v>
      </x:c>
      <x:c r="D15" s="81" t="n">
        <x:v>134729</x:v>
      </x:c>
      <x:c r="E15" s="81"/>
      <x:c r="F15" s="81" t="n">
        <x:v>138564</x:v>
      </x:c>
      <x:c r="G15" s="82" t="n">
        <x:f>F15</x:f>
        <x:v>138564</x:v>
      </x:c>
      <x:c r="H15" s="79"/>
      <x:c r="I15" s="79"/>
      <x:c r="J15" s="79"/>
    </x:row>
    <x:row r="16">
      <x:c r="A16" s="80" t="str">
        <x:v>期末股数（百万股）</x:v>
      </x:c>
      <x:c r="B16" s="81" t="n">
        <x:v>4499</x:v>
      </x:c>
      <x:c r="C16" s="81" t="n">
        <x:v>4784</x:v>
      </x:c>
      <x:c r="D16" s="81" t="n">
        <x:v>5057</x:v>
      </x:c>
      <x:c r="E16" s="81"/>
      <x:c r="F16" s="81" t="n">
        <x:v>5203.083</x:v>
      </x:c>
      <x:c r="G16" s="82" t="n">
        <x:f>F16</x:f>
        <x:v>5203.083</x:v>
      </x:c>
      <x:c r="H16" s="79"/>
      <x:c r="I16" s="79"/>
      <x:c r="J16" s="79"/>
    </x:row>
    <x:row r="17">
      <x:c r="A17" s="80" t="str">
        <x:v>每股归母净资产</x:v>
      </x:c>
      <x:c r="B17" s="86" t="n">
        <x:v>29.4</x:v>
      </x:c>
      <x:c r="C17" s="86" t="n">
        <x:v>27.5</x:v>
      </x:c>
      <x:c r="D17" s="86" t="n">
        <x:v>26.6</x:v>
      </x:c>
      <x:c r="E17" s="86"/>
      <x:c r="F17" s="86" t="n">
        <x:v>26.63</x:v>
      </x:c>
      <x:c r="G17" s="87" t="n">
        <x:f>F17</x:f>
        <x:v>26.63</x:v>
      </x:c>
      <x:c r="H17" s="79"/>
      <x:c r="I17" s="79"/>
      <x:c r="J17" s="79"/>
    </x:row>
    <x:row r="18">
      <x:c r="A18" s="80" t="str">
        <x:v>每股股息</x:v>
      </x:c>
      <x:c r="B18" s="86" t="n">
        <x:v>0.78</x:v>
      </x:c>
      <x:c r="C18" s="86" t="n">
        <x:v>0.52</x:v>
      </x:c>
      <x:c r="D18" s="86" t="n">
        <x:v>0.52</x:v>
      </x:c>
      <x:c r="E18" s="86" t="n">
        <x:v>0.12</x:v>
      </x:c>
      <x:c r="F18" s="86" t="n">
        <x:v>0.12</x:v>
      </x:c>
      <x:c r="G18" s="87" t="n">
        <x:v>0.52</x:v>
      </x:c>
      <x:c r="H18" s="79"/>
      <x:c r="I18" s="79"/>
      <x:c r="J18" s="79"/>
    </x:row>
    <x:row r="19">
      <x:c r="A19" s="83" t="str">
        <x:v>基础归母同比</x:v>
      </x:c>
      <x:c r="B19" s="88" t="n">
        <x:v>0.337</x:v>
      </x:c>
      <x:c r="C19" s="88" t="n">
        <x:v>-0.252</x:v>
      </x:c>
      <x:c r="D19" s="88" t="n">
        <x:v>0.035</x:v>
      </x:c>
      <x:c r="E19" s="88"/>
      <x:c r="F19" s="88" t="n">
        <x:v>-0.095</x:v>
      </x:c>
      <x:c r="G19" s="89" t="n">
        <x:v>-0.0472</x:v>
      </x:c>
      <x:c r="H19" s="79"/>
      <x:c r="I19" s="79"/>
      <x:c r="J19" s="79"/>
    </x:row>
    <x:row r="20">
      <x:c r="A20" s="83" t="str">
        <x:v>租赁经营利润率</x:v>
      </x:c>
      <x:c r="B20" s="88" t="n">
        <x:v>0.7321</x:v>
      </x:c>
      <x:c r="C20" s="88" t="n">
        <x:v>0.7108</x:v>
      </x:c>
      <x:c r="D20" s="88" t="n">
        <x:v>0.7097</x:v>
      </x:c>
      <x:c r="E20" s="88" t="n">
        <x:v>0.7153</x:v>
      </x:c>
      <x:c r="F20" s="88" t="n">
        <x:v>0.7053</x:v>
      </x:c>
      <x:c r="G20" s="89" t="n">
        <x:v>0.7046</x:v>
      </x:c>
      <x:c r="H20" s="79"/>
      <x:c r="I20" s="79"/>
      <x:c r="J20" s="79"/>
    </x:row>
    <x:row r="21">
      <x:c r="A21" s="90" t="str">
        <x:v>基础利润/归母权益</x:v>
      </x:c>
      <x:c r="B21" s="91" t="n">
        <x:v>0.0313</x:v>
      </x:c>
      <x:c r="C21" s="91" t="n">
        <x:v>0.0235</x:v>
      </x:c>
      <x:c r="D21" s="91" t="n">
        <x:v>0.0238</x:v>
      </x:c>
      <x:c r="E21" s="91"/>
      <x:c r="F21" s="91" t="n">
        <x:v>0.0208</x:v>
      </x:c>
      <x:c r="G21" s="92" t="n">
        <x:v>0.0221</x:v>
      </x:c>
      <x:c r="H21" s="79"/>
      <x:c r="I21" s="79"/>
      <x:c r="J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</x:cols>
  <x:sheetData>
    <x:row r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8" customHeight="1">
      <x:c r="A2" s="3" t="str">
        <x:v>租赁经营拆解</x:v>
      </x:c>
      <x:c r="B2" s="3" t="str">
        <x:v>租赁经营拆解</x:v>
      </x:c>
      <x:c r="C2" s="3" t="str">
        <x:v>租赁经营拆解</x:v>
      </x:c>
      <x:c r="D2" s="3" t="str">
        <x:v>租赁经营拆解</x:v>
      </x:c>
      <x:c r="E2" s="3" t="str">
        <x:v>租赁经营拆解</x:v>
      </x:c>
      <x:c r="F2" s="3" t="str">
        <x:v>租赁经营拆解</x:v>
      </x:c>
      <x:c r="G2" s="3" t="str">
        <x:v>租赁经营拆解</x:v>
      </x:c>
      <x:c r="H2" s="79"/>
      <x:c r="I2" s="79"/>
      <x:c r="J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</x:row>
    <x:row r="4">
      <x:c r="A4" s="35" t="str">
        <x:v>内地商场</x:v>
      </x:c>
      <x:c r="B4" s="36" t="str">
        <x:v>2026H1收入（RMB m）</x:v>
      </x:c>
      <x:c r="C4" s="36" t="str">
        <x:v>同比</x:v>
      </x:c>
      <x:c r="D4" s="36" t="str">
        <x:v>2026-06出租率</x:v>
      </x:c>
      <x:c r="E4" s="36" t="str">
        <x:v>2025-12出租率</x:v>
      </x:c>
      <x:c r="F4" s="36" t="str">
        <x:v>租户销售同比</x:v>
      </x:c>
      <x:c r="G4" s="37" t="str">
        <x:v>判断</x:v>
      </x:c>
      <x:c r="H4" s="79"/>
      <x:c r="I4" s="79"/>
      <x:c r="J4" s="79"/>
    </x:row>
    <x:row r="5">
      <x:c r="A5" s="80" t="str">
        <x:v>上海恒隆广场</x:v>
      </x:c>
      <x:c r="B5" s="93" t="n">
        <x:v>887</x:v>
      </x:c>
      <x:c r="C5" s="94" t="n">
        <x:v>0.08</x:v>
      </x:c>
      <x:c r="D5" s="94" t="n">
        <x:v>0.98</x:v>
      </x:c>
      <x:c r="E5" s="94" t="n">
        <x:v>0.96</x:v>
      </x:c>
      <x:c r="F5" s="94" t="n">
        <x:v>0.24</x:v>
      </x:c>
      <x:c r="G5" s="95" t="str">
        <x:v>旗舰恢复</x:v>
      </x:c>
      <x:c r="H5" s="79"/>
      <x:c r="I5" s="79"/>
      <x:c r="J5" s="79"/>
    </x:row>
    <x:row r="6">
      <x:c r="A6" s="80" t="str">
        <x:v>上海港汇恒隆广场</x:v>
      </x:c>
      <x:c r="B6" s="93" t="n">
        <x:v>604</x:v>
      </x:c>
      <x:c r="C6" s="94" t="n">
        <x:v>0.01</x:v>
      </x:c>
      <x:c r="D6" s="94" t="n">
        <x:v>0.98</x:v>
      </x:c>
      <x:c r="E6" s="94" t="n">
        <x:v>1</x:v>
      </x:c>
      <x:c r="F6" s="94" t="n">
        <x:v>0.24</x:v>
      </x:c>
      <x:c r="G6" s="95" t="str">
        <x:v>租金弱于销售</x:v>
      </x:c>
      <x:c r="H6" s="79"/>
      <x:c r="I6" s="79"/>
      <x:c r="J6" s="79"/>
    </x:row>
    <x:row r="7">
      <x:c r="A7" s="80" t="str">
        <x:v>无锡恒隆广场</x:v>
      </x:c>
      <x:c r="B7" s="93" t="n">
        <x:v>269</x:v>
      </x:c>
      <x:c r="C7" s="94" t="n">
        <x:v>0.1</x:v>
      </x:c>
      <x:c r="D7" s="94" t="n">
        <x:v>1</x:v>
      </x:c>
      <x:c r="E7" s="94" t="n">
        <x:v>1</x:v>
      </x:c>
      <x:c r="F7" s="94" t="n">
        <x:v>0.07</x:v>
      </x:c>
      <x:c r="G7" s="95" t="str">
        <x:v>稳健</x:v>
      </x:c>
      <x:c r="H7" s="79"/>
      <x:c r="I7" s="79"/>
      <x:c r="J7" s="79"/>
    </x:row>
    <x:row r="8">
      <x:c r="A8" s="80" t="str">
        <x:v>大连恒隆广场</x:v>
      </x:c>
      <x:c r="B8" s="93" t="n">
        <x:v>177</x:v>
      </x:c>
      <x:c r="C8" s="94" t="n">
        <x:v>0.11</x:v>
      </x:c>
      <x:c r="D8" s="94" t="n">
        <x:v>0.97</x:v>
      </x:c>
      <x:c r="E8" s="94" t="n">
        <x:v>0.95</x:v>
      </x:c>
      <x:c r="F8" s="94" t="n">
        <x:v>0.11</x:v>
      </x:c>
      <x:c r="G8" s="95" t="str">
        <x:v>改善</x:v>
      </x:c>
      <x:c r="H8" s="79"/>
      <x:c r="I8" s="79"/>
      <x:c r="J8" s="79"/>
    </x:row>
    <x:row r="9">
      <x:c r="A9" s="80" t="str">
        <x:v>昆明恒隆广场</x:v>
      </x:c>
      <x:c r="B9" s="93" t="n">
        <x:v>172</x:v>
      </x:c>
      <x:c r="C9" s="94" t="n">
        <x:v>0.06</x:v>
      </x:c>
      <x:c r="D9" s="94" t="n">
        <x:v>0.99</x:v>
      </x:c>
      <x:c r="E9" s="94" t="n">
        <x:v>0.99</x:v>
      </x:c>
      <x:c r="F9" s="94" t="n">
        <x:v>0.12</x:v>
      </x:c>
      <x:c r="G9" s="95" t="str">
        <x:v>稳健</x:v>
      </x:c>
      <x:c r="H9" s="79"/>
      <x:c r="I9" s="79"/>
      <x:c r="J9" s="79"/>
    </x:row>
    <x:row r="10">
      <x:c r="A10" s="80" t="str">
        <x:v>济南恒隆广场</x:v>
      </x:c>
      <x:c r="B10" s="93" t="n">
        <x:v>165</x:v>
      </x:c>
      <x:c r="C10" s="94" t="n">
        <x:v>0.04</x:v>
      </x:c>
      <x:c r="D10" s="94" t="n">
        <x:v>0.96</x:v>
      </x:c>
      <x:c r="E10" s="94" t="n">
        <x:v>0.97</x:v>
      </x:c>
      <x:c r="F10" s="94" t="n">
        <x:v>0.13</x:v>
      </x:c>
      <x:c r="G10" s="95" t="str">
        <x:v>改善</x:v>
      </x:c>
      <x:c r="H10" s="79"/>
      <x:c r="I10" s="79"/>
      <x:c r="J10" s="79"/>
    </x:row>
    <x:row r="11">
      <x:c r="A11" s="80" t="str">
        <x:v>沈阳皇城恒隆广场</x:v>
      </x:c>
      <x:c r="B11" s="93" t="n">
        <x:v>91</x:v>
      </x:c>
      <x:c r="C11" s="94" t="n">
        <x:v>0.1</x:v>
      </x:c>
      <x:c r="D11" s="94" t="n">
        <x:v>0.98</x:v>
      </x:c>
      <x:c r="E11" s="94" t="n">
        <x:v>0.98</x:v>
      </x:c>
      <x:c r="F11" s="94" t="n">
        <x:v>0.23</x:v>
      </x:c>
      <x:c r="G11" s="95" t="str">
        <x:v>改善</x:v>
      </x:c>
      <x:c r="H11" s="79"/>
      <x:c r="I11" s="79"/>
      <x:c r="J11" s="79"/>
    </x:row>
    <x:row r="12">
      <x:c r="A12" s="80" t="str">
        <x:v>天津恒隆广场</x:v>
      </x:c>
      <x:c r="B12" s="93" t="n">
        <x:v>80</x:v>
      </x:c>
      <x:c r="C12" s="94" t="n">
        <x:v>-0.02</x:v>
      </x:c>
      <x:c r="D12" s="94" t="n">
        <x:v>0.96</x:v>
      </x:c>
      <x:c r="E12" s="94" t="n">
        <x:v>0.94</x:v>
      </x:c>
      <x:c r="F12" s="94" t="n">
        <x:v>0.01</x:v>
      </x:c>
      <x:c r="G12" s="95" t="str">
        <x:v>承压</x:v>
      </x:c>
      <x:c r="H12" s="79"/>
      <x:c r="I12" s="79"/>
      <x:c r="J12" s="79"/>
    </x:row>
    <x:row r="13">
      <x:c r="A13" s="80" t="str">
        <x:v>武汉恒隆广场</x:v>
      </x:c>
      <x:c r="B13" s="93" t="n">
        <x:v>62</x:v>
      </x:c>
      <x:c r="C13" s="94" t="n">
        <x:v>-0.18</x:v>
      </x:c>
      <x:c r="D13" s="94" t="n">
        <x:v>0.92</x:v>
      </x:c>
      <x:c r="E13" s="94" t="n">
        <x:v>0.9</x:v>
      </x:c>
      <x:c r="F13" s="94"/>
      <x:c r="G13" s="95" t="str">
        <x:v>调整</x:v>
      </x:c>
      <x:c r="H13" s="79"/>
      <x:c r="I13" s="79"/>
      <x:c r="J13" s="79"/>
    </x:row>
    <x:row r="14">
      <x:c r="A14" s="80" t="str">
        <x:v>杭州恒隆广场</x:v>
      </x:c>
      <x:c r="B14" s="93" t="n">
        <x:v>37</x:v>
      </x:c>
      <x:c r="C14" s="94"/>
      <x:c r="D14" s="94" t="n">
        <x:v>0.89</x:v>
      </x:c>
      <x:c r="E14" s="94"/>
      <x:c r="F14" s="94"/>
      <x:c r="G14" s="95" t="str">
        <x:v>2026-04开业</x:v>
      </x:c>
      <x:c r="H14" s="79"/>
      <x:c r="I14" s="79"/>
      <x:c r="J14" s="79"/>
    </x:row>
    <x:row r="15">
      <x:c r="A15" s="96" t="str">
        <x:v>沈阳市府恒隆广场</x:v>
      </x:c>
      <x:c r="B15" s="97" t="n">
        <x:v>23</x:v>
      </x:c>
      <x:c r="C15" s="98" t="n">
        <x:v>-0.15</x:v>
      </x:c>
      <x:c r="D15" s="98" t="n">
        <x:v>0.88</x:v>
      </x:c>
      <x:c r="E15" s="98" t="n">
        <x:v>0.89</x:v>
      </x:c>
      <x:c r="F15" s="98" t="n">
        <x:v>-0.05</x:v>
      </x:c>
      <x:c r="G15" s="99" t="str">
        <x:v>调整</x:v>
      </x:c>
      <x:c r="H15" s="79"/>
      <x:c r="I15" s="79"/>
      <x:c r="J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</x:row>
    <x:row r="17">
      <x:c r="A17" s="15" t="str">
        <x:v>组合指标</x:v>
      </x:c>
      <x:c r="B17" s="30" t="str">
        <x:v>数值</x:v>
      </x:c>
      <x:c r="C17" s="16" t="str">
        <x:v>说明</x:v>
      </x:c>
      <x:c r="D17" s="79"/>
      <x:c r="E17" s="79"/>
      <x:c r="F17" s="79"/>
      <x:c r="G17" s="79"/>
      <x:c r="H17" s="79"/>
      <x:c r="I17" s="79"/>
      <x:c r="J17" s="79"/>
    </x:row>
    <x:row r="18">
      <x:c r="A18" s="79" t="str">
        <x:v>内地商场收入</x:v>
      </x:c>
      <x:c r="B18" s="93" t="n">
        <x:v>2567</x:v>
      </x:c>
      <x:c r="C18" s="79" t="str">
        <x:v>同比+6%</x:v>
      </x:c>
      <x:c r="D18" s="79"/>
      <x:c r="E18" s="79"/>
      <x:c r="F18" s="79"/>
      <x:c r="G18" s="79"/>
      <x:c r="H18" s="79"/>
      <x:c r="I18" s="79"/>
      <x:c r="J18" s="79"/>
    </x:row>
    <x:row r="19">
      <x:c r="A19" s="79" t="str">
        <x:v>内地商场收入同比</x:v>
      </x:c>
      <x:c r="B19" s="94" t="n">
        <x:v>0.06</x:v>
      </x:c>
      <x:c r="C19" s="79" t="str">
        <x:v>RMB口径</x:v>
      </x:c>
      <x:c r="D19" s="79"/>
      <x:c r="E19" s="79"/>
      <x:c r="F19" s="79"/>
      <x:c r="G19" s="79"/>
      <x:c r="H19" s="79"/>
      <x:c r="I19" s="79"/>
      <x:c r="J19" s="79"/>
    </x:row>
    <x:row r="20">
      <x:c r="A20" s="79" t="str">
        <x:v>内地写字楼收入</x:v>
      </x:c>
      <x:c r="B20" s="93" t="n">
        <x:v>464</x:v>
      </x:c>
      <x:c r="C20" s="79" t="str">
        <x:v>同比-12%</x:v>
      </x:c>
      <x:c r="D20" s="79"/>
      <x:c r="E20" s="79"/>
      <x:c r="F20" s="79"/>
      <x:c r="G20" s="79"/>
      <x:c r="H20" s="79"/>
      <x:c r="I20" s="79"/>
      <x:c r="J20" s="79"/>
    </x:row>
    <x:row r="21">
      <x:c r="A21" s="79" t="str">
        <x:v>内地写字楼收入同比</x:v>
      </x:c>
      <x:c r="B21" s="94" t="n">
        <x:v>-0.12</x:v>
      </x:c>
      <x:c r="C21" s="79" t="str">
        <x:v>RMB口径</x:v>
      </x:c>
      <x:c r="D21" s="79"/>
      <x:c r="E21" s="79"/>
      <x:c r="F21" s="79"/>
      <x:c r="G21" s="79"/>
      <x:c r="H21" s="79"/>
      <x:c r="I21" s="79"/>
      <x:c r="J21" s="79"/>
    </x:row>
    <x:row r="22">
      <x:c r="A22" s="79" t="str">
        <x:v>内地写字楼出租率</x:v>
      </x:c>
      <x:c r="B22" s="94" t="n">
        <x:v>0.81</x:v>
      </x:c>
      <x:c r="C22" s="79" t="str">
        <x:v>同比+1ppt</x:v>
      </x:c>
      <x:c r="D22" s="79"/>
      <x:c r="E22" s="79"/>
      <x:c r="F22" s="79"/>
      <x:c r="G22" s="79"/>
      <x:c r="H22" s="79"/>
      <x:c r="I22" s="79"/>
      <x:c r="J22" s="79"/>
    </x:row>
    <x:row r="23">
      <x:c r="A23" s="79" t="str">
        <x:v>香港零售收入同比</x:v>
      </x:c>
      <x:c r="B23" s="94" t="n">
        <x:v>-0.02</x:v>
      </x:c>
      <x:c r="C23" s="79" t="str">
        <x:v>出租率95%</x:v>
      </x:c>
      <x:c r="D23" s="79"/>
      <x:c r="E23" s="79"/>
      <x:c r="F23" s="79"/>
      <x:c r="G23" s="79"/>
      <x:c r="H23" s="79"/>
      <x:c r="I23" s="79"/>
      <x:c r="J23" s="79"/>
    </x:row>
    <x:row r="24">
      <x:c r="A24" s="79" t="str">
        <x:v>香港写字楼收入同比</x:v>
      </x:c>
      <x:c r="B24" s="94" t="n">
        <x:v>0.01</x:v>
      </x:c>
      <x:c r="C24" s="79" t="str">
        <x:v>出租率90%</x:v>
      </x:c>
      <x:c r="D24" s="79"/>
      <x:c r="E24" s="79"/>
      <x:c r="F24" s="79"/>
      <x:c r="G24" s="79"/>
      <x:c r="H24" s="79"/>
      <x:c r="I24" s="79"/>
      <x:c r="J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</x:row>
  </x:sheetData>
  <x:mergeCells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35" hidden="0" customWidth="1"/>
  </x:cols>
  <x:sheetData>
    <x:row r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8" customHeight="1">
      <x:c r="A2" s="3" t="str">
        <x:v>资产负债表、融资与股东回报</x:v>
      </x:c>
      <x:c r="B2" s="3" t="str">
        <x:v>资产负债表、融资与股东回报</x:v>
      </x:c>
      <x:c r="C2" s="3" t="str">
        <x:v>资产负债表、融资与股东回报</x:v>
      </x:c>
      <x:c r="D2" s="3" t="str">
        <x:v>资产负债表、融资与股东回报</x:v>
      </x:c>
      <x:c r="E2" s="79"/>
      <x:c r="F2" s="79"/>
      <x:c r="G2" s="79"/>
      <x:c r="H2" s="79"/>
      <x:c r="I2" s="79"/>
      <x:c r="J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</x:row>
    <x:row r="4">
      <x:c r="A4" s="35" t="str">
        <x:v>指标</x:v>
      </x:c>
      <x:c r="B4" s="36" t="str">
        <x:v>2026H1</x:v>
      </x:c>
      <x:c r="C4" s="36" t="str">
        <x:v>2025A</x:v>
      </x:c>
      <x:c r="D4" s="37" t="str">
        <x:v>说明</x:v>
      </x:c>
      <x:c r="E4" s="79"/>
      <x:c r="F4" s="79"/>
      <x:c r="G4" s="79"/>
      <x:c r="H4" s="79"/>
      <x:c r="I4" s="79"/>
      <x:c r="J4" s="79"/>
    </x:row>
    <x:row r="5">
      <x:c r="A5" s="80" t="str">
        <x:v>投资物业</x:v>
      </x:c>
      <x:c r="B5" s="93" t="n">
        <x:v>192902</x:v>
      </x:c>
      <x:c r="C5" s="93" t="n">
        <x:v>167897</x:v>
      </x:c>
      <x:c r="D5" s="95" t="str">
        <x:v>杭州项目转入已完工投资物业</x:v>
      </x:c>
      <x:c r="E5" s="79"/>
      <x:c r="F5" s="79"/>
      <x:c r="G5" s="79"/>
      <x:c r="H5" s="79"/>
      <x:c r="I5" s="79"/>
      <x:c r="J5" s="79"/>
    </x:row>
    <x:row r="6">
      <x:c r="A6" s="80" t="str">
        <x:v>发展中投资物业</x:v>
      </x:c>
      <x:c r="B6" s="93" t="n">
        <x:v>7636</x:v>
      </x:c>
      <x:c r="C6" s="93" t="n">
        <x:v>27359</x:v>
      </x:c>
      <x:c r="D6" s="95" t="str">
        <x:v>竣工转入使余额下降</x:v>
      </x:c>
      <x:c r="E6" s="79"/>
      <x:c r="F6" s="79"/>
      <x:c r="G6" s="79"/>
      <x:c r="H6" s="79"/>
      <x:c r="I6" s="79"/>
      <x:c r="J6" s="79"/>
    </x:row>
    <x:row r="7">
      <x:c r="A7" s="80" t="str">
        <x:v>待售物业</x:v>
      </x:c>
      <x:c r="B7" s="93" t="n">
        <x:v>13833</x:v>
      </x:c>
      <x:c r="C7" s="93" t="n">
        <x:v>14272</x:v>
      </x:c>
      <x:c r="D7" s="95" t="str">
        <x:v>含香港及内地住宅</x:v>
      </x:c>
      <x:c r="E7" s="79"/>
      <x:c r="F7" s="79"/>
      <x:c r="G7" s="79"/>
      <x:c r="H7" s="79"/>
      <x:c r="I7" s="79"/>
      <x:c r="J7" s="79"/>
    </x:row>
    <x:row r="8">
      <x:c r="A8" s="80" t="str">
        <x:v>现金及银行存款</x:v>
      </x:c>
      <x:c r="B8" s="93" t="n">
        <x:v>6505</x:v>
      </x:c>
      <x:c r="C8" s="93" t="n">
        <x:v>6335</x:v>
      </x:c>
      <x:c r="D8" s="95" t="str">
        <x:v>其中现金等价物5,933</x:v>
      </x:c>
      <x:c r="E8" s="79"/>
      <x:c r="F8" s="79"/>
      <x:c r="G8" s="79"/>
      <x:c r="H8" s="79"/>
      <x:c r="I8" s="79"/>
      <x:c r="J8" s="79"/>
    </x:row>
    <x:row r="9">
      <x:c r="A9" s="80" t="str">
        <x:v>总借款</x:v>
      </x:c>
      <x:c r="B9" s="93" t="n">
        <x:v>53558</x:v>
      </x:c>
      <x:c r="C9" s="93" t="n">
        <x:v>53589</x:v>
      </x:c>
      <x:c r="D9" s="95" t="str">
        <x:v>49%为人民币借款</x:v>
      </x:c>
      <x:c r="E9" s="79"/>
      <x:c r="F9" s="79"/>
      <x:c r="G9" s="79"/>
      <x:c r="H9" s="79"/>
      <x:c r="I9" s="79"/>
      <x:c r="J9" s="79"/>
    </x:row>
    <x:row r="10">
      <x:c r="A10" s="80" t="str">
        <x:v>净债务</x:v>
      </x:c>
      <x:c r="B10" s="93" t="n">
        <x:v>47053</x:v>
      </x:c>
      <x:c r="C10" s="93" t="n">
        <x:v>47254</x:v>
      </x:c>
      <x:c r="D10" s="95" t="str">
        <x:v>借款减现金</x:v>
      </x:c>
      <x:c r="E10" s="79"/>
      <x:c r="F10" s="79"/>
      <x:c r="G10" s="79"/>
      <x:c r="H10" s="79"/>
      <x:c r="I10" s="79"/>
      <x:c r="J10" s="79"/>
    </x:row>
    <x:row r="11">
      <x:c r="A11" s="80" t="str">
        <x:v>净债务/权益</x:v>
      </x:c>
      <x:c r="B11" s="94" t="n">
        <x:v>0.316</x:v>
      </x:c>
      <x:c r="C11" s="94" t="n">
        <x:v>0.327</x:v>
      </x:c>
      <x:c r="D11" s="95" t="str">
        <x:v>公司口径</x:v>
      </x:c>
      <x:c r="E11" s="79"/>
      <x:c r="F11" s="79"/>
      <x:c r="G11" s="79"/>
      <x:c r="H11" s="79"/>
      <x:c r="I11" s="79"/>
      <x:c r="J11" s="79"/>
    </x:row>
    <x:row r="12">
      <x:c r="A12" s="80" t="str">
        <x:v>归母权益</x:v>
      </x:c>
      <x:c r="B12" s="93" t="n">
        <x:v>138564</x:v>
      </x:c>
      <x:c r="C12" s="93" t="n">
        <x:v>134729</x:v>
      </x:c>
      <x:c r="D12" s="95" t="str">
        <x:v>2026H1含汇兑收益</x:v>
      </x:c>
      <x:c r="E12" s="79"/>
      <x:c r="F12" s="79"/>
      <x:c r="G12" s="79"/>
      <x:c r="H12" s="79"/>
      <x:c r="I12" s="79"/>
      <x:c r="J12" s="79"/>
    </x:row>
    <x:row r="13">
      <x:c r="A13" s="80" t="str">
        <x:v>每股归母净资产</x:v>
      </x:c>
      <x:c r="B13" s="86" t="n">
        <x:v>26.63</x:v>
      </x:c>
      <x:c r="C13" s="86" t="n">
        <x:v>26.6</x:v>
      </x:c>
      <x:c r="D13" s="95" t="str">
        <x:v>2026H1研究计算</x:v>
      </x:c>
      <x:c r="E13" s="79"/>
      <x:c r="F13" s="79"/>
      <x:c r="G13" s="79"/>
      <x:c r="H13" s="79"/>
      <x:c r="I13" s="79"/>
      <x:c r="J13" s="79"/>
    </x:row>
    <x:row r="14">
      <x:c r="A14" s="80" t="str">
        <x:v>平均融资成本</x:v>
      </x:c>
      <x:c r="B14" s="94" t="n">
        <x:v>0.037</x:v>
      </x:c>
      <x:c r="C14" s="94" t="n">
        <x:v>0.038</x:v>
      </x:c>
      <x:c r="D14" s="95" t="str">
        <x:v>2026H1/2025A</x:v>
      </x:c>
      <x:c r="E14" s="79"/>
      <x:c r="F14" s="79"/>
      <x:c r="G14" s="79"/>
      <x:c r="H14" s="79"/>
      <x:c r="I14" s="79"/>
      <x:c r="J14" s="79"/>
    </x:row>
    <x:row r="15">
      <x:c r="A15" s="80" t="str">
        <x:v>利息覆盖倍数</x:v>
      </x:c>
      <x:c r="B15" s="100" t="n">
        <x:v>3.2</x:v>
      </x:c>
      <x:c r="C15" s="100" t="n">
        <x:v>3.1</x:v>
      </x:c>
      <x:c r="D15" s="95" t="str">
        <x:v>公司口径</x:v>
      </x:c>
      <x:c r="E15" s="79"/>
      <x:c r="F15" s="79"/>
      <x:c r="G15" s="79"/>
      <x:c r="H15" s="79"/>
      <x:c r="I15" s="79"/>
      <x:c r="J15" s="79"/>
    </x:row>
    <x:row r="16">
      <x:c r="A16" s="80" t="str">
        <x:v>一年内到期债务</x:v>
      </x:c>
      <x:c r="B16" s="93" t="n">
        <x:v>5714</x:v>
      </x:c>
      <x:c r="C16" s="93" t="n">
        <x:v>4913</x:v>
      </x:c>
      <x:c r="D16" s="95" t="str">
        <x:v>占总借款11%</x:v>
      </x:c>
      <x:c r="E16" s="79"/>
      <x:c r="F16" s="79"/>
      <x:c r="G16" s="79"/>
      <x:c r="H16" s="79"/>
      <x:c r="I16" s="79"/>
      <x:c r="J16" s="79"/>
    </x:row>
    <x:row r="17">
      <x:c r="A17" s="80" t="str">
        <x:v>未提取承诺银行额度</x:v>
      </x:c>
      <x:c r="B17" s="93" t="n">
        <x:v>17976</x:v>
      </x:c>
      <x:c r="C17" s="93" t="n">
        <x:v>21404</x:v>
      </x:c>
      <x:c r="D17" s="95" t="str">
        <x:v>流动性缓冲</x:v>
      </x:c>
      <x:c r="E17" s="79"/>
      <x:c r="F17" s="79"/>
      <x:c r="G17" s="79"/>
      <x:c r="H17" s="79"/>
      <x:c r="I17" s="79"/>
      <x:c r="J17" s="79"/>
    </x:row>
    <x:row r="18">
      <x:c r="A18" s="80" t="str">
        <x:v>资本承担</x:v>
      </x:c>
      <x:c r="B18" s="93" t="n">
        <x:v>3947</x:v>
      </x:c>
      <x:c r="C18" s="93" t="n">
        <x:v>6706</x:v>
      </x:c>
      <x:c r="D18" s="95" t="str">
        <x:v>不含部分未来租赁付款</x:v>
      </x:c>
      <x:c r="E18" s="79"/>
      <x:c r="F18" s="79"/>
      <x:c r="G18" s="79"/>
      <x:c r="H18" s="79"/>
      <x:c r="I18" s="79"/>
      <x:c r="J18" s="79"/>
    </x:row>
    <x:row r="19">
      <x:c r="A19" s="80" t="str">
        <x:v>2025末期股息</x:v>
      </x:c>
      <x:c r="B19" s="93" t="n">
        <x:v>2023</x:v>
      </x:c>
      <x:c r="C19" s="93"/>
      <x:c r="D19" s="95" t="str">
        <x:v>其中1,327以新股结算</x:v>
      </x:c>
      <x:c r="E19" s="79"/>
      <x:c r="F19" s="79"/>
      <x:c r="G19" s="79"/>
      <x:c r="H19" s="79"/>
      <x:c r="I19" s="79"/>
      <x:c r="J19" s="79"/>
    </x:row>
    <x:row r="20">
      <x:c r="A20" s="96" t="str">
        <x:v>以股代息比例</x:v>
      </x:c>
      <x:c r="B20" s="98" t="n">
        <x:v>0.656</x:v>
      </x:c>
      <x:c r="C20" s="98"/>
      <x:c r="D20" s="99" t="str">
        <x:v>2025末期股息</x:v>
      </x:c>
      <x:c r="E20" s="79"/>
      <x:c r="F20" s="79"/>
      <x:c r="G20" s="79"/>
      <x:c r="H20" s="79"/>
      <x:c r="I20" s="79"/>
      <x:c r="J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</x:row>
    <x:row r="22">
      <x:c r="A22" s="35" t="str">
        <x:v>股份与潜在稀释</x:v>
      </x:c>
      <x:c r="B22" s="36" t="str">
        <x:v>数量（百万股）</x:v>
      </x:c>
      <x:c r="C22" s="36" t="str">
        <x:v>占当前股本</x:v>
      </x:c>
      <x:c r="D22" s="37" t="str">
        <x:v>说明</x:v>
      </x:c>
      <x:c r="E22" s="79"/>
      <x:c r="F22" s="79"/>
      <x:c r="G22" s="79"/>
      <x:c r="H22" s="79"/>
      <x:c r="I22" s="79"/>
      <x:c r="J22" s="79"/>
    </x:row>
    <x:row r="23">
      <x:c r="A23" s="80" t="str">
        <x:v>2024年末股数</x:v>
      </x:c>
      <x:c r="B23" s="101" t="n">
        <x:v>4784</x:v>
      </x:c>
      <x:c r="C23" s="94"/>
      <x:c r="D23" s="95" t="str">
        <x:v>期末</x:v>
      </x:c>
      <x:c r="E23" s="79"/>
      <x:c r="F23" s="79"/>
      <x:c r="G23" s="79"/>
      <x:c r="H23" s="79"/>
      <x:c r="I23" s="79"/>
      <x:c r="J23" s="79"/>
    </x:row>
    <x:row r="24">
      <x:c r="A24" s="80" t="str">
        <x:v>2025年末股数</x:v>
      </x:c>
      <x:c r="B24" s="101" t="n">
        <x:v>5057</x:v>
      </x:c>
      <x:c r="C24" s="94"/>
      <x:c r="D24" s="95" t="str">
        <x:v>期末</x:v>
      </x:c>
      <x:c r="E24" s="79"/>
      <x:c r="F24" s="79"/>
      <x:c r="G24" s="79"/>
      <x:c r="H24" s="79"/>
      <x:c r="I24" s="79"/>
      <x:c r="J24" s="79"/>
    </x:row>
    <x:row r="25">
      <x:c r="A25" s="80" t="str">
        <x:v>2026H1末股数</x:v>
      </x:c>
      <x:c r="B25" s="101" t="n">
        <x:v>5203.083</x:v>
      </x:c>
      <x:c r="C25" s="94" t="n">
        <x:v>1</x:v>
      </x:c>
      <x:c r="D25" s="95" t="str">
        <x:v>当前基准</x:v>
      </x:c>
      <x:c r="E25" s="79"/>
      <x:c r="F25" s="79"/>
      <x:c r="G25" s="79"/>
      <x:c r="H25" s="79"/>
      <x:c r="I25" s="79"/>
      <x:c r="J25" s="79"/>
    </x:row>
    <x:row r="26">
      <x:c r="A26" s="80" t="str">
        <x:v>2025/2026近期期权</x:v>
      </x:c>
      <x:c r="B26" s="101" t="n">
        <x:v>64.84</x:v>
      </x:c>
      <x:c r="C26" s="94" t="n">
        <x:v>0.01246</x:v>
      </x:c>
      <x:c r="D26" s="95" t="str">
        <x:v>行权价6.21-7.255港元</x:v>
      </x:c>
      <x:c r="E26" s="79"/>
      <x:c r="F26" s="79"/>
      <x:c r="G26" s="79"/>
      <x:c r="H26" s="79"/>
      <x:c r="I26" s="79"/>
      <x:c r="J26" s="79"/>
    </x:row>
    <x:row r="27">
      <x:c r="A27" s="80" t="str">
        <x:v>旧期权</x:v>
      </x:c>
      <x:c r="B27" s="101" t="n">
        <x:v>205.781</x:v>
      </x:c>
      <x:c r="C27" s="94" t="n">
        <x:v>0.03955</x:v>
      </x:c>
      <x:c r="D27" s="95" t="str">
        <x:v>大部分行权价12.49港元以上</x:v>
      </x:c>
      <x:c r="E27" s="79"/>
      <x:c r="F27" s="79"/>
      <x:c r="G27" s="79"/>
      <x:c r="H27" s="79"/>
      <x:c r="I27" s="79"/>
      <x:c r="J27" s="79"/>
    </x:row>
    <x:row r="28">
      <x:c r="A28" s="96" t="str">
        <x:v>未来可授期权额度</x:v>
      </x:c>
      <x:c r="B28" s="102" t="n">
        <x:v>230.455</x:v>
      </x:c>
      <x:c r="C28" s="98" t="n">
        <x:v>0.04429</x:v>
      </x:c>
      <x:c r="D28" s="99" t="str">
        <x:v>未授出，不计入估值股本</x:v>
      </x:c>
      <x:c r="E28" s="79"/>
      <x:c r="F28" s="79"/>
      <x:c r="G28" s="79"/>
      <x:c r="H28" s="79"/>
      <x:c r="I28" s="79"/>
      <x:c r="J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</x:row>
  </x:sheetData>
  <x:mergeCells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8" customHeight="1">
      <x:c r="A2" s="3" t="str">
        <x:v>估值：折价NAV与正常化基础利润</x:v>
      </x:c>
      <x:c r="B2" s="3" t="str">
        <x:v>估值：折价NAV与正常化基础利润</x:v>
      </x:c>
      <x:c r="C2" s="3" t="str">
        <x:v>估值：折价NAV与正常化基础利润</x:v>
      </x:c>
      <x:c r="D2" s="3" t="str">
        <x:v>估值：折价NAV与正常化基础利润</x:v>
      </x:c>
      <x:c r="E2" s="3" t="str">
        <x:v>估值：折价NAV与正常化基础利润</x:v>
      </x:c>
      <x:c r="F2" s="3" t="str">
        <x:v>估值：折价NAV与正常化基础利润</x:v>
      </x:c>
      <x:c r="G2" s="3" t="str">
        <x:v>估值：折价NAV与正常化基础利润</x:v>
      </x:c>
      <x:c r="H2" s="3" t="str">
        <x:v>估值：折价NAV与正常化基础利润</x:v>
      </x:c>
      <x:c r="I2" s="3" t="str">
        <x:v>估值：折价NAV与正常化基础利润</x:v>
      </x:c>
      <x:c r="J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</x:row>
    <x:row r="4">
      <x:c r="A4" s="15" t="str">
        <x:v>市场与口径输入</x:v>
      </x:c>
      <x:c r="B4" s="30" t="str">
        <x:v>数值</x:v>
      </x:c>
      <x:c r="C4" s="16" t="str">
        <x:v>说明</x:v>
      </x:c>
      <x:c r="D4" s="79"/>
      <x:c r="E4" s="79"/>
      <x:c r="F4" s="79"/>
      <x:c r="G4" s="79"/>
      <x:c r="H4" s="79"/>
      <x:c r="I4" s="79"/>
      <x:c r="J4" s="79"/>
    </x:row>
    <x:row r="5">
      <x:c r="A5" s="79" t="str">
        <x:v>当前价格</x:v>
      </x:c>
      <x:c r="B5" s="103" t="n">
        <x:f>Cover!B6</x:f>
        <x:v>6.93</x:v>
      </x:c>
      <x:c r="C5" s="79" t="str">
        <x:v>2026-09-10收盘</x:v>
      </x:c>
      <x:c r="D5" s="79"/>
      <x:c r="E5" s="79"/>
      <x:c r="F5" s="79"/>
      <x:c r="G5" s="79"/>
      <x:c r="H5" s="79"/>
      <x:c r="I5" s="79"/>
      <x:c r="J5" s="79"/>
    </x:row>
    <x:row r="6">
      <x:c r="A6" s="79" t="str">
        <x:v>当前股数（百万）</x:v>
      </x:c>
      <x:c r="B6" s="101" t="n">
        <x:f>'Balance &amp; Cash'!B25</x:f>
        <x:v>5203.083</x:v>
      </x:c>
      <x:c r="C6" s="79" t="str">
        <x:v>2026-06-30</x:v>
      </x:c>
      <x:c r="D6" s="79"/>
      <x:c r="E6" s="79"/>
      <x:c r="F6" s="79"/>
      <x:c r="G6" s="79"/>
      <x:c r="H6" s="79"/>
      <x:c r="I6" s="79"/>
      <x:c r="J6" s="79"/>
    </x:row>
    <x:row r="7">
      <x:c r="A7" s="79" t="str">
        <x:v>近期潜在稀释（百万）</x:v>
      </x:c>
      <x:c r="B7" s="101" t="n">
        <x:f>'Balance &amp; Cash'!B26</x:f>
        <x:v>64.84</x:v>
      </x:c>
      <x:c r="C7" s="79" t="str">
        <x:v>行权价接近或低于现价</x:v>
      </x:c>
      <x:c r="D7" s="79"/>
      <x:c r="E7" s="79"/>
      <x:c r="F7" s="79"/>
      <x:c r="G7" s="79"/>
      <x:c r="H7" s="79"/>
      <x:c r="I7" s="79"/>
      <x:c r="J7" s="79"/>
    </x:row>
    <x:row r="8">
      <x:c r="A8" s="79" t="str">
        <x:v>估值稀释股数（百万）</x:v>
      </x:c>
      <x:c r="B8" s="101" t="n">
        <x:f>B6+B7</x:f>
        <x:v>5267.923</x:v>
      </x:c>
      <x:c r="C8" s="79" t="str">
        <x:v>P/E估值使用</x:v>
      </x:c>
      <x:c r="D8" s="79"/>
      <x:c r="E8" s="79"/>
      <x:c r="F8" s="79"/>
      <x:c r="G8" s="79"/>
      <x:c r="H8" s="79"/>
      <x:c r="I8" s="79"/>
      <x:c r="J8" s="79"/>
    </x:row>
    <x:row r="9">
      <x:c r="A9" s="79" t="str">
        <x:v>当前市值（百万港元）</x:v>
      </x:c>
      <x:c r="B9" s="101" t="n">
        <x:f>B5*B6</x:f>
        <x:v>36057.36519</x:v>
      </x:c>
      <x:c r="C9" s="79" t="str">
        <x:v>价格×当前股数</x:v>
      </x:c>
      <x:c r="D9" s="79"/>
      <x:c r="E9" s="79"/>
      <x:c r="F9" s="79"/>
      <x:c r="G9" s="79"/>
      <x:c r="H9" s="79"/>
      <x:c r="I9" s="79"/>
      <x:c r="J9" s="79"/>
    </x:row>
    <x:row r="10">
      <x:c r="A10" s="79" t="str">
        <x:v>TTM基础归母（百万港元）</x:v>
      </x:c>
      <x:c r="B10" s="101" t="n">
        <x:f>Historical!G8</x:f>
        <x:v>3051</x:v>
      </x:c>
      <x:c r="C10" s="79" t="str">
        <x:v>2025A-2025H1+2026H1</x:v>
      </x:c>
      <x:c r="D10" s="79"/>
      <x:c r="E10" s="79"/>
      <x:c r="F10" s="79"/>
      <x:c r="G10" s="79"/>
      <x:c r="H10" s="79"/>
      <x:c r="I10" s="79"/>
      <x:c r="J10" s="79"/>
    </x:row>
    <x:row r="11">
      <x:c r="A11" s="79" t="str">
        <x:v>TTM基础P/E</x:v>
      </x:c>
      <x:c r="B11" s="100" t="n">
        <x:f>B9/B10</x:f>
        <x:v>11.818212123893804</x:v>
      </x:c>
      <x:c r="C11" s="79" t="str">
        <x:v>市值/TTM基础归母</x:v>
      </x:c>
      <x:c r="D11" s="79"/>
      <x:c r="E11" s="79"/>
      <x:c r="F11" s="79"/>
      <x:c r="G11" s="79"/>
      <x:c r="H11" s="79"/>
      <x:c r="I11" s="79"/>
      <x:c r="J11" s="79"/>
    </x:row>
    <x:row r="12">
      <x:c r="A12" s="79" t="str">
        <x:v>每股归母净资产</x:v>
      </x:c>
      <x:c r="B12" s="86" t="n">
        <x:f>'Balance &amp; Cash'!B13</x:f>
        <x:v>26.63</x:v>
      </x:c>
      <x:c r="C12" s="79" t="str">
        <x:v>2026H1报告26.6</x:v>
      </x:c>
      <x:c r="D12" s="79"/>
      <x:c r="E12" s="79"/>
      <x:c r="F12" s="79"/>
      <x:c r="G12" s="79"/>
      <x:c r="H12" s="79"/>
      <x:c r="I12" s="79"/>
      <x:c r="J12" s="79"/>
    </x:row>
    <x:row r="13">
      <x:c r="A13" s="79" t="str">
        <x:v>2025每股股息率</x:v>
      </x:c>
      <x:c r="B13" s="94" t="n">
        <x:f>Historical!D18/B5</x:f>
        <x:v>0.07503607503607504</x:v>
      </x:c>
      <x:c r="C13" s="79" t="str">
        <x:v>0.52/当前价格</x:v>
      </x:c>
      <x:c r="D13" s="79"/>
      <x:c r="E13" s="79"/>
      <x:c r="F13" s="79"/>
      <x:c r="G13" s="79"/>
      <x:c r="H13" s="79"/>
      <x:c r="I13" s="79"/>
      <x:c r="J13" s="79"/>
    </x:row>
    <x:row r="14">
      <x:c r="A14" s="79" t="str">
        <x:v>当前P/B</x:v>
      </x:c>
      <x:c r="B14" s="104" t="n">
        <x:f>B5/B12</x:f>
        <x:v>0.26023282012767557</x:v>
      </x:c>
      <x:c r="C14" s="79" t="str">
        <x:v>价格/NAV</x:v>
      </x:c>
      <x:c r="D14" s="79"/>
      <x:c r="E14" s="79"/>
      <x:c r="F14" s="79"/>
      <x:c r="G14" s="79"/>
      <x:c r="H14" s="79"/>
      <x:c r="I14" s="79"/>
      <x:c r="J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</x:row>
    <x:row r="16">
      <x:c r="A16" s="35" t="str">
        <x:v>情景</x:v>
      </x:c>
      <x:c r="B16" s="36" t="str">
        <x:v>NAV折价</x:v>
      </x:c>
      <x:c r="C16" s="36" t="str">
        <x:v>NAV价值</x:v>
      </x:c>
      <x:c r="D16" s="36" t="str">
        <x:v>正常化基础归母</x:v>
      </x:c>
      <x:c r="E16" s="36" t="str">
        <x:v>P/E</x:v>
      </x:c>
      <x:c r="F16" s="36" t="str">
        <x:v>盈利价值</x:v>
      </x:c>
      <x:c r="G16" s="36" t="str">
        <x:v>NAV权重</x:v>
      </x:c>
      <x:c r="H16" s="36" t="str">
        <x:v>每股价值</x:v>
      </x:c>
      <x:c r="I16" s="37" t="str">
        <x:v>相对现价</x:v>
      </x:c>
      <x:c r="J16" s="79"/>
    </x:row>
    <x:row r="17">
      <x:c r="A17" s="80" t="str">
        <x:v>Bear</x:v>
      </x:c>
      <x:c r="B17" s="105" t="n">
        <x:v>0.8</x:v>
      </x:c>
      <x:c r="C17" s="106" t="n">
        <x:f>$B$12*(1-B17)</x:f>
        <x:v>5.325999999999999</x:v>
      </x:c>
      <x:c r="D17" s="107" t="n">
        <x:v>2700</x:v>
      </x:c>
      <x:c r="E17" s="108" t="n">
        <x:v>8</x:v>
      </x:c>
      <x:c r="F17" s="106" t="n">
        <x:f>D17/$B$8*E17</x:f>
        <x:v>4.100287722504676</x:v>
      </x:c>
      <x:c r="G17" s="105" t="n">
        <x:v>0.6</x:v>
      </x:c>
      <x:c r="H17" s="106" t="n">
        <x:f>C17*G17+F17*(1-G17)</x:f>
        <x:v>4.835715089001869</x:v>
      </x:c>
      <x:c r="I17" s="109" t="n">
        <x:f>H17/$B$5-1</x:f>
        <x:v>-0.3022056148626451</x:v>
      </x:c>
      <x:c r="J17" s="79"/>
    </x:row>
    <x:row r="18">
      <x:c r="A18" s="80" t="str">
        <x:v>Base</x:v>
      </x:c>
      <x:c r="B18" s="105" t="n">
        <x:v>0.7</x:v>
      </x:c>
      <x:c r="C18" s="106" t="n">
        <x:f>$B$12*(1-B18)</x:f>
        <x:v>7.989000000000001</x:v>
      </x:c>
      <x:c r="D18" s="107" t="n">
        <x:v>3300</x:v>
      </x:c>
      <x:c r="E18" s="108" t="n">
        <x:v>12</x:v>
      </x:c>
      <x:c r="F18" s="106" t="n">
        <x:f>D18/$B$8*E18</x:f>
        <x:v>7.517194157925239</x:v>
      </x:c>
      <x:c r="G18" s="105" t="n">
        <x:v>0.6</x:v>
      </x:c>
      <x:c r="H18" s="106" t="n">
        <x:f>C18*G18+F18*(1-G18)</x:f>
        <x:v>7.800277663170096</x:v>
      </x:c>
      <x:c r="I18" s="109" t="n">
        <x:f>H18/$B$5-1</x:f>
        <x:v>0.12558119237663723</x:v>
      </x:c>
      <x:c r="J18" s="79"/>
    </x:row>
    <x:row r="19">
      <x:c r="A19" s="96" t="str">
        <x:v>Bull</x:v>
      </x:c>
      <x:c r="B19" s="110" t="n">
        <x:v>0.55</x:v>
      </x:c>
      <x:c r="C19" s="111" t="n">
        <x:f>$B$12*(1-B19)</x:f>
        <x:v>11.983499999999998</x:v>
      </x:c>
      <x:c r="D19" s="112" t="n">
        <x:v>3900</x:v>
      </x:c>
      <x:c r="E19" s="113" t="n">
        <x:v>15</x:v>
      </x:c>
      <x:c r="F19" s="111" t="n">
        <x:f>D19/$B$8*E19</x:f>
        <x:v>11.104945915116831</x:v>
      </x:c>
      <x:c r="G19" s="110" t="n">
        <x:v>0.6</x:v>
      </x:c>
      <x:c r="H19" s="111" t="n">
        <x:f>C19*G19+F19*(1-G19)</x:f>
        <x:v>11.63207836604673</x:v>
      </x:c>
      <x:c r="I19" s="114" t="n">
        <x:f>H19/$B$5-1</x:f>
        <x:v>0.6785105867311301</x:v>
      </x:c>
      <x:c r="J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</x:row>
    <x:row r="21">
      <x:c r="A21" s="15" t="str">
        <x:v>情景解释</x:v>
      </x:c>
      <x:c r="B21" s="30" t="str">
        <x:v>经营假设</x:v>
      </x:c>
      <x:c r="C21" s="30" t="str">
        <x:v>资产假设</x:v>
      </x:c>
      <x:c r="D21" s="30" t="str">
        <x:v>资本结构</x:v>
      </x:c>
      <x:c r="E21" s="30" t="str">
        <x:v>股东回报</x:v>
      </x:c>
      <x:c r="F21" s="30" t="str">
        <x:v>关键验证</x:v>
      </x:c>
      <x:c r="G21" s="30" t="str">
        <x:v>失败情形</x:v>
      </x:c>
      <x:c r="H21" s="30" t="str">
        <x:v>估值结论</x:v>
      </x:c>
      <x:c r="I21" s="16" t="str">
        <x:v>判断</x:v>
      </x:c>
      <x:c r="J21" s="79"/>
    </x:row>
    <x:row r="22" ht="38" customHeight="1">
      <x:c r="A22" s="115" t="str">
        <x:v>Bear</x:v>
      </x:c>
      <x:c r="B22" s="115" t="str">
        <x:v>写字楼继续降租，商场放缓</x:v>
      </x:c>
      <x:c r="C22" s="115" t="str">
        <x:v>NAV折价80%</x:v>
      </x:c>
      <x:c r="D22" s="115" t="str">
        <x:v>净债务保持高位</x:v>
      </x:c>
      <x:c r="E22" s="115" t="str">
        <x:v>股息进一步稀释</x:v>
      </x:c>
      <x:c r="F22" s="115" t="str">
        <x:v>内地商场租金</x:v>
      </x:c>
      <x:c r="G22" s="115" t="str">
        <x:v>资产继续减值</x:v>
      </x:c>
      <x:c r="H22" s="115" t="str">
        <x:v>4.84港元</x:v>
      </x:c>
      <x:c r="I22" s="115" t="str">
        <x:v>下行30.2%</x:v>
      </x:c>
      <x:c r="J22" s="79"/>
    </x:row>
    <x:row r="23" ht="38" customHeight="1">
      <x:c r="A23" s="115" t="str">
        <x:v>Base</x:v>
      </x:c>
      <x:c r="B23" s="115" t="str">
        <x:v>杭州爬坡，香港企稳</x:v>
      </x:c>
      <x:c r="C23" s="115" t="str">
        <x:v>NAV折价70%</x:v>
      </x:c>
      <x:c r="D23" s="115" t="str">
        <x:v>融资成本缓降</x:v>
      </x:c>
      <x:c r="E23" s="115" t="str">
        <x:v>0.52港元可维持</x:v>
      </x:c>
      <x:c r="F23" s="115" t="str">
        <x:v>基础归母33亿</x:v>
      </x:c>
      <x:c r="G23" s="115" t="str">
        <x:v>期权/以股代息拖累</x:v>
      </x:c>
      <x:c r="H23" s="115" t="str">
        <x:v>7.80港元</x:v>
      </x:c>
      <x:c r="I23" s="115" t="str">
        <x:v>上行12.6%</x:v>
      </x:c>
      <x:c r="J23" s="79"/>
    </x:row>
    <x:row r="24" ht="38" customHeight="1">
      <x:c r="A24" s="115" t="str">
        <x:v>Bull</x:v>
      </x:c>
      <x:c r="B24" s="115" t="str">
        <x:v>商场强、办公室止跌</x:v>
      </x:c>
      <x:c r="C24" s="115" t="str">
        <x:v>NAV折价55%</x:v>
      </x:c>
      <x:c r="D24" s="115" t="str">
        <x:v>净债务率下降</x:v>
      </x:c>
      <x:c r="E24" s="115" t="str">
        <x:v>现金股息提高</x:v>
      </x:c>
      <x:c r="F24" s="115" t="str">
        <x:v>杭州与上海扩建</x:v>
      </x:c>
      <x:c r="G24" s="115" t="str">
        <x:v>消费再次转弱</x:v>
      </x:c>
      <x:c r="H24" s="115" t="str">
        <x:v>11.63港元</x:v>
      </x:c>
      <x:c r="I24" s="115" t="str">
        <x:v>上行67.9%</x:v>
      </x:c>
      <x:c r="J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</x:row>
    <x:row r="26">
      <x:c r="A26" s="23" t="str">
        <x:v>Base P/E敏感性（其余Base假设不变）</x:v>
      </x:c>
      <x:c r="B26" s="23" t="str">
        <x:v>Base P/E敏感性（其余Base假设不变）</x:v>
      </x:c>
      <x:c r="C26" s="23" t="str">
        <x:v>Base P/E敏感性（其余Base假设不变）</x:v>
      </x:c>
      <x:c r="D26" s="23" t="str">
        <x:v>Base P/E敏感性（其余Base假设不变）</x:v>
      </x:c>
      <x:c r="E26" s="23" t="str">
        <x:v>Base P/E敏感性（其余Base假设不变）</x:v>
      </x:c>
      <x:c r="F26" s="23" t="str">
        <x:v>Base P/E敏感性（其余Base假设不变）</x:v>
      </x:c>
      <x:c r="G26" s="23" t="str">
        <x:v>Base P/E敏感性（其余Base假设不变）</x:v>
      </x:c>
      <x:c r="H26" s="23" t="str">
        <x:v>Base P/E敏感性（其余Base假设不变）</x:v>
      </x:c>
      <x:c r="I26" s="23" t="str">
        <x:v>Base P/E敏感性（其余Base假设不变）</x:v>
      </x:c>
      <x:c r="J26" s="79"/>
    </x:row>
    <x:row r="27">
      <x:c r="A27" s="79" t="str">
        <x:v>P/E</x:v>
      </x:c>
      <x:c r="B27" s="79" t="n">
        <x:v>8</x:v>
      </x:c>
      <x:c r="C27" s="79" t="n">
        <x:v>9</x:v>
      </x:c>
      <x:c r="D27" s="79" t="n">
        <x:v>10</x:v>
      </x:c>
      <x:c r="E27" s="79" t="n">
        <x:v>11</x:v>
      </x:c>
      <x:c r="F27" s="79" t="n">
        <x:v>12</x:v>
      </x:c>
      <x:c r="G27" s="79" t="n">
        <x:v>13</x:v>
      </x:c>
      <x:c r="H27" s="79" t="n">
        <x:v>14</x:v>
      </x:c>
      <x:c r="I27" s="79" t="n">
        <x:v>15</x:v>
      </x:c>
      <x:c r="J27" s="79"/>
    </x:row>
    <x:row r="28">
      <x:c r="A28" s="79" t="str">
        <x:v>每股价值</x:v>
      </x:c>
      <x:c r="B28" s="106" t="n">
        <x:f>$C$18*$G$18+($D$18/$B$8*B27)*(1-$G$18)</x:f>
        <x:v>6.797985108780065</x:v>
      </x:c>
      <x:c r="C28" s="106" t="n">
        <x:f>$C$18*$G$18+($D$18/$B$8*C27)*(1-$G$18)</x:f>
        <x:v>7.0485582473775725</x:v>
      </x:c>
      <x:c r="D28" s="106" t="n">
        <x:f>$C$18*$G$18+($D$18/$B$8*D27)*(1-$G$18)</x:f>
        <x:v>7.29913138597508</x:v>
      </x:c>
      <x:c r="E28" s="106" t="n">
        <x:f>$C$18*$G$18+($D$18/$B$8*E27)*(1-$G$18)</x:f>
        <x:v>7.549704524572588</x:v>
      </x:c>
      <x:c r="F28" s="106" t="n">
        <x:f>$C$18*$G$18+($D$18/$B$8*F27)*(1-$G$18)</x:f>
        <x:v>7.800277663170096</x:v>
      </x:c>
      <x:c r="G28" s="106" t="n">
        <x:f>$C$18*$G$18+($D$18/$B$8*G27)*(1-$G$18)</x:f>
        <x:v>8.050850801767604</x:v>
      </x:c>
      <x:c r="H28" s="106" t="n">
        <x:f>$C$18*$G$18+($D$18/$B$8*H27)*(1-$G$18)</x:f>
        <x:v>8.301423940365112</x:v>
      </x:c>
      <x:c r="I28" s="106" t="n">
        <x:f>$C$18*$G$18+($D$18/$B$8*I27)*(1-$G$18)</x:f>
        <x:v>8.55199707896262</x:v>
      </x:c>
      <x:c r="J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</x:row>
  </x:sheetData>
  <x:mergeCells>
    <x:mergeCell ref="A2:I2"/>
    <x:mergeCell ref="A26:I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4" hidden="0" customWidth="1"/>
  </x:cols>
  <x:sheetData>
    <x:row r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8" customHeight="1">
      <x:c r="A2" s="3" t="str">
        <x:v>模型勾稽</x:v>
      </x:c>
      <x:c r="B2" s="3" t="str">
        <x:v>模型勾稽</x:v>
      </x:c>
      <x:c r="C2" s="3" t="str">
        <x:v>模型勾稽</x:v>
      </x:c>
      <x:c r="D2" s="3" t="str">
        <x:v>模型勾稽</x:v>
      </x:c>
      <x:c r="E2" s="3" t="str">
        <x:v>模型勾稽</x:v>
      </x:c>
      <x:c r="F2" s="3" t="str">
        <x:v>模型勾稽</x:v>
      </x:c>
      <x:c r="G2" s="3" t="str">
        <x:v>模型勾稽</x:v>
      </x:c>
      <x:c r="H2" s="79"/>
      <x:c r="I2" s="79"/>
      <x:c r="J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</x:row>
    <x:row r="4">
      <x:c r="A4" s="35" t="str">
        <x:v>检查项</x:v>
      </x:c>
      <x:c r="B4" s="36" t="str">
        <x:v>实际值</x:v>
      </x:c>
      <x:c r="C4" s="36" t="str">
        <x:v>预期值</x:v>
      </x:c>
      <x:c r="D4" s="36" t="str">
        <x:v>差异</x:v>
      </x:c>
      <x:c r="E4" s="36" t="str">
        <x:v>容差</x:v>
      </x:c>
      <x:c r="F4" s="36" t="str">
        <x:v>状态</x:v>
      </x:c>
      <x:c r="G4" s="37" t="str">
        <x:v>说明</x:v>
      </x:c>
      <x:c r="H4" s="79"/>
      <x:c r="I4" s="79"/>
      <x:c r="J4" s="79"/>
    </x:row>
    <x:row r="5">
      <x:c r="A5" s="80" t="str">
        <x:v>TTM收入桥</x:v>
      </x:c>
      <x:c r="B5" s="106" t="n">
        <x:f>Historical!G5</x:f>
        <x:v>11095</x:v>
      </x:c>
      <x:c r="C5" s="106" t="n">
        <x:v>11095</x:v>
      </x:c>
      <x:c r="D5" s="106" t="n">
        <x:f>B5-C5</x:f>
        <x:v>0</x:v>
      </x:c>
      <x:c r="E5" s="106" t="n">
        <x:v>0.01</x:v>
      </x:c>
      <x:c r="F5" s="79" t="str">
        <x:f>IF(ABS(D5)&lt;=E5,"OK","检查")</x:f>
        <x:v>OK</x:v>
      </x:c>
      <x:c r="G5" s="95" t="str">
        <x:v>2025A-2025H1+2026H1</x:v>
      </x:c>
      <x:c r="H5" s="79"/>
      <x:c r="I5" s="79"/>
      <x:c r="J5" s="79"/>
    </x:row>
    <x:row r="6">
      <x:c r="A6" s="80" t="str">
        <x:v>TTM基础利润桥</x:v>
      </x:c>
      <x:c r="B6" s="106" t="n">
        <x:f>Historical!G8</x:f>
        <x:v>3051</x:v>
      </x:c>
      <x:c r="C6" s="106" t="n">
        <x:v>3051</x:v>
      </x:c>
      <x:c r="D6" s="106" t="n">
        <x:f>B6-C6</x:f>
        <x:v>0</x:v>
      </x:c>
      <x:c r="E6" s="106" t="n">
        <x:v>0.01</x:v>
      </x:c>
      <x:c r="F6" s="79" t="str">
        <x:f>IF(ABS(D6)&lt;=E6,"OK","检查")</x:f>
        <x:v>OK</x:v>
      </x:c>
      <x:c r="G6" s="95" t="str">
        <x:v>同口径滚动</x:v>
      </x:c>
      <x:c r="H6" s="79"/>
      <x:c r="I6" s="79"/>
      <x:c r="J6" s="79"/>
    </x:row>
    <x:row r="7">
      <x:c r="A7" s="80" t="str">
        <x:v>TTM经营现金流桥</x:v>
      </x:c>
      <x:c r="B7" s="106" t="n">
        <x:f>Historical!G10</x:f>
        <x:v>7096</x:v>
      </x:c>
      <x:c r="C7" s="106" t="n">
        <x:v>7096</x:v>
      </x:c>
      <x:c r="D7" s="106" t="n">
        <x:f>B7-C7</x:f>
        <x:v>0</x:v>
      </x:c>
      <x:c r="E7" s="106" t="n">
        <x:v>0.01</x:v>
      </x:c>
      <x:c r="F7" s="79" t="str">
        <x:f>IF(ABS(D7)&lt;=E7,"OK","检查")</x:f>
        <x:v>OK</x:v>
      </x:c>
      <x:c r="G7" s="95" t="str">
        <x:v>同口径滚动</x:v>
      </x:c>
      <x:c r="H7" s="79"/>
      <x:c r="I7" s="79"/>
      <x:c r="J7" s="79"/>
    </x:row>
    <x:row r="8">
      <x:c r="A8" s="80" t="str">
        <x:v>2026H1简化自由现金流</x:v>
      </x:c>
      <x:c r="B8" s="106" t="n">
        <x:f>Historical!F12</x:f>
        <x:v>2438</x:v>
      </x:c>
      <x:c r="C8" s="106" t="n">
        <x:v>2438</x:v>
      </x:c>
      <x:c r="D8" s="106" t="n">
        <x:f>B8-C8</x:f>
        <x:v>0</x:v>
      </x:c>
      <x:c r="E8" s="106" t="n">
        <x:v>0.01</x:v>
      </x:c>
      <x:c r="F8" s="79" t="str">
        <x:f>IF(ABS(D8)&lt;=E8,"OK","检查")</x:f>
        <x:v>OK</x:v>
      </x:c>
      <x:c r="G8" s="95" t="str">
        <x:v>CFO-资本现金支出</x:v>
      </x:c>
      <x:c r="H8" s="79"/>
      <x:c r="I8" s="79"/>
      <x:c r="J8" s="79"/>
    </x:row>
    <x:row r="9">
      <x:c r="A9" s="80" t="str">
        <x:v>内地商场收入合计</x:v>
      </x:c>
      <x:c r="B9" s="106" t="n">
        <x:f>SUM('Leasing Ops'!B5:B15)</x:f>
        <x:v>2567</x:v>
      </x:c>
      <x:c r="C9" s="106" t="n">
        <x:v>2567</x:v>
      </x:c>
      <x:c r="D9" s="106" t="n">
        <x:f>B9-C9</x:f>
        <x:v>0</x:v>
      </x:c>
      <x:c r="E9" s="106" t="n">
        <x:v>0.01</x:v>
      </x:c>
      <x:c r="F9" s="79" t="str">
        <x:f>IF(ABS(D9)&lt;=E9,"OK","检查")</x:f>
        <x:v>OK</x:v>
      </x:c>
      <x:c r="G9" s="95" t="str">
        <x:v>11座商场求和</x:v>
      </x:c>
      <x:c r="H9" s="79"/>
      <x:c r="I9" s="79"/>
      <x:c r="J9" s="79"/>
    </x:row>
    <x:row r="10">
      <x:c r="A10" s="80" t="str">
        <x:v>净债务</x:v>
      </x:c>
      <x:c r="B10" s="106" t="n">
        <x:f>'Balance &amp; Cash'!B10</x:f>
        <x:v>47053</x:v>
      </x:c>
      <x:c r="C10" s="106" t="n">
        <x:v>47053</x:v>
      </x:c>
      <x:c r="D10" s="106" t="n">
        <x:f>B10-C10</x:f>
        <x:v>0</x:v>
      </x:c>
      <x:c r="E10" s="106" t="n">
        <x:v>0.01</x:v>
      </x:c>
      <x:c r="F10" s="79" t="str">
        <x:f>IF(ABS(D10)&lt;=E10,"OK","检查")</x:f>
        <x:v>OK</x:v>
      </x:c>
      <x:c r="G10" s="95" t="str">
        <x:v>借款-现金</x:v>
      </x:c>
      <x:c r="H10" s="79"/>
      <x:c r="I10" s="79"/>
      <x:c r="J10" s="79"/>
    </x:row>
    <x:row r="11">
      <x:c r="A11" s="80" t="str">
        <x:v>净债务/权益</x:v>
      </x:c>
      <x:c r="B11" s="106" t="n">
        <x:f>'Balance &amp; Cash'!B11</x:f>
        <x:v>0.316</x:v>
      </x:c>
      <x:c r="C11" s="106" t="n">
        <x:v>0.316</x:v>
      </x:c>
      <x:c r="D11" s="106" t="n">
        <x:f>B11-C11</x:f>
        <x:v>0</x:v>
      </x:c>
      <x:c r="E11" s="106" t="n">
        <x:v>0.0001</x:v>
      </x:c>
      <x:c r="F11" s="79" t="str">
        <x:f>IF(ABS(D11)&lt;=E11,"OK","检查")</x:f>
        <x:v>OK</x:v>
      </x:c>
      <x:c r="G11" s="95" t="str">
        <x:v>公司口径</x:v>
      </x:c>
      <x:c r="H11" s="79"/>
      <x:c r="I11" s="79"/>
      <x:c r="J11" s="79"/>
    </x:row>
    <x:row r="12">
      <x:c r="A12" s="80" t="str">
        <x:v>当前市值</x:v>
      </x:c>
      <x:c r="B12" s="106" t="n">
        <x:f>Valuation!B9</x:f>
        <x:v>36057.36519</x:v>
      </x:c>
      <x:c r="C12" s="106" t="n">
        <x:v>36057.373</x:v>
      </x:c>
      <x:c r="D12" s="106" t="n">
        <x:f>B12-C12</x:f>
        <x:v>-0.007810000002791639</x:v>
      </x:c>
      <x:c r="E12" s="106" t="n">
        <x:v>0.01</x:v>
      </x:c>
      <x:c r="F12" s="79" t="str">
        <x:f>IF(ABS(D12)&lt;=E12,"OK","检查")</x:f>
        <x:v>OK</x:v>
      </x:c>
      <x:c r="G12" s="95" t="str">
        <x:v>价格×当前股数</x:v>
      </x:c>
      <x:c r="H12" s="79"/>
      <x:c r="I12" s="79"/>
      <x:c r="J12" s="79"/>
    </x:row>
    <x:row r="13">
      <x:c r="A13" s="80" t="str">
        <x:v>Base盈利价值</x:v>
      </x:c>
      <x:c r="B13" s="106" t="n">
        <x:f>Valuation!F18</x:f>
        <x:v>7.517194157925239</x:v>
      </x:c>
      <x:c r="C13" s="106" t="n">
        <x:v>7.517194</x:v>
      </x:c>
      <x:c r="D13" s="106" t="n">
        <x:f>B13-C13</x:f>
        <x:v>1.579252391081809e-7</x:v>
      </x:c>
      <x:c r="E13" s="106" t="n">
        <x:v>0.0001</x:v>
      </x:c>
      <x:c r="F13" s="79" t="str">
        <x:f>IF(ABS(D13)&lt;=E13,"OK","检查")</x:f>
        <x:v>OK</x:v>
      </x:c>
      <x:c r="G13" s="95" t="str">
        <x:v>正常化利润/稀释股本×P/E</x:v>
      </x:c>
      <x:c r="H13" s="79"/>
      <x:c r="I13" s="79"/>
      <x:c r="J13" s="79"/>
    </x:row>
    <x:row r="14">
      <x:c r="A14" s="80" t="str">
        <x:v>Base每股价值</x:v>
      </x:c>
      <x:c r="B14" s="106" t="n">
        <x:f>Valuation!H18</x:f>
        <x:v>7.800277663170096</x:v>
      </x:c>
      <x:c r="C14" s="106" t="n">
        <x:v>7.800278</x:v>
      </x:c>
      <x:c r="D14" s="106" t="n">
        <x:f>B14-C14</x:f>
        <x:v>-3.368299035244604e-7</x:v>
      </x:c>
      <x:c r="E14" s="106" t="n">
        <x:v>0.0001</x:v>
      </x:c>
      <x:c r="F14" s="79" t="str">
        <x:f>IF(ABS(D14)&lt;=E14,"OK","检查")</x:f>
        <x:v>OK</x:v>
      </x:c>
      <x:c r="G14" s="95" t="str">
        <x:v>60%NAV+40%P/E</x:v>
      </x:c>
      <x:c r="H14" s="79"/>
      <x:c r="I14" s="79"/>
      <x:c r="J14" s="79"/>
    </x:row>
    <x:row r="15">
      <x:c r="A15" s="80" t="str">
        <x:v>情景价值递增</x:v>
      </x:c>
      <x:c r="B15" s="106" t="n">
        <x:f>Valuation!H19-Valuation!H17</x:f>
        <x:v>6.796363277044861</x:v>
      </x:c>
      <x:c r="C15" s="106" t="n">
        <x:v>6.796363</x:v>
      </x:c>
      <x:c r="D15" s="106" t="n">
        <x:f>B15-C15</x:f>
        <x:v>2.770448608302445e-7</x:v>
      </x:c>
      <x:c r="E15" s="106" t="n">
        <x:v>0.0001</x:v>
      </x:c>
      <x:c r="F15" s="79" t="str">
        <x:f>IF(B15&gt;0,"OK","检查")</x:f>
        <x:v>OK</x:v>
      </x:c>
      <x:c r="G15" s="95" t="str">
        <x:v>Bull高于Bear</x:v>
      </x:c>
      <x:c r="H15" s="79"/>
      <x:c r="I15" s="79"/>
      <x:c r="J15" s="79"/>
    </x:row>
    <x:row r="16">
      <x:c r="A16" s="96" t="str">
        <x:v>以股代息比例</x:v>
      </x:c>
      <x:c r="B16" s="111" t="n">
        <x:f>'Balance &amp; Cash'!B20</x:f>
        <x:v>0.656</x:v>
      </x:c>
      <x:c r="C16" s="111" t="n">
        <x:v>0.656</x:v>
      </x:c>
      <x:c r="D16" s="111" t="n">
        <x:f>B16-C16</x:f>
        <x:v>0</x:v>
      </x:c>
      <x:c r="E16" s="111" t="n">
        <x:v>0.0001</x:v>
      </x:c>
      <x:c r="F16" s="116" t="str">
        <x:f>IF(ABS(D16)&lt;=E16,"OK","检查")</x:f>
        <x:v>OK</x:v>
      </x:c>
      <x:c r="G16" s="99" t="str">
        <x:v>1,327/2,023</x:v>
      </x:c>
      <x:c r="H16" s="79"/>
      <x:c r="I16" s="79"/>
      <x:c r="J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</x:row>
  </x:sheetData>
  <x:mergeCells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37" hidden="0" customWidth="1"/>
    <x:col min="5" max="5" width="32" hidden="0" customWidth="1"/>
    <x:col min="6" max="6" width="70" hidden="0" customWidth="1"/>
  </x:cols>
  <x:sheetData>
    <x:row r="1">
      <x:c r="A1" s="79"/>
      <x:c r="B1" s="79"/>
      <x:c r="C1" s="79"/>
      <x:c r="D1" s="79"/>
      <x:c r="E1" s="79"/>
      <x:c r="F1" s="79"/>
      <x:c r="G1" s="79"/>
      <x:c r="H1" s="79"/>
      <x:c r="I1" s="79"/>
      <x:c r="J1" s="79"/>
    </x:row>
    <x:row r="2" ht="28" customHeight="1">
      <x:c r="A2" s="3" t="str">
        <x:v>来源与口径审计</x:v>
      </x:c>
      <x:c r="B2" s="3" t="str">
        <x:v>来源与口径审计</x:v>
      </x:c>
      <x:c r="C2" s="3" t="str">
        <x:v>来源与口径审计</x:v>
      </x:c>
      <x:c r="D2" s="3" t="str">
        <x:v>来源与口径审计</x:v>
      </x:c>
      <x:c r="E2" s="3" t="str">
        <x:v>来源与口径审计</x:v>
      </x:c>
      <x:c r="F2" s="3" t="str">
        <x:v>来源与口径审计</x:v>
      </x:c>
      <x:c r="G2" s="79"/>
      <x:c r="H2" s="79"/>
      <x:c r="I2" s="79"/>
      <x:c r="J2" s="79"/>
    </x:row>
    <x:row r="3">
      <x:c r="A3" s="79"/>
      <x:c r="B3" s="79"/>
      <x:c r="C3" s="79"/>
      <x:c r="D3" s="79"/>
      <x:c r="E3" s="79"/>
      <x:c r="F3" s="79"/>
      <x:c r="G3" s="79"/>
      <x:c r="H3" s="79"/>
      <x:c r="I3" s="79"/>
      <x:c r="J3" s="79"/>
    </x:row>
    <x:row r="4">
      <x:c r="A4" s="35" t="str">
        <x:v>来源</x:v>
      </x:c>
      <x:c r="B4" s="36" t="str">
        <x:v>日期</x:v>
      </x:c>
      <x:c r="C4" s="36" t="str">
        <x:v>覆盖期</x:v>
      </x:c>
      <x:c r="D4" s="36" t="str">
        <x:v>本地文件</x:v>
      </x:c>
      <x:c r="E4" s="36" t="str">
        <x:v>主要用途</x:v>
      </x:c>
      <x:c r="F4" s="37" t="str">
        <x:v>原始链接</x:v>
      </x:c>
      <x:c r="G4" s="79"/>
      <x:c r="H4" s="79"/>
      <x:c r="I4" s="79"/>
      <x:c r="J4" s="79"/>
    </x:row>
    <x:row r="5" ht="42" customHeight="1">
      <x:c r="A5" s="117" t="str">
        <x:v>2026中期报告</x:v>
      </x:c>
      <x:c r="B5" s="115" t="str">
        <x:v>2026-09-10</x:v>
      </x:c>
      <x:c r="C5" s="115" t="str">
        <x:v>2026H1</x:v>
      </x:c>
      <x:c r="D5" s="115" t="str">
        <x:v>source-documents/2026-interim-report.pdf</x:v>
      </x:c>
      <x:c r="E5" s="115" t="str">
        <x:v>财务报表、项目运营、债务与股本</x:v>
      </x:c>
      <x:c r="F5" s="118" t="str">
        <x:v>https://www.hanglung.com/getmedia/00eb858e-340b-48dc-bcb3-92582160b0a6/HLP_IR2026_E.pdf</x:v>
      </x:c>
      <x:c r="G5" s="79"/>
      <x:c r="H5" s="79"/>
      <x:c r="I5" s="79"/>
      <x:c r="J5" s="79"/>
    </x:row>
    <x:row r="6" ht="42" customHeight="1">
      <x:c r="A6" s="117" t="str">
        <x:v>2026中期业绩公告</x:v>
      </x:c>
      <x:c r="B6" s="115" t="str">
        <x:v>2026-07-31</x:v>
      </x:c>
      <x:c r="C6" s="115" t="str">
        <x:v>2026H1</x:v>
      </x:c>
      <x:c r="D6" s="115" t="str">
        <x:v>source-documents/2026-interim-results.pdf</x:v>
      </x:c>
      <x:c r="E6" s="115" t="str">
        <x:v>及时业绩与运营披露</x:v>
      </x:c>
      <x:c r="F6" s="118" t="str">
        <x:v>https://www.hanglung.com/getmedia/f0d00a11-cccc-45fb-ad46-68cfb0a5bc79/HLP_2026-interim-results_en.pdf</x:v>
      </x:c>
      <x:c r="G6" s="79"/>
      <x:c r="H6" s="79"/>
      <x:c r="I6" s="79"/>
      <x:c r="J6" s="79"/>
    </x:row>
    <x:row r="7" ht="42" customHeight="1">
      <x:c r="A7" s="117" t="str">
        <x:v>2025年报</x:v>
      </x:c>
      <x:c r="B7" s="115" t="str">
        <x:v>2026-03-26</x:v>
      </x:c>
      <x:c r="C7" s="115" t="str">
        <x:v>2025A</x:v>
      </x:c>
      <x:c r="D7" s="115" t="str">
        <x:v>source-documents/2025-annual-report.pdf</x:v>
      </x:c>
      <x:c r="E7" s="115" t="str">
        <x:v>审计财务、十年数据、物业组合</x:v>
      </x:c>
      <x:c r="F7" s="118" t="str">
        <x:v>https://www.hanglung.com/getmedia/8c6ddfa3-9447-4571-9d74-014e424e47fc/e_HLP_2025-Annual-Report.pdf</x:v>
      </x:c>
      <x:c r="G7" s="79"/>
      <x:c r="H7" s="79"/>
      <x:c r="I7" s="79"/>
      <x:c r="J7" s="79"/>
    </x:row>
    <x:row r="8" ht="42" customHeight="1">
      <x:c r="A8" s="117" t="str">
        <x:v>行政总裁委任</x:v>
      </x:c>
      <x:c r="B8" s="115" t="str">
        <x:v>2026-08-07</x:v>
      </x:c>
      <x:c r="C8" s="115" t="str">
        <x:v>治理</x:v>
      </x:c>
      <x:c r="D8" s="115" t="str">
        <x:v>source-documents/2026-ceo-appointment.pdf</x:v>
      </x:c>
      <x:c r="E8" s="115" t="str">
        <x:v>管理层交接与薪酬</x:v>
      </x:c>
      <x:c r="F8" s="118" t="str">
        <x:v>https://www.hanglung.com/getmedia/8a1fd8d8-3059-4648-9af1-ecef76f784a2/e_2nd-Joint-Announcement-(20260807).pdf</x:v>
      </x:c>
      <x:c r="G8" s="79"/>
      <x:c r="H8" s="79"/>
      <x:c r="I8" s="79"/>
      <x:c r="J8" s="79"/>
    </x:row>
    <x:row r="9" ht="42" customHeight="1">
      <x:c r="A9" s="117" t="str">
        <x:v>员工期权授予</x:v>
      </x:c>
      <x:c r="B9" s="115" t="str">
        <x:v>2026-08-20</x:v>
      </x:c>
      <x:c r="C9" s="115" t="str">
        <x:v>股份</x:v>
      </x:c>
      <x:c r="D9" s="115" t="str">
        <x:v>source-documents/2026-08-20-share-options.pdf</x:v>
      </x:c>
      <x:c r="E9" s="115" t="str">
        <x:v>48.24百万份期权及条款</x:v>
      </x:c>
      <x:c r="F9" s="118" t="str">
        <x:v>https://www.hanglung.com/getmedia/043cbb4b-ef48-40a4-8243-662356d5a72c/e_HLP-Announcement-Grant-of-share-options-%2820260820%29-final.pdf</x:v>
      </x:c>
      <x:c r="G9" s="79"/>
      <x:c r="H9" s="79"/>
      <x:c r="I9" s="79"/>
      <x:c r="J9" s="79"/>
    </x:row>
    <x:row r="10" ht="42" customHeight="1">
      <x:c r="A10" s="119" t="str">
        <x:v>CEO期权授予</x:v>
      </x:c>
      <x:c r="B10" s="120" t="str">
        <x:v>2026-09-07</x:v>
      </x:c>
      <x:c r="C10" s="120" t="str">
        <x:v>股份</x:v>
      </x:c>
      <x:c r="D10" s="120" t="str">
        <x:v>source-documents/2026-09-07-share-options.pdf</x:v>
      </x:c>
      <x:c r="E10" s="120" t="str">
        <x:v>10百万份期权及条款</x:v>
      </x:c>
      <x:c r="F10" s="121" t="str">
        <x:v>https://www.hanglung.com/getmedia/4c958e08-9c3a-4377-ba1c-0facca84e8d3/e_HLP_Grant-of-share-options.pdf</x:v>
      </x:c>
      <x:c r="G10" s="79"/>
      <x:c r="H10" s="79"/>
      <x:c r="I10" s="79"/>
      <x:c r="J10" s="79"/>
    </x:row>
    <x:row r="11">
      <x:c r="A11" s="115"/>
      <x:c r="B11" s="115"/>
      <x:c r="C11" s="115"/>
      <x:c r="D11" s="115"/>
      <x:c r="E11" s="115"/>
      <x:c r="F11" s="115"/>
      <x:c r="G11" s="79"/>
      <x:c r="H11" s="79"/>
      <x:c r="I11" s="79"/>
      <x:c r="J11" s="79"/>
    </x:row>
    <x:row r="12">
      <x:c r="A12" s="122" t="str">
        <x:v>市场价格采用StockAnalysis 2026-09-10收盘6.93港元；二级行情仅作固定日期估值输入。财务口径为HKFRS、港元；内地单项运营增速按公司披露的人民币口径。</x:v>
      </x:c>
      <x:c r="B12" s="122" t="str">
        <x:v>市场价格采用StockAnalysis 2026-09-10收盘6.93港元；二级行情仅作固定日期估值输入。财务口径为HKFRS、港元；内地单项运营增速按公司披露的人民币口径。</x:v>
      </x:c>
      <x:c r="C12" s="122" t="str">
        <x:v>市场价格采用StockAnalysis 2026-09-10收盘6.93港元；二级行情仅作固定日期估值输入。财务口径为HKFRS、港元；内地单项运营增速按公司披露的人民币口径。</x:v>
      </x:c>
      <x:c r="D12" s="122" t="str">
        <x:v>市场价格采用StockAnalysis 2026-09-10收盘6.93港元；二级行情仅作固定日期估值输入。财务口径为HKFRS、港元；内地单项运营增速按公司披露的人民币口径。</x:v>
      </x:c>
      <x:c r="E12" s="122" t="str">
        <x:v>市场价格采用StockAnalysis 2026-09-10收盘6.93港元；二级行情仅作固定日期估值输入。财务口径为HKFRS、港元；内地单项运营增速按公司披露的人民币口径。</x:v>
      </x:c>
      <x:c r="F12" s="122" t="str">
        <x:v>市场价格采用StockAnalysis 2026-09-10收盘6.93港元；二级行情仅作固定日期估值输入。财务口径为HKFRS、港元；内地单项运营增速按公司披露的人民币口径。</x:v>
      </x:c>
      <x:c r="G12" s="79"/>
      <x:c r="H12" s="79"/>
      <x:c r="I12" s="79"/>
      <x:c r="J12" s="79"/>
    </x:row>
    <x:row r="13">
      <x:c r="A13" s="79"/>
      <x:c r="B13" s="79"/>
      <x:c r="C13" s="79"/>
      <x:c r="D13" s="79"/>
      <x:c r="E13" s="79"/>
      <x:c r="F13" s="79"/>
      <x:c r="G13" s="79"/>
      <x:c r="H13" s="79"/>
      <x:c r="I13" s="79"/>
      <x:c r="J13" s="79"/>
    </x:row>
    <x:row r="14">
      <x:c r="A14" s="79"/>
      <x:c r="B14" s="79"/>
      <x:c r="C14" s="79"/>
      <x:c r="D14" s="79"/>
      <x:c r="E14" s="79"/>
      <x:c r="F14" s="79"/>
      <x:c r="G14" s="79"/>
      <x:c r="H14" s="79"/>
      <x:c r="I14" s="79"/>
      <x:c r="J14" s="79"/>
    </x:row>
    <x:row r="15">
      <x:c r="A15" s="79"/>
      <x:c r="B15" s="79"/>
      <x:c r="C15" s="79"/>
      <x:c r="D15" s="79"/>
      <x:c r="E15" s="79"/>
      <x:c r="F15" s="79"/>
      <x:c r="G15" s="79"/>
      <x:c r="H15" s="79"/>
      <x:c r="I15" s="79"/>
      <x:c r="J15" s="79"/>
    </x:row>
    <x:row r="16">
      <x:c r="A16" s="79"/>
      <x:c r="B16" s="79"/>
      <x:c r="C16" s="79"/>
      <x:c r="D16" s="79"/>
      <x:c r="E16" s="79"/>
      <x:c r="F16" s="79"/>
      <x:c r="G16" s="79"/>
      <x:c r="H16" s="79"/>
      <x:c r="I16" s="79"/>
      <x:c r="J16" s="79"/>
    </x:row>
    <x:row r="17">
      <x:c r="A17" s="79"/>
      <x:c r="B17" s="79"/>
      <x:c r="C17" s="79"/>
      <x:c r="D17" s="79"/>
      <x:c r="E17" s="79"/>
      <x:c r="F17" s="79"/>
      <x:c r="G17" s="79"/>
      <x:c r="H17" s="79"/>
      <x:c r="I17" s="79"/>
      <x:c r="J17" s="79"/>
    </x:row>
    <x:row r="18">
      <x:c r="A18" s="79"/>
      <x:c r="B18" s="79"/>
      <x:c r="C18" s="79"/>
      <x:c r="D18" s="79"/>
      <x:c r="E18" s="79"/>
      <x:c r="F18" s="79"/>
      <x:c r="G18" s="79"/>
      <x:c r="H18" s="79"/>
      <x:c r="I18" s="79"/>
      <x:c r="J18" s="79"/>
    </x:row>
    <x:row r="19">
      <x:c r="A19" s="79"/>
      <x:c r="B19" s="79"/>
      <x:c r="C19" s="79"/>
      <x:c r="D19" s="79"/>
      <x:c r="E19" s="79"/>
      <x:c r="F19" s="79"/>
      <x:c r="G19" s="79"/>
      <x:c r="H19" s="79"/>
      <x:c r="I19" s="79"/>
      <x:c r="J19" s="79"/>
    </x:row>
    <x:row r="20">
      <x:c r="A20" s="79"/>
      <x:c r="B20" s="79"/>
      <x:c r="C20" s="79"/>
      <x:c r="D20" s="79"/>
      <x:c r="E20" s="79"/>
      <x:c r="F20" s="79"/>
      <x:c r="G20" s="79"/>
      <x:c r="H20" s="79"/>
      <x:c r="I20" s="79"/>
      <x:c r="J20" s="79"/>
    </x:row>
    <x:row r="21">
      <x:c r="A21" s="79"/>
      <x:c r="B21" s="79"/>
      <x:c r="C21" s="79"/>
      <x:c r="D21" s="79"/>
      <x:c r="E21" s="79"/>
      <x:c r="F21" s="79"/>
      <x:c r="G21" s="79"/>
      <x:c r="H21" s="79"/>
      <x:c r="I21" s="79"/>
      <x:c r="J21" s="79"/>
    </x:row>
    <x:row r="22">
      <x:c r="A22" s="79"/>
      <x:c r="B22" s="79"/>
      <x:c r="C22" s="79"/>
      <x:c r="D22" s="79"/>
      <x:c r="E22" s="79"/>
      <x:c r="F22" s="79"/>
      <x:c r="G22" s="79"/>
      <x:c r="H22" s="79"/>
      <x:c r="I22" s="79"/>
      <x:c r="J22" s="79"/>
    </x:row>
    <x:row r="23">
      <x:c r="A23" s="79"/>
      <x:c r="B23" s="79"/>
      <x:c r="C23" s="79"/>
      <x:c r="D23" s="79"/>
      <x:c r="E23" s="79"/>
      <x:c r="F23" s="79"/>
      <x:c r="G23" s="79"/>
      <x:c r="H23" s="79"/>
      <x:c r="I23" s="79"/>
      <x:c r="J23" s="79"/>
    </x:row>
    <x:row r="24">
      <x:c r="A24" s="79"/>
      <x:c r="B24" s="79"/>
      <x:c r="C24" s="79"/>
      <x:c r="D24" s="79"/>
      <x:c r="E24" s="79"/>
      <x:c r="F24" s="79"/>
      <x:c r="G24" s="79"/>
      <x:c r="H24" s="79"/>
      <x:c r="I24" s="79"/>
      <x:c r="J24" s="79"/>
    </x:row>
    <x:row r="25">
      <x:c r="A25" s="79"/>
      <x:c r="B25" s="79"/>
      <x:c r="C25" s="79"/>
      <x:c r="D25" s="79"/>
      <x:c r="E25" s="79"/>
      <x:c r="F25" s="79"/>
      <x:c r="G25" s="79"/>
      <x:c r="H25" s="79"/>
      <x:c r="I25" s="79"/>
      <x:c r="J25" s="79"/>
    </x:row>
    <x:row r="26">
      <x:c r="A26" s="79"/>
      <x:c r="B26" s="79"/>
      <x:c r="C26" s="79"/>
      <x:c r="D26" s="79"/>
      <x:c r="E26" s="79"/>
      <x:c r="F26" s="79"/>
      <x:c r="G26" s="79"/>
      <x:c r="H26" s="79"/>
      <x:c r="I26" s="79"/>
      <x:c r="J26" s="79"/>
    </x:row>
    <x:row r="27">
      <x:c r="A27" s="79"/>
      <x:c r="B27" s="79"/>
      <x:c r="C27" s="79"/>
      <x:c r="D27" s="79"/>
      <x:c r="E27" s="79"/>
      <x:c r="F27" s="79"/>
      <x:c r="G27" s="79"/>
      <x:c r="H27" s="79"/>
      <x:c r="I27" s="79"/>
      <x:c r="J27" s="79"/>
    </x:row>
    <x:row r="28">
      <x:c r="A28" s="79"/>
      <x:c r="B28" s="79"/>
      <x:c r="C28" s="79"/>
      <x:c r="D28" s="79"/>
      <x:c r="E28" s="79"/>
      <x:c r="F28" s="79"/>
      <x:c r="G28" s="79"/>
      <x:c r="H28" s="79"/>
      <x:c r="I28" s="79"/>
      <x:c r="J28" s="79"/>
    </x:row>
    <x:row r="29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</x:row>
    <x:row r="30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</x:row>
    <x:row r="31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</x:row>
    <x:row r="32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</x:row>
    <x:row r="33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</x:row>
    <x:row r="34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</x:row>
    <x:row r="3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</x:row>
    <x:row r="36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</x:row>
    <x:row r="37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</x:row>
    <x:row r="38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</x:row>
    <x:row r="39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</x:row>
    <x:row r="40">
      <x:c r="A40" s="79"/>
      <x:c r="B40" s="79"/>
      <x:c r="C40" s="79"/>
      <x:c r="D40" s="79"/>
      <x:c r="E40" s="79"/>
      <x:c r="F40" s="79"/>
      <x:c r="G40" s="79"/>
      <x:c r="H40" s="79"/>
      <x:c r="I40" s="79"/>
      <x:c r="J40" s="79"/>
    </x:row>
    <x:row r="41">
      <x:c r="A41" s="79"/>
      <x:c r="B41" s="79"/>
      <x:c r="C41" s="79"/>
      <x:c r="D41" s="79"/>
      <x:c r="E41" s="79"/>
      <x:c r="F41" s="79"/>
      <x:c r="G41" s="79"/>
      <x:c r="H41" s="79"/>
      <x:c r="I41" s="79"/>
      <x:c r="J41" s="79"/>
    </x:row>
    <x:row r="42">
      <x:c r="A42" s="79"/>
      <x:c r="B42" s="79"/>
      <x:c r="C42" s="79"/>
      <x:c r="D42" s="79"/>
      <x:c r="E42" s="79"/>
      <x:c r="F42" s="79"/>
      <x:c r="G42" s="79"/>
      <x:c r="H42" s="79"/>
      <x:c r="I42" s="79"/>
      <x:c r="J42" s="79"/>
    </x:row>
    <x:row r="43">
      <x:c r="A43" s="79"/>
      <x:c r="B43" s="79"/>
      <x:c r="C43" s="79"/>
      <x:c r="D43" s="79"/>
      <x:c r="E43" s="79"/>
      <x:c r="F43" s="79"/>
      <x:c r="G43" s="79"/>
      <x:c r="H43" s="79"/>
      <x:c r="I43" s="79"/>
      <x:c r="J43" s="79"/>
    </x:row>
    <x:row r="44">
      <x:c r="A44" s="79"/>
      <x:c r="B44" s="79"/>
      <x:c r="C44" s="79"/>
      <x:c r="D44" s="79"/>
      <x:c r="E44" s="79"/>
      <x:c r="F44" s="79"/>
      <x:c r="G44" s="79"/>
      <x:c r="H44" s="79"/>
      <x:c r="I44" s="79"/>
      <x:c r="J44" s="79"/>
    </x:row>
    <x:row r="45">
      <x:c r="A45" s="79"/>
      <x:c r="B45" s="79"/>
      <x:c r="C45" s="79"/>
      <x:c r="D45" s="79"/>
      <x:c r="E45" s="79"/>
      <x:c r="F45" s="79"/>
      <x:c r="G45" s="79"/>
      <x:c r="H45" s="79"/>
      <x:c r="I45" s="79"/>
      <x:c r="J45" s="79"/>
    </x:row>
    <x:row r="46">
      <x:c r="A46" s="79"/>
      <x:c r="B46" s="79"/>
      <x:c r="C46" s="79"/>
      <x:c r="D46" s="79"/>
      <x:c r="E46" s="79"/>
      <x:c r="F46" s="79"/>
      <x:c r="G46" s="79"/>
      <x:c r="H46" s="79"/>
      <x:c r="I46" s="79"/>
      <x:c r="J46" s="79"/>
    </x:row>
    <x:row r="47">
      <x:c r="A47" s="79"/>
      <x:c r="B47" s="79"/>
      <x:c r="C47" s="79"/>
      <x:c r="D47" s="79"/>
      <x:c r="E47" s="79"/>
      <x:c r="F47" s="79"/>
      <x:c r="G47" s="79"/>
      <x:c r="H47" s="79"/>
      <x:c r="I47" s="79"/>
      <x:c r="J47" s="79"/>
    </x:row>
    <x:row r="48">
      <x:c r="A48" s="79"/>
      <x:c r="B48" s="79"/>
      <x:c r="C48" s="79"/>
      <x:c r="D48" s="79"/>
      <x:c r="E48" s="79"/>
      <x:c r="F48" s="79"/>
      <x:c r="G48" s="79"/>
      <x:c r="H48" s="79"/>
      <x:c r="I48" s="79"/>
      <x:c r="J48" s="79"/>
    </x:row>
    <x:row r="49">
      <x:c r="A49" s="79"/>
      <x:c r="B49" s="79"/>
      <x:c r="C49" s="79"/>
      <x:c r="D49" s="79"/>
      <x:c r="E49" s="79"/>
      <x:c r="F49" s="79"/>
      <x:c r="G49" s="79"/>
      <x:c r="H49" s="79"/>
      <x:c r="I49" s="79"/>
      <x:c r="J49" s="79"/>
    </x:row>
    <x:row r="50">
      <x:c r="A50" s="79"/>
      <x:c r="B50" s="79"/>
      <x:c r="C50" s="79"/>
      <x:c r="D50" s="79"/>
      <x:c r="E50" s="79"/>
      <x:c r="F50" s="79"/>
      <x:c r="G50" s="79"/>
      <x:c r="H50" s="79"/>
      <x:c r="I50" s="79"/>
      <x:c r="J50" s="79"/>
    </x:row>
    <x:row r="51">
      <x:c r="A51" s="79"/>
      <x:c r="B51" s="79"/>
      <x:c r="C51" s="79"/>
      <x:c r="D51" s="79"/>
      <x:c r="E51" s="79"/>
      <x:c r="F51" s="79"/>
      <x:c r="G51" s="79"/>
      <x:c r="H51" s="79"/>
      <x:c r="I51" s="79"/>
      <x:c r="J51" s="79"/>
    </x:row>
    <x:row r="52">
      <x:c r="A52" s="79"/>
      <x:c r="B52" s="79"/>
      <x:c r="C52" s="79"/>
      <x:c r="D52" s="79"/>
      <x:c r="E52" s="79"/>
      <x:c r="F52" s="79"/>
      <x:c r="G52" s="79"/>
      <x:c r="H52" s="79"/>
      <x:c r="I52" s="79"/>
      <x:c r="J52" s="79"/>
    </x:row>
    <x:row r="53">
      <x:c r="A53" s="79"/>
      <x:c r="B53" s="79"/>
      <x:c r="C53" s="79"/>
      <x:c r="D53" s="79"/>
      <x:c r="E53" s="79"/>
      <x:c r="F53" s="79"/>
      <x:c r="G53" s="79"/>
      <x:c r="H53" s="79"/>
      <x:c r="I53" s="79"/>
      <x:c r="J53" s="79"/>
    </x:row>
    <x:row r="54">
      <x:c r="A54" s="79"/>
      <x:c r="B54" s="79"/>
      <x:c r="C54" s="79"/>
      <x:c r="D54" s="79"/>
      <x:c r="E54" s="79"/>
      <x:c r="F54" s="79"/>
      <x:c r="G54" s="79"/>
      <x:c r="H54" s="79"/>
      <x:c r="I54" s="79"/>
      <x:c r="J54" s="79"/>
    </x:row>
    <x:row r="55">
      <x:c r="A55" s="79"/>
      <x:c r="B55" s="79"/>
      <x:c r="C55" s="79"/>
      <x:c r="D55" s="79"/>
      <x:c r="E55" s="79"/>
      <x:c r="F55" s="79"/>
      <x:c r="G55" s="79"/>
      <x:c r="H55" s="79"/>
      <x:c r="I55" s="79"/>
      <x:c r="J55" s="79"/>
    </x:row>
    <x:row r="56">
      <x:c r="A56" s="79"/>
      <x:c r="B56" s="79"/>
      <x:c r="C56" s="79"/>
      <x:c r="D56" s="79"/>
      <x:c r="E56" s="79"/>
      <x:c r="F56" s="79"/>
      <x:c r="G56" s="79"/>
      <x:c r="H56" s="79"/>
      <x:c r="I56" s="79"/>
      <x:c r="J56" s="79"/>
    </x:row>
    <x:row r="57">
      <x:c r="A57" s="79"/>
      <x:c r="B57" s="79"/>
      <x:c r="C57" s="79"/>
      <x:c r="D57" s="79"/>
      <x:c r="E57" s="79"/>
      <x:c r="F57" s="79"/>
      <x:c r="G57" s="79"/>
      <x:c r="H57" s="79"/>
      <x:c r="I57" s="79"/>
      <x:c r="J57" s="79"/>
    </x:row>
    <x:row r="58">
      <x:c r="A58" s="79"/>
      <x:c r="B58" s="79"/>
      <x:c r="C58" s="79"/>
      <x:c r="D58" s="79"/>
      <x:c r="E58" s="79"/>
      <x:c r="F58" s="79"/>
      <x:c r="G58" s="79"/>
      <x:c r="H58" s="79"/>
      <x:c r="I58" s="79"/>
      <x:c r="J58" s="79"/>
    </x:row>
    <x:row r="59">
      <x:c r="A59" s="79"/>
      <x:c r="B59" s="79"/>
      <x:c r="C59" s="79"/>
      <x:c r="D59" s="79"/>
      <x:c r="E59" s="79"/>
      <x:c r="F59" s="79"/>
      <x:c r="G59" s="79"/>
      <x:c r="H59" s="79"/>
      <x:c r="I59" s="79"/>
      <x:c r="J59" s="79"/>
    </x:row>
    <x:row r="60">
      <x:c r="A60" s="79"/>
      <x:c r="B60" s="79"/>
      <x:c r="C60" s="79"/>
      <x:c r="D60" s="79"/>
      <x:c r="E60" s="79"/>
      <x:c r="F60" s="79"/>
      <x:c r="G60" s="79"/>
      <x:c r="H60" s="79"/>
      <x:c r="I60" s="79"/>
      <x:c r="J60" s="79"/>
    </x:row>
  </x:sheetData>
  <x:mergeCells>
    <x:mergeCell ref="A2:F2"/>
    <x:mergeCell ref="A12:F12"/>
  </x:mergeCells>
  <x:pageMargins left="0.7" right="0.7" top="0.75" bottom="0.75" header="0.3" footer="0.3"/>
</x:worksheet>
</file>
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cf3294060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31e5e9ec9ba46a7"/>
    <x:sheet xmlns:r="http://schemas.openxmlformats.org/officeDocument/2006/relationships" name="Historical" sheetId="2" r:id="R0a45ec91084e4890"/>
    <x:sheet xmlns:r="http://schemas.openxmlformats.org/officeDocument/2006/relationships" name="Operating Drivers" sheetId="3" r:id="R5531db2088b14f54"/>
    <x:sheet xmlns:r="http://schemas.openxmlformats.org/officeDocument/2006/relationships" name="Assumptions" sheetId="4" r:id="Ra4ce15327a58435f"/>
    <x:sheet xmlns:r="http://schemas.openxmlformats.org/officeDocument/2006/relationships" name="Valuation" sheetId="5" r:id="R1ea2d04fc7aa4efc"/>
    <x:sheet xmlns:r="http://schemas.openxmlformats.org/officeDocument/2006/relationships" name="Checks" sheetId="6" r:id="Rd2aa67c38b974700"/>
    <x:sheet xmlns:r="http://schemas.openxmlformats.org/officeDocument/2006/relationships" name="Sources Audit" sheetId="7" r:id="Ra91b5f5c838143f3"/>
  </x:sheets>
</x:workbook>
</file>

<file path=xl/comments1.xml><?xml version="1.0" encoding="utf-8"?>
<x:comments xmlns:x="http://schemas.openxmlformats.org/spreadsheetml/2006/main">
  <x:authors>
    <x:author>tc={9B10FD38-7B29-89AD-81AE-F1905759ED87}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1H26 unaudited revenue. The announcement does not include a cash-flow statement.</x:t>
        </x:r>
      </x:text>
    </x:comment>
  </x:commentList>
</x:comments>
</file>

<file path=xl/comments2.xml><?xml version="1.0" encoding="utf-8"?>
<x:comments xmlns:x="http://schemas.openxmlformats.org/spreadsheetml/2006/main">
  <x:authors>
    <x:author>tc={0631A5DB-1078-FC71-BA09-D2C784D30C9D}</x:author>
    <x:author>tc={80DB1B80-3F6F-C082-E83C-FE314D5C8438}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self-operated Haidilao restaurant revenue fell 4.0% YoY and represented 79.9% of group revenue.</x:t>
        </x:r>
      </x:text>
    </x:comment>
    <x:comment ref="G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S1: new bank borrowings RMB2.562bn and repayments RMB0.400bn during 1H26.</x:t>
        </x:r>
      </x:text>
    </x:comment>
  </x:commentList>
</x:comments>
</file>

<file path=xl/comments3.xml><?xml version="1.0" encoding="utf-8"?>
<x:comments xmlns:x="http://schemas.openxmlformats.org/spreadsheetml/2006/main">
  <x:authors>
    <x:author>tc={909A28F8-630C-189C-5B30-390CE60A66F4}</x:author>
    <x:author>tc={4C3BD5DC-7C45-2FEB-9D1B-A56AA79146BD}</x:author>
    <x:author>tc={F331FF82-A967-61BA-975B-037549907E34}</x:author>
    <x:author>tc={9C6A8E07-34E9-C385-0935-0338AF1B35C6}</x:author>
    <x:author>tc={B1BFBD0E-1BDB-B586-FCD3-1B308C5CB686}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2026-08-25 close HKD11.41; the interim results were released after market close.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S7: 5,574,000,000 issued shares. Company EPS uses a lower weighted-average denominator because award trusts' shares are treated as treasury shares in consolidation.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M2: 2026-08-25 central parity, HKD100 = RMB86.587.</x:t>
        </x:r>
      </x:text>
    </x:comment>
    <x:comment ref="C2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attributable profit RMB4.10bn; approximately current TTM profit, not consensus.</x:t>
        </x:r>
      </x:text>
    </x:comment>
    <x:comment ref="C2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15x P/E balances brand and cash returns against weak self-operated revenue and governance risk.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yyyy-mm-dd"/>
    <x:numFmt numFmtId="201" formatCode="&quot;HKD &quot;0.00"/>
    <x:numFmt numFmtId="202" formatCode="0.0&quot; bn HKD&quot;"/>
    <x:numFmt numFmtId="203" formatCode="0.0x"/>
    <x:numFmt numFmtId="204" formatCode="0.0%;[Red](0.0%);-"/>
    <x:numFmt numFmtId="205" formatCode="0.00&quot; bn&quot;;[Red](0.00&quot; bn&quot;);-"/>
    <x:numFmt numFmtId="206" formatCode="0.0%"/>
    <x:numFmt numFmtId="207" formatCode="0.00&quot; bn&quot;"/>
    <x:numFmt numFmtId="208" formatCode="0.0&quot; x/day&quot;"/>
    <x:numFmt numFmtId="209" formatCode="&quot;RMB &quot;0.0"/>
    <x:numFmt numFmtId="210" formatCode="0.000&quot; bn shares&quot;"/>
    <x:numFmt numFmtId="211" formatCode="0.00000&quot; RMB/HKD&quot;"/>
    <x:numFmt numFmtId="212" formatCode="0.00&quot; bn RMB&quot;"/>
    <x:numFmt numFmtId="213" formatCode="&quot;HKD &quot;0.000"/>
    <x:numFmt numFmtId="214" formatCode="0%"/>
    <x:numFmt numFmtId="215" formatCode="0.0&quot; bn&quot;"/>
    <x:numFmt numFmtId="216" formatCode="0.0000"/>
    <x:numFmt numFmtId="217" formatCode="0.0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2" xfId="0" applyNumberFormat="1" applyFont="1" applyFill="1" applyBorder="1"/>
    <x:xf numFmtId="200" fontId="5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4" fontId="5" fillId="0" borderId="2" xfId="0" applyNumberFormat="1" applyFont="1" applyFill="1" applyBorder="1"/>
    <x:xf numFmtId="201" fontId="5" fillId="0" borderId="2" xfId="0" applyNumberFormat="1" applyFont="1" applyFill="1" applyBorder="1"/>
    <x:xf numFmtId="204" fontId="5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06" fontId="0" fillId="4" borderId="0" xfId="0" applyNumberFormat="1" applyFont="1" applyFill="1" applyBorder="1"/>
    <x:xf numFmtId="0" fontId="3" fillId="4" borderId="0" xfId="0" applyNumberFormat="1" applyFont="1" applyFill="1" applyBorder="1"/>
    <x:xf numFmtId="206" fontId="3" fillId="4" borderId="0" xfId="0" applyNumberFormat="1" applyFont="1" applyFill="1" applyBorder="1"/>
    <x:xf numFmtId="205" fontId="0" fillId="4" borderId="0" xfId="0" applyNumberFormat="1" applyFont="1" applyFill="1" applyBorder="1"/>
    <x:xf numFmtId="203" fontId="0" fillId="4" borderId="0" xfId="0" applyNumberFormat="1" applyFont="1" applyFill="1" applyBorder="1"/>
    <x:xf numFmtId="205" fontId="3" fillId="4" borderId="0" xfId="0" applyNumberFormat="1" applyFont="1" applyFill="1" applyBorder="1"/>
    <x:xf numFmtId="203" fontId="3" fillId="4" borderId="0" xfId="0" applyNumberFormat="1" applyFont="1" applyFill="1" applyBorder="1"/>
    <x:xf numFmtId="204" fontId="0" fillId="4" borderId="0" xfId="0" applyNumberFormat="1" applyFont="1" applyFill="1" applyBorder="1"/>
    <x:xf numFmtId="204" fontId="3" fillId="4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/>
    <x:xf numFmtId="0" fontId="4" fillId="4" borderId="0" xfId="0" applyNumberFormat="1" applyFont="1" applyFill="1" applyBorder="1"/>
    <x:xf numFmtId="206" fontId="4" fillId="4" borderId="0" xfId="0" applyNumberFormat="1" applyFont="1" applyFill="1" applyBorder="1"/>
    <x:xf numFmtId="205" fontId="4" fillId="4" borderId="0" xfId="0" applyNumberFormat="1" applyFont="1" applyFill="1" applyBorder="1"/>
    <x:xf numFmtId="203" fontId="4" fillId="4" borderId="0" xfId="0" applyNumberFormat="1" applyFont="1" applyFill="1" applyBorder="1"/>
    <x:xf numFmtId="207" fontId="5" fillId="0" borderId="0" xfId="0" applyNumberFormat="1" applyFont="1" applyFill="1" applyBorder="1"/>
    <x:xf numFmtId="208" fontId="5" fillId="0" borderId="0" xfId="0" applyNumberFormat="1" applyFont="1" applyFill="1" applyBorder="1"/>
    <x:xf numFmtId="209" fontId="5" fillId="0" borderId="0" xfId="0" applyNumberFormat="1" applyFont="1" applyFill="1" applyBorder="1"/>
    <x:xf numFmtId="204" fontId="4" fillId="4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205" fontId="5" fillId="0" borderId="1" xfId="0" applyNumberFormat="1" applyFont="1" applyFill="1" applyBorder="1"/>
    <x:xf numFmtId="205" fontId="5" fillId="0" borderId="2" xfId="0" applyNumberFormat="1" applyFont="1" applyFill="1" applyBorder="1"/>
    <x:xf numFmtId="0" fontId="4" fillId="4" borderId="2" xfId="0" applyNumberFormat="1" applyFont="1" applyFill="1" applyBorder="1"/>
    <x:xf numFmtId="206" fontId="4" fillId="4" borderId="2" xfId="0" applyNumberFormat="1" applyFont="1" applyFill="1" applyBorder="1"/>
    <x:xf numFmtId="205" fontId="4" fillId="4" borderId="2" xfId="0" applyNumberFormat="1" applyFont="1" applyFill="1" applyBorder="1"/>
    <x:xf numFmtId="203" fontId="4" fillId="4" borderId="2" xfId="0" applyNumberFormat="1" applyFont="1" applyFill="1" applyBorder="1"/>
    <x:xf numFmtId="207" fontId="5" fillId="0" borderId="2" xfId="0" applyNumberFormat="1" applyFont="1" applyFill="1" applyBorder="1"/>
    <x:xf numFmtId="208" fontId="5" fillId="0" borderId="2" xfId="0" applyNumberFormat="1" applyFont="1" applyFill="1" applyBorder="1"/>
    <x:xf numFmtId="209" fontId="5" fillId="0" borderId="2" xfId="0" applyNumberFormat="1" applyFont="1" applyFill="1" applyBorder="1"/>
    <x:xf numFmtId="204" fontId="4" fillId="4" borderId="2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207" fontId="5" fillId="0" borderId="1" xfId="0" applyNumberFormat="1" applyFont="1" applyFill="1" applyBorder="1"/>
    <x:xf numFmtId="204" fontId="5" fillId="0" borderId="1" xfId="0" applyNumberFormat="1" applyFont="1" applyFill="1" applyBorder="1"/>
    <x:xf numFmtId="207" fontId="5" fillId="0" borderId="3" xfId="0" applyNumberFormat="1" applyFont="1" applyFill="1" applyBorder="1"/>
    <x:xf numFmtId="205" fontId="5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7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7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07" fontId="5" fillId="0" borderId="2" xfId="0" applyNumberFormat="1" applyFont="1" applyFill="1" applyBorder="1" applyAlignment="1">
      <x:alignment wrapText="1"/>
    </x:xf>
    <x:xf numFmtId="201" fontId="5" fillId="0" borderId="2" xfId="0" applyNumberFormat="1" applyFont="1" applyFill="1" applyBorder="1" applyAlignment="1">
      <x:alignment wrapText="1"/>
    </x:xf>
    <x:xf numFmtId="206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10" fontId="10" fillId="0" borderId="0" xfId="0" applyNumberFormat="1" applyFont="1" applyFill="1" applyBorder="1"/>
    <x:xf numFmtId="211" fontId="10" fillId="0" borderId="0" xfId="0" applyNumberFormat="1" applyFont="1" applyFill="1" applyBorder="1"/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10" fontId="5" fillId="0" borderId="0" xfId="0" applyNumberFormat="1" applyFont="1" applyFill="1" applyBorder="1"/>
    <x:xf numFmtId="211" fontId="5" fillId="0" borderId="0" xfId="0" applyNumberFormat="1" applyFont="1" applyFill="1" applyBorder="1"/>
    <x:xf numFmtId="212" fontId="5" fillId="0" borderId="0" xfId="0" applyNumberFormat="1" applyFont="1" applyFill="1" applyBorder="1"/>
    <x:xf numFmtId="206" fontId="5" fillId="0" borderId="0" xfId="0" applyNumberFormat="1" applyFont="1" applyFill="1" applyBorder="1"/>
    <x:xf numFmtId="213" fontId="5" fillId="0" borderId="0" xfId="0" applyNumberFormat="1" applyFont="1" applyFill="1" applyBorder="1"/>
    <x:xf numFmtId="214" fontId="5" fillId="0" borderId="0" xfId="0" applyNumberFormat="1" applyFont="1" applyFill="1" applyBorder="1"/>
    <x:xf numFmtId="210" fontId="5" fillId="0" borderId="2" xfId="0" applyNumberFormat="1" applyFont="1" applyFill="1" applyBorder="1"/>
    <x:xf numFmtId="211" fontId="5" fillId="0" borderId="2" xfId="0" applyNumberFormat="1" applyFont="1" applyFill="1" applyBorder="1"/>
    <x:xf numFmtId="212" fontId="5" fillId="0" borderId="2" xfId="0" applyNumberFormat="1" applyFont="1" applyFill="1" applyBorder="1"/>
    <x:xf numFmtId="206" fontId="5" fillId="0" borderId="2" xfId="0" applyNumberFormat="1" applyFont="1" applyFill="1" applyBorder="1"/>
    <x:xf numFmtId="213" fontId="5" fillId="0" borderId="2" xfId="0" applyNumberFormat="1" applyFont="1" applyFill="1" applyBorder="1"/>
    <x:xf numFmtId="214" fontId="5" fillId="0" borderId="2" xfId="0" applyNumberFormat="1" applyFont="1" applyFill="1" applyBorder="1"/>
    <x:xf numFmtId="214" fontId="5" fillId="0" borderId="3" xfId="0" applyNumberFormat="1" applyFont="1" applyFill="1" applyBorder="1"/>
    <x:xf numFmtId="207" fontId="10" fillId="0" borderId="0" xfId="0" applyNumberFormat="1" applyFont="1" applyFill="1" applyBorder="1"/>
    <x:xf numFmtId="203" fontId="10" fillId="0" borderId="0" xfId="0" applyNumberFormat="1" applyFont="1" applyFill="1" applyBorder="1"/>
    <x:xf numFmtId="206" fontId="10" fillId="0" borderId="0" xfId="0" applyNumberFormat="1" applyFont="1" applyFill="1" applyBorder="1"/>
    <x:xf numFmtId="0" fontId="0" fillId="7" borderId="0" xfId="0" applyNumberFormat="1" applyFont="1" applyFill="1" applyBorder="1"/>
    <x:xf numFmtId="207" fontId="0" fillId="7" borderId="0" xfId="0" applyNumberFormat="1" applyFont="1" applyFill="1" applyBorder="1"/>
    <x:xf numFmtId="203" fontId="0" fillId="7" borderId="0" xfId="0" applyNumberFormat="1" applyFont="1" applyFill="1" applyBorder="1"/>
    <x:xf numFmtId="201" fontId="0" fillId="7" borderId="0" xfId="0" applyNumberFormat="1" applyFont="1" applyFill="1" applyBorder="1"/>
    <x:xf numFmtId="206" fontId="0" fillId="7" borderId="0" xfId="0" applyNumberFormat="1" applyFont="1" applyFill="1" applyBorder="1"/>
    <x:xf numFmtId="204" fontId="0" fillId="7" borderId="0" xfId="0" applyNumberFormat="1" applyFont="1" applyFill="1" applyBorder="1"/>
    <x:xf numFmtId="201" fontId="3" fillId="0" borderId="0" xfId="0" applyNumberFormat="1" applyFont="1" applyFill="1" applyBorder="1"/>
    <x:xf numFmtId="201" fontId="3" fillId="7" borderId="0" xfId="0" applyNumberFormat="1" applyFont="1" applyFill="1" applyBorder="1"/>
    <x:xf numFmtId="201" fontId="4" fillId="0" borderId="0" xfId="0" applyNumberFormat="1" applyFont="1" applyFill="1" applyBorder="1"/>
    <x:xf numFmtId="0" fontId="5" fillId="7" borderId="0" xfId="0" applyNumberFormat="1" applyFont="1" applyFill="1" applyBorder="1"/>
    <x:xf numFmtId="207" fontId="5" fillId="7" borderId="0" xfId="0" applyNumberFormat="1" applyFont="1" applyFill="1" applyBorder="1"/>
    <x:xf numFmtId="203" fontId="5" fillId="7" borderId="0" xfId="0" applyNumberFormat="1" applyFont="1" applyFill="1" applyBorder="1"/>
    <x:xf numFmtId="201" fontId="5" fillId="7" borderId="0" xfId="0" applyNumberFormat="1" applyFont="1" applyFill="1" applyBorder="1"/>
    <x:xf numFmtId="206" fontId="5" fillId="7" borderId="0" xfId="0" applyNumberFormat="1" applyFont="1" applyFill="1" applyBorder="1"/>
    <x:xf numFmtId="201" fontId="4" fillId="7" borderId="0" xfId="0" applyNumberFormat="1" applyFont="1" applyFill="1" applyBorder="1"/>
    <x:xf numFmtId="204" fontId="5" fillId="7" borderId="0" xfId="0" applyNumberFormat="1" applyFont="1" applyFill="1" applyBorder="1"/>
    <x:xf numFmtId="203" fontId="5" fillId="0" borderId="1" xfId="0" applyNumberFormat="1" applyFont="1" applyFill="1" applyBorder="1"/>
    <x:xf numFmtId="206" fontId="5" fillId="0" borderId="1" xfId="0" applyNumberFormat="1" applyFont="1" applyFill="1" applyBorder="1"/>
    <x:xf numFmtId="201" fontId="4" fillId="0" borderId="1" xfId="0" applyNumberFormat="1" applyFont="1" applyFill="1" applyBorder="1"/>
    <x:xf numFmtId="0" fontId="5" fillId="7" borderId="2" xfId="0" applyNumberFormat="1" applyFont="1" applyFill="1" applyBorder="1"/>
    <x:xf numFmtId="207" fontId="5" fillId="7" borderId="2" xfId="0" applyNumberFormat="1" applyFont="1" applyFill="1" applyBorder="1"/>
    <x:xf numFmtId="203" fontId="5" fillId="7" borderId="2" xfId="0" applyNumberFormat="1" applyFont="1" applyFill="1" applyBorder="1"/>
    <x:xf numFmtId="201" fontId="5" fillId="7" borderId="2" xfId="0" applyNumberFormat="1" applyFont="1" applyFill="1" applyBorder="1"/>
    <x:xf numFmtId="206" fontId="5" fillId="7" borderId="2" xfId="0" applyNumberFormat="1" applyFont="1" applyFill="1" applyBorder="1"/>
    <x:xf numFmtId="201" fontId="4" fillId="7" borderId="2" xfId="0" applyNumberFormat="1" applyFont="1" applyFill="1" applyBorder="1"/>
    <x:xf numFmtId="204" fontId="5" fillId="7" borderId="2" xfId="0" applyNumberFormat="1" applyFont="1" applyFill="1" applyBorder="1"/>
    <x:xf numFmtId="203" fontId="5" fillId="0" borderId="3" xfId="0" applyNumberFormat="1" applyFont="1" applyFill="1" applyBorder="1"/>
    <x:xf numFmtId="201" fontId="5" fillId="0" borderId="3" xfId="0" applyNumberFormat="1" applyFont="1" applyFill="1" applyBorder="1"/>
    <x:xf numFmtId="206" fontId="5" fillId="0" borderId="3" xfId="0" applyNumberFormat="1" applyFont="1" applyFill="1" applyBorder="1"/>
    <x:xf numFmtId="201" fontId="4" fillId="0" borderId="3" xfId="0" applyNumberFormat="1" applyFont="1" applyFill="1" applyBorder="1"/>
    <x:xf numFmtId="215" fontId="0" fillId="0" borderId="0" xfId="0" applyNumberFormat="1" applyFont="1" applyFill="1" applyBorder="1"/>
    <x:xf numFmtId="215" fontId="5" fillId="0" borderId="0" xfId="0" applyNumberFormat="1" applyFont="1" applyFill="1" applyBorder="1"/>
    <x:xf numFmtId="215" fontId="5" fillId="0" borderId="1" xfId="0" applyNumberFormat="1" applyFont="1" applyFill="1" applyBorder="1"/>
    <x:xf numFmtId="215" fontId="5" fillId="0" borderId="2" xfId="0" applyNumberFormat="1" applyFont="1" applyFill="1" applyBorder="1"/>
    <x:xf numFmtId="215" fontId="5" fillId="0" borderId="3" xfId="0" applyNumberFormat="1" applyFont="1" applyFill="1" applyBorder="1"/>
    <x:xf numFmtId="216" fontId="0" fillId="0" borderId="0" xfId="0" applyNumberFormat="1" applyFont="1" applyFill="1" applyBorder="1"/>
    <x:xf numFmtId="216" fontId="5" fillId="0" borderId="0" xfId="0" applyNumberFormat="1" applyFont="1" applyFill="1" applyBorder="1"/>
    <x:xf numFmtId="216" fontId="5" fillId="0" borderId="1" xfId="0" applyNumberFormat="1" applyFont="1" applyFill="1" applyBorder="1"/>
    <x:xf numFmtId="216" fontId="5" fillId="0" borderId="2" xfId="0" applyNumberFormat="1" applyFont="1" applyFill="1" applyBorder="1"/>
    <x:xf numFmtId="216" fontId="5" fillId="0" borderId="3" xfId="0" applyNumberFormat="1" applyFont="1" applyFill="1" applyBorder="1"/>
    <x:xf numFmtId="217" fontId="0" fillId="0" borderId="0" xfId="0" applyNumberFormat="1" applyFont="1" applyFill="1" applyBorder="1"/>
    <x:xf numFmtId="0" fontId="11" fillId="0" borderId="0" xfId="0" applyNumberFormat="1" applyFont="1" applyFill="1" applyBorder="1"/>
    <x:xf numFmtId="217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17" fontId="5" fillId="0" borderId="0" xfId="0" applyNumberFormat="1" applyFont="1" applyFill="1" applyBorder="1" applyAlignment="1">
      <x:alignment wrapText="1"/>
    </x:xf>
    <x:xf numFmtId="217" fontId="5" fillId="0" borderId="1" xfId="0" applyNumberFormat="1" applyFont="1" applyFill="1" applyBorder="1" applyAlignment="1">
      <x:alignment wrapText="1"/>
    </x:xf>
    <x:xf numFmtId="217" fontId="5" fillId="0" borderId="2" xfId="0" applyNumberFormat="1" applyFont="1" applyFill="1" applyBorder="1" applyAlignment="1">
      <x:alignment wrapText="1"/>
    </x:xf>
    <x:xf numFmtId="206" fontId="5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de194b2264802" /><Relationship Type="http://schemas.openxmlformats.org/officeDocument/2006/relationships/theme" Target="/xl/theme/theme1.xml" Id="R0566d9ba182e4eae" /><Relationship Type="http://schemas.openxmlformats.org/officeDocument/2006/relationships/sharedStrings" Target="/xl/sharedStrings.xml" Id="R56a9142cc3a746c6" /><Relationship Type="http://schemas.openxmlformats.org/officeDocument/2006/relationships/worksheet" Target="/xl/worksheets/sheet1.xml" Id="R431e5e9ec9ba46a7" /><Relationship Type="http://schemas.openxmlformats.org/officeDocument/2006/relationships/worksheet" Target="/xl/worksheets/sheet2.xml" Id="R0a45ec91084e4890" /><Relationship Type="http://schemas.openxmlformats.org/officeDocument/2006/relationships/worksheet" Target="/xl/worksheets/sheet3.xml" Id="R5531db2088b14f54" /><Relationship Type="http://schemas.openxmlformats.org/officeDocument/2006/relationships/worksheet" Target="/xl/worksheets/sheet4.xml" Id="Ra4ce15327a58435f" /><Relationship Type="http://schemas.openxmlformats.org/officeDocument/2006/relationships/worksheet" Target="/xl/worksheets/sheet5.xml" Id="R1ea2d04fc7aa4efc" /><Relationship Type="http://schemas.openxmlformats.org/officeDocument/2006/relationships/worksheet" Target="/xl/worksheets/sheet6.xml" Id="Rd2aa67c38b974700" /><Relationship Type="http://schemas.openxmlformats.org/officeDocument/2006/relationships/worksheet" Target="/xl/worksheets/sheet7.xml" Id="Ra91b5f5c838143f3" /><Relationship Type="http://schemas.microsoft.com/office/2017/10/relationships/person" Target="/xl/persons/person.xml" Id="Rdf15b272614547d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71120f586d4be0" /><Relationship Type="http://schemas.openxmlformats.org/officeDocument/2006/relationships/chart" Target="/xl/drawings/charts/chart2.xml" Id="Rb1eeaae6e98d44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收入结构变化（RMB bn）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1H25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'Operating Drivers'!$A$4:$A$8</c:f>
              <c:strCache>
                <c:ptCount val="0"/>
              </c:strCache>
            </c:strRef>
          </c:cat>
          <c:val>
            <c:numRef>
              <c:f>'Operating Drivers'!$C$4:$C$8</c:f>
              <c:numCache>
                <c:formatCode>0.0" bn"</c:formatCode>
                <c:ptCount val="0"/>
              </c:numCache>
            </c:numRef>
          </c:val>
        </c:ser>
        <c:ser>
          <c:idx val="1"/>
          <c:order val="1"/>
          <c:tx>
            <c:v>1H26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'Operating Drivers'!$A$4:$A$8</c:f>
              <c:strCache>
                <c:ptCount val="0"/>
              </c:strCache>
            </c:strRef>
          </c:cat>
          <c:val>
            <c:numRef>
              <c:f>'Operating Drivers'!$B$4:$B$8</c:f>
              <c:numCache>
                <c:formatCode>0.0" bn"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 bn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情景价值与当前股价（HKD/股）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"HKD "0.0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"HKD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71120f586d4be0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eeaae6e98d44ed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esearch" id="{4E22AE89-3663-4C07-A6B6-0D8DED95FBE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4" dT="2026-08-26T01:55:34.706" personId="{4E22AE89-3663-4C07-A6B6-0D8DED95FBE5}" id="{9B10FD38-7B29-89AD-81AE-F1905759ED87}">
    <xltc:text>Source S1: 1H26 unaudited revenue. The announcement does not include a cash-flow statement.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4" dT="2026-08-26T01:55:34.707" personId="{4E22AE89-3663-4C07-A6B6-0D8DED95FBE5}" id="{0631A5DB-1078-FC71-BA09-D2C784D30C9D}">
    <xltc:text>Source S1: self-operated Haidilao restaurant revenue fell 4.0% YoY and represented 79.9% of group revenue.</xltc:text>
  </xltc:threadedComment>
  <xltc:threadedComment ref="G18" dT="2026-08-26T01:55:34.707" personId="{4E22AE89-3663-4C07-A6B6-0D8DED95FBE5}" id="{80DB1B80-3F6F-C082-E83C-FE314D5C8438}">
    <xltc:text>Source S1: new bank borrowings RMB2.562bn and repayments RMB0.400bn during 1H26.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4" dT="2026-08-26T01:55:34.706" personId="{4E22AE89-3663-4C07-A6B6-0D8DED95FBE5}" id="{909A28F8-630C-189C-5B30-390CE60A66F4}">
    <xltc:text>Source M1: 2026-08-25 close HKD11.41; the interim results were released after market close.</xltc:text>
  </xltc:threadedComment>
  <xltc:threadedComment ref="B5" dT="2026-08-26T01:55:34.706" personId="{4E22AE89-3663-4C07-A6B6-0D8DED95FBE5}" id="{4C3BD5DC-7C45-2FEB-9D1B-A56AA79146BD}">
    <xltc:text>Source S7: 5,574,000,000 issued shares. Company EPS uses a lower weighted-average denominator because award trusts' shares are treated as treasury shares in consolidation.</xltc:text>
  </xltc:threadedComment>
  <xltc:threadedComment ref="B6" dT="2026-08-26T01:55:34.706" personId="{4E22AE89-3663-4C07-A6B6-0D8DED95FBE5}" id="{F331FF82-A967-61BA-975B-037549907E34}">
    <xltc:text>Source M2: 2026-08-25 central parity, HKD100 = RMB86.587.</xltc:text>
  </xltc:threadedComment>
  <xltc:threadedComment ref="C26" dT="2026-08-26T01:55:34.706" personId="{4E22AE89-3663-4C07-A6B6-0D8DED95FBE5}" id="{9C6A8E07-34E9-C385-0935-0338AF1B35C6}">
    <xltc:text>Analyst assumption: base normalized attributable profit RMB4.10bn; approximately current TTM profit, not consensus.</xltc:text>
  </xltc:threadedComment>
  <xltc:threadedComment ref="C27" dT="2026-08-26T01:55:34.706" personId="{4E22AE89-3663-4C07-A6B6-0D8DED95FBE5}" id="{B1BFBD0E-1BDB-B586-FCD3-1B308C5CB686}">
    <xltc:text>Analyst assumption: 15x P/E balances brand and cash returns against weak self-operated revenue and governance risk.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3e6c08cf5240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7220ea3523444c3" /><Relationship Type="http://schemas.openxmlformats.org/officeDocument/2006/relationships/vmlDrawing" Target="/xl/drawings/vmldrawing.vml" Id="Raaa6e83d588349e8" /><Relationship Type="http://schemas.microsoft.com/office/2017/10/relationships/threadedComment" Target="/xl/threadedcomments/threadedcomment.xml" Id="Rd7b1b5aecbb045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0fe6087da2f34431" /><Relationship Type="http://schemas.openxmlformats.org/officeDocument/2006/relationships/vmlDrawing" Target="/xl/drawings/vmldrawing2.vml" Id="Rb0200d91a8374c6c" /><Relationship Type="http://schemas.microsoft.com/office/2017/10/relationships/threadedComment" Target="/xl/threadedcomments/threadedcomment2.xml" Id="R96a6145831a64c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8011d13fcb3e4801" /><Relationship Type="http://schemas.openxmlformats.org/officeDocument/2006/relationships/vmlDrawing" Target="/xl/drawings/vmldrawing3.vml" Id="Ra31dc91c3b6b4b78" /><Relationship Type="http://schemas.microsoft.com/office/2017/10/relationships/threadedComment" Target="/xl/threadedcomments/threadedcomment3.xml" Id="R5d1506f057d644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4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海底捞（06862.HK）基本面与估值模型</x:v>
      </x:c>
      <x:c r="B1" s="3" t="str">
        <x:v>海底捞（06862.HK）基本面与估值模型</x:v>
      </x:c>
      <x:c r="C1" s="3" t="str">
        <x:v>海底捞（06862.HK）基本面与估值模型</x:v>
      </x:c>
      <x:c r="D1" s="3" t="str">
        <x:v>海底捞（06862.HK）基本面与估值模型</x:v>
      </x:c>
      <x:c r="E1" s="3" t="str">
        <x:v>海底捞（06862.HK）基本面与估值模型</x:v>
      </x:c>
      <x:c r="F1" s="3" t="str">
        <x:v>海底捞（06862.HK）基本面与估值模型</x:v>
      </x:c>
      <x:c r="G1" s="3" t="str">
        <x:v>海底捞（06862.HK）基本面与估值模型</x:v>
      </x:c>
      <x:c r="H1" s="3" t="str">
        <x:v>海底捞（06862.HK）基本面与估值模型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海底捞国际控股有限公司</x:v>
      </x:c>
      <x:c r="J3" t="n">
        <x:f>'Assumptions'!B4</x:f>
        <x:v>11.41</x:v>
      </x:c>
    </x:row>
    <x:row r="4">
      <x:c r="A4" s="12" t="str">
        <x:v>价格基准</x:v>
      </x:c>
      <x:c r="B4" s="13" t="n">
        <x:v>46259</x:v>
      </x:c>
      <x:c r="J4" t="n">
        <x:f>'Assumptions'!B4</x:f>
        <x:v>11.41</x:v>
      </x:c>
    </x:row>
    <x:row r="5">
      <x:c r="A5" s="12" t="str">
        <x:v>资料截止</x:v>
      </x:c>
      <x:c r="B5" s="14" t="str">
        <x:v>2026-08-26</x:v>
      </x:c>
      <x:c r="J5" t="n">
        <x:f>'Assumptions'!B4</x:f>
        <x:v>11.41</x:v>
      </x:c>
    </x:row>
    <x:row r="6">
      <x:c r="A6" s="12" t="str">
        <x:v>报告货币</x:v>
      </x:c>
      <x:c r="B6" s="14" t="str">
        <x:v>人民币十亿元；每股价值为港元</x:v>
      </x:c>
    </x:row>
    <x:row r="7">
      <x:c r="A7" s="12" t="str">
        <x:v>模型版本</x:v>
      </x:c>
      <x:c r="B7" s="14" t="str">
        <x:v>首次建档 / 2026中期业绩 v1.0</x:v>
      </x:c>
    </x:row>
    <x:row r="8">
      <x:c r="A8" s="12" t="str">
        <x:v>估值框架</x:v>
      </x:c>
      <x:c r="B8" s="14" t="str">
        <x:v>70%正常化P/E + 30%股息资本化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5" t="str">
        <x:v>用途</x:v>
      </x:c>
      <x:c r="B10" s="16" t="str">
        <x:v>研究与情景分析；不构成个性化投资建议</x:v>
      </x:c>
    </x:row>
    <x:row r="12">
      <x:c r="A12" s="19" t="str">
        <x:v>关键输出</x:v>
      </x:c>
      <x:c r="B12" s="20" t="str">
        <x:v>数值</x:v>
      </x:c>
      <x:c r="C12" s="21" t="str">
        <x:v>说明</x:v>
      </x:c>
    </x:row>
    <x:row r="13">
      <x:c r="A13" s="11" t="str">
        <x:v>当前股价</x:v>
      </x:c>
      <x:c r="B13" s="34" t="n">
        <x:f>'Assumptions'!B4</x:f>
        <x:v>11.41</x:v>
      </x:c>
      <x:c r="C13" s="11" t="str">
        <x:v>2026-08-25收盘；业绩盘后发布</x:v>
      </x:c>
    </x:row>
    <x:row r="14">
      <x:c r="A14" s="14" t="str">
        <x:v>港币市值</x:v>
      </x:c>
      <x:c r="B14" s="35" t="n">
        <x:f>'Assumptions'!B7</x:f>
        <x:v>63.59934</x:v>
      </x:c>
      <x:c r="C14" s="14" t="str">
        <x:v>股价×法定已发行股份</x:v>
      </x:c>
    </x:row>
    <x:row r="15">
      <x:c r="A15" s="14" t="str">
        <x:v>滚动P/E</x:v>
      </x:c>
      <x:c r="B15" s="36" t="n">
        <x:f>'Assumptions'!B10</x:f>
        <x:v>13.569850579399088</x:v>
      </x:c>
      <x:c r="C15" s="14" t="str">
        <x:v>2025A-H1'25+H1'26</x:v>
      </x:c>
    </x:row>
    <x:row r="16">
      <x:c r="A16" s="14" t="str">
        <x:v>静态股息率</x:v>
      </x:c>
      <x:c r="B16" s="37" t="n">
        <x:f>'Assumptions'!B17</x:f>
        <x:v>0.06327782646801051</x:v>
      </x:c>
      <x:c r="C16" s="14" t="str">
        <x:v>2025每股股息0.722港元</x:v>
      </x:c>
    </x:row>
    <x:row r="17">
      <x:c r="A17" s="14" t="str">
        <x:v>主品牌自营收入同比</x:v>
      </x:c>
      <x:c r="B17" s="37" t="n">
        <x:f>'Operating Drivers'!D4</x:f>
        <x:v>-0.04001438953774683</x:v>
      </x:c>
      <x:c r="C17" s="14" t="str">
        <x:v>2026H1</x:v>
      </x:c>
    </x:row>
    <x:row r="18">
      <x:c r="A18" s="14" t="str">
        <x:v>归母净利率</x:v>
      </x:c>
      <x:c r="B18" s="37" t="n">
        <x:f>'Historical'!F8</x:f>
        <x:v>0.07910097307120334</x:v>
      </x:c>
      <x:c r="C18" s="14" t="str">
        <x:v>2026H1</x:v>
      </x:c>
    </x:row>
    <x:row r="19">
      <x:c r="A19" s="14" t="str">
        <x:v>净流动金融资产/市值</x:v>
      </x:c>
      <x:c r="B19" s="37" t="n">
        <x:f>'Assumptions'!B15</x:f>
        <x:v>0.15316979934655003</x:v>
      </x:c>
      <x:c r="C19" s="14" t="str">
        <x:v>扣银行借款；人民币口径</x:v>
      </x:c>
    </x:row>
    <x:row r="20">
      <x:c r="A20" s="14" t="str">
        <x:v>Bear综合价值</x:v>
      </x:c>
      <x:c r="B20" s="38" t="n">
        <x:f>'Valuation'!H5</x:f>
        <x:v>8.317503805943268</x:v>
      </x:c>
      <x:c r="C20" s="14" t="str">
        <x:v>主品牌继续承压</x:v>
      </x:c>
    </x:row>
    <x:row r="21">
      <x:c r="A21" s="14" t="str">
        <x:v>Base综合价值</x:v>
      </x:c>
      <x:c r="B21" s="38" t="n">
        <x:f>'Valuation'!H6</x:f>
        <x:v>12.519766766311545</x:v>
      </x:c>
      <x:c r="C21" s="14" t="str">
        <x:v>主品牌企稳、新业务扩张</x:v>
      </x:c>
    </x:row>
    <x:row r="22">
      <x:c r="A22" s="14" t="str">
        <x:v>Bull综合价值</x:v>
      </x:c>
      <x:c r="B22" s="38" t="n">
        <x:f>'Valuation'!H7</x:f>
        <x:v>17.631184530232805</x:v>
      </x:c>
      <x:c r="C22" s="14" t="str">
        <x:v>同店与利润率同步修复</x:v>
      </x:c>
    </x:row>
    <x:row r="23">
      <x:c r="A23" s="16" t="str">
        <x:v>Base相对现价</x:v>
      </x:c>
      <x:c r="B23" s="39" t="n">
        <x:f>'Valuation'!I6</x:f>
        <x:v>0.09726264384851402</x:v>
      </x:c>
      <x:c r="C23" s="16" t="str">
        <x:v>情景差异，不是收益保证</x:v>
      </x:c>
    </x:row>
    <x:row r="26">
      <x:c r="A26" s="19" t="str">
        <x:v>研究结论</x:v>
      </x:c>
      <x:c r="B26" s="20" t="str">
        <x:v>研究结论</x:v>
      </x:c>
      <x:c r="C26" s="20" t="str">
        <x:v>研究结论</x:v>
      </x:c>
      <x:c r="D26" s="20" t="str">
        <x:v>研究结论</x:v>
      </x:c>
      <x:c r="E26" s="20" t="str">
        <x:v>研究结论</x:v>
      </x:c>
      <x:c r="F26" s="20" t="str">
        <x:v>研究结论</x:v>
      </x:c>
      <x:c r="G26" s="20" t="str">
        <x:v>研究结论</x:v>
      </x:c>
      <x:c r="H26" s="21" t="str">
        <x:v>研究结论</x:v>
      </x:c>
    </x:row>
    <x:row r="27" ht="24" customHeight="1">
      <x:c r="A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B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C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D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E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F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G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H27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</x:row>
    <x:row r="28" ht="24" customHeight="1">
      <x:c r="A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B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C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D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E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F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G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H28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</x:row>
    <x:row r="29" ht="24" customHeight="1">
      <x:c r="A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B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C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D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E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F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G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H29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</x:row>
    <x:row r="30" ht="24" customHeight="1">
      <x:c r="A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B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C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D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E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F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G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H30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</x:row>
    <x:row r="31" ht="24" customHeight="1">
      <x:c r="A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B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C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D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E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F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G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  <x:c r="H31" s="42" t="str">
        <x:v>2026H1总收入增长7.9%，但自营海底捞餐厅收入下降4.0%；外卖、其他品牌、食材与加盟成为增长来源。翻台率略升而客单价下降，原材料及平台费用率上升，归母净利率降至7.9%。现价约13.6倍滚动P/E、6.3%静态股息率，基准价值仅高约9.7%，结论为中性观察。完整中报现金流是下一项关键验证。</x:v>
      </x:c>
    </x:row>
  </x:sheetData>
  <x:mergeCells>
    <x:mergeCell ref="A1:H1"/>
    <x:mergeCell ref="A26:H26"/>
    <x:mergeCell ref="A27:H31"/>
  </x:mergeCells>
  <x:pageMargins left="0.7" right="0.7" top="0.75" bottom="0.75" header="0.3" footer="0.3"/>
  <x:drawing xmlns:r="http://schemas.openxmlformats.org/officeDocument/2006/relationships" r:id="Rae3e6c08cf52407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历史财务与经营质量</x:v>
      </x:c>
      <x:c r="B1" s="3" t="str">
        <x:v>历史财务与经营质量</x:v>
      </x:c>
      <x:c r="C1" s="3" t="str">
        <x:v>历史财务与经营质量</x:v>
      </x:c>
      <x:c r="D1" s="3" t="str">
        <x:v>历史财务与经营质量</x:v>
      </x:c>
      <x:c r="E1" s="3" t="str">
        <x:v>历史财务与经营质量</x:v>
      </x:c>
      <x:c r="F1" s="3" t="str">
        <x:v>历史财务与经营质量</x:v>
      </x:c>
    </x:row>
    <x:row r="3">
      <x:c r="A3" s="45" t="str">
        <x:v>指标（RMB bn，除注明外）</x:v>
      </x:c>
      <x:c r="B3" s="46" t="str">
        <x:v>2023A</x:v>
      </x:c>
      <x:c r="C3" s="46" t="str">
        <x:v>2024A</x:v>
      </x:c>
      <x:c r="D3" s="46" t="str">
        <x:v>2025A</x:v>
      </x:c>
      <x:c r="E3" s="46" t="str">
        <x:v>1H25</x:v>
      </x:c>
      <x:c r="F3" s="47" t="str">
        <x:v>1H26</x:v>
      </x:c>
    </x:row>
    <x:row r="4">
      <x:c r="A4" s="11" t="str">
        <x:v>营业收入</x:v>
      </x:c>
      <x:c r="B4" s="75" t="n">
        <x:v>41.453348</x:v>
      </x:c>
      <x:c r="C4" s="75" t="n">
        <x:v>42.754687</x:v>
      </x:c>
      <x:c r="D4" s="75" t="n">
        <x:v>43.225355</x:v>
      </x:c>
      <x:c r="E4" s="75" t="n">
        <x:v>20.703294</x:v>
      </x:c>
      <x:c r="F4" s="75" t="n">
        <x:v>22.336906</x:v>
      </x:c>
    </x:row>
    <x:row r="5">
      <x:c r="A5" s="14" t="str">
        <x:v>归母净利润</x:v>
      </x:c>
      <x:c r="B5" s="76" t="n">
        <x:v>4.49908</x:v>
      </x:c>
      <x:c r="C5" s="76" t="n">
        <x:v>4.708084</x:v>
      </x:c>
      <x:c r="D5" s="76" t="n">
        <x:v>4.049824</x:v>
      </x:c>
      <x:c r="E5" s="76" t="n">
        <x:v>1.758525</x:v>
      </x:c>
      <x:c r="F5" s="76" t="n">
        <x:v>1.766871</x:v>
      </x:c>
    </x:row>
    <x:row r="6">
      <x:c r="A6" s="14" t="str">
        <x:v>核心经营利润（非IFRS）</x:v>
      </x:c>
      <x:c r="B6" s="76" t="n">
        <x:v>5.246494</x:v>
      </x:c>
      <x:c r="C6" s="76" t="n">
        <x:v>6.22988</x:v>
      </x:c>
      <x:c r="D6" s="76" t="n">
        <x:v>5.403233</x:v>
      </x:c>
      <x:c r="E6" s="76" t="n">
        <x:v>2.408104</x:v>
      </x:c>
      <x:c r="F6" s="76" t="n">
        <x:v>2.51349</x:v>
      </x:c>
    </x:row>
    <x:row r="7">
      <x:c r="A7" s="77" t="str">
        <x:v>核心经营利润率</x:v>
      </x:c>
      <x:c r="B7" s="78" t="n">
        <x:f>B6/B4</x:f>
        <x:v>0.12656381819871343</x:v>
      </x:c>
      <x:c r="C7" s="78" t="n">
        <x:f>C6/C4</x:f>
        <x:v>0.14571221162255263</x:v>
      </x:c>
      <x:c r="D7" s="78" t="n">
        <x:f>D6/D4</x:f>
        <x:v>0.12500147193701475</x:v>
      </x:c>
      <x:c r="E7" s="78" t="n">
        <x:f>E6/E4</x:f>
        <x:v>0.11631501731077189</x:v>
      </x:c>
      <x:c r="F7" s="78" t="n">
        <x:f>F6/F4</x:f>
        <x:v>0.11252632750480304</x:v>
      </x:c>
    </x:row>
    <x:row r="8">
      <x:c r="A8" s="77" t="str">
        <x:v>归母净利率</x:v>
      </x:c>
      <x:c r="B8" s="78" t="n">
        <x:f>B5/B4</x:f>
        <x:v>0.10853357369349276</x:v>
      </x:c>
      <x:c r="C8" s="78" t="n">
        <x:f>C5/C4</x:f>
        <x:v>0.11011854676891918</x:v>
      </x:c>
      <x:c r="D8" s="78" t="n">
        <x:f>D5/D4</x:f>
        <x:v>0.09369093671989508</x:v>
      </x:c>
      <x:c r="E8" s="78" t="n">
        <x:f>E5/E4</x:f>
        <x:v>0.08493938210991932</x:v>
      </x:c>
      <x:c r="F8" s="78" t="n">
        <x:f>F5/F4</x:f>
        <x:v>0.07910097307120334</x:v>
      </x:c>
    </x:row>
    <x:row r="9">
      <x:c r="A9" s="14" t="str">
        <x:v>经营现金流</x:v>
      </x:c>
      <x:c r="B9" s="76" t="n">
        <x:v>9.00035</x:v>
      </x:c>
      <x:c r="C9" s="76" t="n">
        <x:v>7.634465</x:v>
      </x:c>
      <x:c r="D9" s="76" t="n">
        <x:v>5.664189</x:v>
      </x:c>
      <x:c r="E9" s="76"/>
      <x:c r="F9" s="76"/>
    </x:row>
    <x:row r="10">
      <x:c r="A10" s="14" t="str">
        <x:v>购置物业、厂房及设备</x:v>
      </x:c>
      <x:c r="B10" s="76" t="n">
        <x:v>0.45241</x:v>
      </x:c>
      <x:c r="C10" s="76" t="n">
        <x:v>1.299048</x:v>
      </x:c>
      <x:c r="D10" s="76" t="n">
        <x:v>1.672555</x:v>
      </x:c>
      <x:c r="E10" s="76"/>
      <x:c r="F10" s="76"/>
    </x:row>
    <x:row r="11">
      <x:c r="A11" s="77" t="str">
        <x:v>简化自由现金流</x:v>
      </x:c>
      <x:c r="B11" s="79" t="n">
        <x:f>IF(B9="","",B9-B10)</x:f>
        <x:v>8.547939999999999</x:v>
      </x:c>
      <x:c r="C11" s="79" t="n">
        <x:f>IF(C9="","",C9-C10)</x:f>
        <x:v>6.335417</x:v>
      </x:c>
      <x:c r="D11" s="79" t="n">
        <x:f>IF(D9="","",D9-D10)</x:f>
        <x:v>3.9916340000000003</x:v>
      </x:c>
      <x:c r="E11" s="79"/>
      <x:c r="F11" s="79"/>
    </x:row>
    <x:row r="12">
      <x:c r="A12" s="77" t="str">
        <x:v>CFO/归母净利润</x:v>
      </x:c>
      <x:c r="B12" s="80" t="n">
        <x:f>IFERROR(B9/B5,"")</x:f>
        <x:v>2.0004867661833083</x:v>
      </x:c>
      <x:c r="C12" s="80" t="n">
        <x:f>IFERROR(C9/C5,"")</x:f>
        <x:v>1.6215651632383787</x:v>
      </x:c>
      <x:c r="D12" s="80" t="n">
        <x:f>IFERROR(D9/D5,"")</x:f>
        <x:v>1.3986259649802066</x:v>
      </x:c>
      <x:c r="E12" s="80"/>
      <x:c r="F12" s="80"/>
    </x:row>
    <x:row r="13">
      <x:c r="A13" s="77" t="str">
        <x:v>自由现金流/收入</x:v>
      </x:c>
      <x:c r="B13" s="78" t="n">
        <x:f>IFERROR(B11/B4,"")</x:f>
        <x:v>0.20620626348443555</x:v>
      </x:c>
      <x:c r="C13" s="78" t="n">
        <x:f>IFERROR(C11/C4,"")</x:f>
        <x:v>0.1481806427445019</x:v>
      </x:c>
      <x:c r="D13" s="78" t="n">
        <x:f>IFERROR(D11/D4,"")</x:f>
        <x:v>0.09234473609297136</x:v>
      </x:c>
      <x:c r="E13" s="78"/>
      <x:c r="F13" s="78"/>
    </x:row>
    <x:row r="14">
      <x:c r="A14" s="14" t="str">
        <x:v>归母权益</x:v>
      </x:c>
      <x:c r="B14" s="81"/>
      <x:c r="C14" s="81" t="n">
        <x:v>10.433794</x:v>
      </x:c>
      <x:c r="D14" s="81" t="n">
        <x:v>10.013932</x:v>
      </x:c>
      <x:c r="E14" s="81"/>
      <x:c r="F14" s="81" t="n">
        <x:v>9.76518</x:v>
      </x:c>
    </x:row>
    <x:row r="15">
      <x:c r="A15" s="14" t="str">
        <x:v>翻台率（次/天）</x:v>
      </x:c>
      <x:c r="B15" s="82" t="n">
        <x:v>3.8</x:v>
      </x:c>
      <x:c r="C15" s="82" t="n">
        <x:v>4.1</x:v>
      </x:c>
      <x:c r="D15" s="82" t="n">
        <x:v>3.9</x:v>
      </x:c>
      <x:c r="E15" s="82" t="n">
        <x:v>3.8</x:v>
      </x:c>
      <x:c r="F15" s="82" t="n">
        <x:v>3.9</x:v>
      </x:c>
    </x:row>
    <x:row r="16">
      <x:c r="A16" s="14" t="str">
        <x:v>客单价（RMB）</x:v>
      </x:c>
      <x:c r="B16" s="83" t="n">
        <x:v>99.1</x:v>
      </x:c>
      <x:c r="C16" s="83" t="n">
        <x:v>97.5</x:v>
      </x:c>
      <x:c r="D16" s="83" t="n">
        <x:v>97.7</x:v>
      </x:c>
      <x:c r="E16" s="83" t="n">
        <x:v>97.9</x:v>
      </x:c>
      <x:c r="F16" s="83" t="n">
        <x:v>97</x:v>
      </x:c>
    </x:row>
    <x:row r="17">
      <x:c r="A17" s="14" t="str">
        <x:v>自营海底捞餐厅收入</x:v>
      </x:c>
      <x:c r="B17" s="81"/>
      <x:c r="C17" s="81" t="n">
        <x:v>40.397616</x:v>
      </x:c>
      <x:c r="D17" s="81" t="n">
        <x:v>37.543043</x:v>
      </x:c>
      <x:c r="E17" s="81" t="n">
        <x:v>18.580166</x:v>
      </x:c>
      <x:c r="F17" s="81" t="n">
        <x:v>17.836692</x:v>
      </x:c>
    </x:row>
    <x:row r="18">
      <x:c r="A18" s="77" t="str">
        <x:v>自营收入同比</x:v>
      </x:c>
      <x:c r="B18" s="84"/>
      <x:c r="C18" s="84" t="str">
        <x:f>IF(OR(B17="",B17=0),"",C17/B17-1)</x:f>
      </x:c>
      <x:c r="D18" s="84" t="n">
        <x:f>IF(OR(C17="",C17=0),"",D17/C17-1)</x:f>
        <x:v>-0.07066191727749482</x:v>
      </x:c>
      <x:c r="E18" s="84"/>
      <x:c r="F18" s="84" t="n">
        <x:f>IF(OR(E17="",E17=0),"",F17/E17-1)</x:f>
        <x:v>-0.04001438953774683</x:v>
      </x:c>
    </x:row>
    <x:row r="19">
      <x:c r="A19" s="85" t="str">
        <x:v>资料口径</x:v>
      </x:c>
      <x:c r="B19" s="85" t="str">
        <x:v>经审计年报</x:v>
      </x:c>
      <x:c r="C19" s="85" t="str">
        <x:v>经审计年报</x:v>
      </x:c>
      <x:c r="D19" s="85" t="str">
        <x:v>经审计年报</x:v>
      </x:c>
      <x:c r="E19" s="85" t="str">
        <x:v>未经审计</x:v>
      </x:c>
      <x:c r="F19" s="85" t="str">
        <x:v>未经审计；无现金流表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aaa6e83d588349e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18" hidden="0" customWidth="1"/>
    <x:col min="8" max="8" width="31" hidden="0" customWidth="1"/>
  </x:cols>
  <x:sheetData>
    <x:row r="1" ht="30" customHeight="1">
      <x:c r="A1" s="3" t="str">
        <x:v>2026年上半年经营驱动与利润结构</x:v>
      </x:c>
      <x:c r="B1" s="3" t="str">
        <x:v>2026年上半年经营驱动与利润结构</x:v>
      </x:c>
      <x:c r="C1" s="3" t="str">
        <x:v>2026年上半年经营驱动与利润结构</x:v>
      </x:c>
      <x:c r="D1" s="3" t="str">
        <x:v>2026年上半年经营驱动与利润结构</x:v>
      </x:c>
      <x:c r="E1" s="3" t="str">
        <x:v>2026年上半年经营驱动与利润结构</x:v>
      </x:c>
      <x:c r="F1" s="3" t="str">
        <x:v>2026年上半年经营驱动与利润结构</x:v>
      </x:c>
      <x:c r="G1" s="3" t="str">
        <x:v>2026年上半年经营驱动与利润结构</x:v>
      </x:c>
      <x:c r="H1" s="3" t="str">
        <x:v>2026年上半年经营驱动与利润结构</x:v>
      </x:c>
    </x:row>
    <x:row r="3">
      <x:c r="A3" s="19" t="str">
        <x:v>收入分部</x:v>
      </x:c>
      <x:c r="B3" s="20" t="str">
        <x:v>1H26（RMB bn）</x:v>
      </x:c>
      <x:c r="C3" s="20" t="str">
        <x:v>1H25（RMB bn）</x:v>
      </x:c>
      <x:c r="D3" s="20" t="str">
        <x:v>同比</x:v>
      </x:c>
      <x:c r="E3" s="21" t="str">
        <x:v>1H26占比</x:v>
      </x:c>
      <x:c r="F3" s="19" t="str">
        <x:v>门店/效率</x:v>
      </x:c>
      <x:c r="G3" s="20" t="str">
        <x:v>1H26</x:v>
      </x:c>
      <x:c r="H3" s="21" t="str">
        <x:v>比较期/说明</x:v>
      </x:c>
    </x:row>
    <x:row r="4">
      <x:c r="A4" s="11" t="str">
        <x:v>自营海底捞餐厅</x:v>
      </x:c>
      <x:c r="B4" s="86" t="n">
        <x:v>17.836692</x:v>
      </x:c>
      <x:c r="C4" s="86" t="n">
        <x:v>18.580166</x:v>
      </x:c>
      <x:c r="D4" s="87" t="n">
        <x:f>B4/C4-1</x:f>
        <x:v>-0.04001438953774683</x:v>
      </x:c>
      <x:c r="E4" s="87" t="n">
        <x:f>B4/SUM($B$4:$B$9)</x:f>
        <x:v>0.7985301097654259</x:v>
      </x:c>
      <x:c r="F4" s="11" t="str">
        <x:v>自营海底捞餐厅</x:v>
      </x:c>
      <x:c r="G4" s="11" t="n">
        <x:v>1290</x:v>
      </x:c>
      <x:c r="H4" s="11" t="str">
        <x:v>1H25：1,322家</x:v>
      </x:c>
    </x:row>
    <x:row r="5">
      <x:c r="A5" s="14" t="str">
        <x:v>外卖</x:v>
      </x:c>
      <x:c r="B5" s="81" t="n">
        <x:v>2.051445</x:v>
      </x:c>
      <x:c r="C5" s="81" t="n">
        <x:v>0.92762</x:v>
      </x:c>
      <x:c r="D5" s="37" t="n">
        <x:f>B5/C5-1</x:f>
        <x:v>1.2115144132295552</x:v>
      </x:c>
      <x:c r="E5" s="37" t="n">
        <x:f>B5/SUM($B$4:$B$9)</x:f>
        <x:v>0.0918410544414701</x:v>
      </x:c>
      <x:c r="F5" s="14" t="str">
        <x:v>加盟海底捞餐厅</x:v>
      </x:c>
      <x:c r="G5" s="14" t="n">
        <x:v>99</x:v>
      </x:c>
      <x:c r="H5" s="14" t="str">
        <x:v>1H25：41家</x:v>
      </x:c>
    </x:row>
    <x:row r="6">
      <x:c r="A6" s="14" t="str">
        <x:v>其他餐厅品牌</x:v>
      </x:c>
      <x:c r="B6" s="81" t="n">
        <x:v>1.271364</x:v>
      </x:c>
      <x:c r="C6" s="81" t="n">
        <x:v>0.596548</x:v>
      </x:c>
      <x:c r="D6" s="37" t="n">
        <x:f>B6/C6-1</x:f>
        <x:v>1.1312015127030852</x:v>
      </x:c>
      <x:c r="E6" s="37" t="n">
        <x:f>B6/SUM($B$4:$B$9)</x:f>
        <x:v>0.05691764114510756</x:v>
      </x:c>
      <x:c r="F6" s="14" t="str">
        <x:v>新开自营/加盟</x:v>
      </x:c>
      <x:c r="G6" s="14" t="n">
        <x:v>38</x:v>
      </x:c>
      <x:c r="H6" s="14" t="str">
        <x:v>24家/14家</x:v>
      </x:c>
    </x:row>
    <x:row r="7">
      <x:c r="A7" s="14" t="str">
        <x:v>底料及食材</x:v>
      </x:c>
      <x:c r="B7" s="81" t="n">
        <x:v>0.902201</x:v>
      </x:c>
      <x:c r="C7" s="81" t="n">
        <x:v>0.463724</x:v>
      </x:c>
      <x:c r="D7" s="37" t="n">
        <x:f>B7/C7-1</x:f>
        <x:v>0.945555977262337</x:v>
      </x:c>
      <x:c r="E7" s="37" t="n">
        <x:f>B7/SUM($B$4:$B$9)</x:f>
        <x:v>0.04039059841143622</x:v>
      </x:c>
      <x:c r="F7" s="14" t="str">
        <x:v>关闭餐厅</x:v>
      </x:c>
      <x:c r="G7" s="14" t="n">
        <x:v>32</x:v>
      </x:c>
      <x:c r="H7" s="14" t="str">
        <x:v>另有6家自营转加盟</x:v>
      </x:c>
    </x:row>
    <x:row r="8">
      <x:c r="A8" s="14" t="str">
        <x:v>加盟</x:v>
      </x:c>
      <x:c r="B8" s="81" t="n">
        <x:v>0.254278</x:v>
      </x:c>
      <x:c r="C8" s="81" t="n">
        <x:v>0.090849</x:v>
      </x:c>
      <x:c r="D8" s="37" t="n">
        <x:f>B8/C8-1</x:f>
        <x:v>1.7989080782397164</x:v>
      </x:c>
      <x:c r="E8" s="37" t="n">
        <x:f>B8/SUM($B$4:$B$9)</x:f>
        <x:v>0.011383761027601585</x:v>
      </x:c>
      <x:c r="F8" s="14" t="str">
        <x:v>其他品牌餐厅</x:v>
      </x:c>
      <x:c r="G8" s="14" t="n">
        <x:v>183</x:v>
      </x:c>
      <x:c r="H8" s="14" t="str">
        <x:v>21个品牌</x:v>
      </x:c>
    </x:row>
    <x:row r="9">
      <x:c r="A9" s="16" t="str">
        <x:v>其他</x:v>
      </x:c>
      <x:c r="B9" s="88" t="n">
        <x:v>0.020926</x:v>
      </x:c>
      <x:c r="C9" s="88" t="n">
        <x:v>0.044387</x:v>
      </x:c>
      <x:c r="D9" s="39" t="n">
        <x:f>B9/C9-1</x:f>
        <x:v>-0.5285556581882083</x:v>
      </x:c>
      <x:c r="E9" s="39" t="n">
        <x:f>B9/SUM($B$4:$B$9)</x:f>
        <x:v>0.0009368352089586625</x:v>
      </x:c>
      <x:c r="F9" s="14" t="str">
        <x:v>翻台率</x:v>
      </x:c>
      <x:c r="G9" s="82" t="n">
        <x:v>3.9</x:v>
      </x:c>
      <x:c r="H9" s="14" t="str">
        <x:v>1H25：3.8次/天</x:v>
      </x:c>
    </x:row>
    <x:row r="10">
      <x:c r="F10" s="14" t="str">
        <x:v>客单价</x:v>
      </x:c>
      <x:c r="G10" s="83" t="n">
        <x:v>97</x:v>
      </x:c>
      <x:c r="H10" s="14" t="str">
        <x:v>1H25：97.9元</x:v>
      </x:c>
    </x:row>
    <x:row r="11">
      <x:c r="F11" s="14" t="str">
        <x:v>同店销售同比</x:v>
      </x:c>
      <x:c r="G11" s="37" t="n">
        <x:v>-0.0134</x:v>
      </x:c>
      <x:c r="H11" s="14" t="str">
        <x:v>同店日均销售-1.4%</x:v>
      </x:c>
    </x:row>
    <x:row r="12">
      <x:c r="A12" s="19" t="str">
        <x:v>成本/利润项目</x:v>
      </x:c>
      <x:c r="B12" s="20" t="str">
        <x:v>1H26（RMB bn）</x:v>
      </x:c>
      <x:c r="C12" s="20" t="str">
        <x:v>1H25（RMB bn）</x:v>
      </x:c>
      <x:c r="D12" s="20" t="str">
        <x:v>同比</x:v>
      </x:c>
      <x:c r="E12" s="21" t="str">
        <x:v>收入占比变化</x:v>
      </x:c>
      <x:c r="F12" s="14" t="str">
        <x:v>系统销售同比</x:v>
      </x:c>
      <x:c r="G12" s="37" t="n">
        <x:v>0.008</x:v>
      </x:c>
      <x:c r="H12" s="14" t="str">
        <x:v>含自营与加盟</x:v>
      </x:c>
    </x:row>
    <x:row r="13">
      <x:c r="A13" s="11" t="str">
        <x:v>原材料及耗材</x:v>
      </x:c>
      <x:c r="B13" s="75" t="n">
        <x:v>9.289237</x:v>
      </x:c>
      <x:c r="C13" s="75" t="n">
        <x:v>8.243496</x:v>
      </x:c>
      <x:c r="D13" s="87" t="n">
        <x:f>IFERROR(B13/C13-1,"")</x:f>
        <x:v>0.1268564938953085</x:v>
      </x:c>
      <x:c r="E13" s="87" t="n">
        <x:f>B13/'Historical'!F4-C13/'Historical'!E4</x:f>
        <x:v>0.01769629810428275</x:v>
      </x:c>
      <x:c r="F13" s="16" t="str">
        <x:v>二线城市收入同比</x:v>
      </x:c>
      <x:c r="G13" s="39" t="n">
        <x:v>-0.08</x:v>
      </x:c>
      <x:c r="H13" s="16" t="str">
        <x:v>主要区域弱点</x:v>
      </x:c>
    </x:row>
    <x:row r="14">
      <x:c r="A14" s="14" t="str">
        <x:v>人工成本</x:v>
      </x:c>
      <x:c r="B14" s="76" t="n">
        <x:v>7.093266</x:v>
      </x:c>
      <x:c r="C14" s="76" t="n">
        <x:v>6.988012</x:v>
      </x:c>
      <x:c r="D14" s="37" t="n">
        <x:f>IFERROR(B14/C14-1,"")</x:f>
        <x:v>0.015062080603181593</x:v>
      </x:c>
      <x:c r="E14" s="37" t="n">
        <x:f>B14/'Historical'!F4-C14/'Historical'!E4</x:f>
        <x:v>-0.01997328370064666</x:v>
      </x:c>
    </x:row>
    <x:row r="15">
      <x:c r="A15" s="14" t="str">
        <x:v>折旧摊销</x:v>
      </x:c>
      <x:c r="B15" s="76" t="n">
        <x:v>0.907929</x:v>
      </x:c>
      <x:c r="C15" s="76" t="n">
        <x:v>1.155936</x:v>
      </x:c>
      <x:c r="D15" s="37" t="n">
        <x:f>IFERROR(B15/C15-1,"")</x:f>
        <x:v>-0.21455080558093187</x:v>
      </x:c>
      <x:c r="E15" s="37" t="n">
        <x:f>B15/'Historical'!F4-C15/'Historical'!E4</x:f>
        <x:v>-0.015186399040768232</x:v>
      </x:c>
    </x:row>
    <x:row r="16">
      <x:c r="A16" s="14" t="str">
        <x:v>其他费用</x:v>
      </x:c>
      <x:c r="B16" s="76" t="n">
        <x:v>1.510063</x:v>
      </x:c>
      <x:c r="C16" s="76" t="n">
        <x:v>1.08688</x:v>
      </x:c>
      <x:c r="D16" s="37" t="n">
        <x:f>IFERROR(B16/C16-1,"")</x:f>
        <x:v>0.3893557706462534</x:v>
      </x:c>
      <x:c r="E16" s="37" t="n">
        <x:f>B16/'Historical'!F4-C16/'Historical'!E4</x:f>
        <x:v>0.015106020405185973</x:v>
      </x:c>
      <x:c r="F16" s="19" t="str">
        <x:v>资产负债/治理</x:v>
      </x:c>
      <x:c r="G16" s="20" t="str">
        <x:v>数值</x:v>
      </x:c>
      <x:c r="H16" s="21" t="str">
        <x:v>说明</x:v>
      </x:c>
    </x:row>
    <x:row r="17">
      <x:c r="A17" s="14" t="str">
        <x:v>其他利得/损失</x:v>
      </x:c>
      <x:c r="B17" s="76" t="n">
        <x:v>-0.096506</x:v>
      </x:c>
      <x:c r="C17" s="76" t="n">
        <x:v>0.234979</x:v>
      </x:c>
      <x:c r="D17" s="37" t="n">
        <x:f>IFERROR(B17/C17-1,"")</x:f>
        <x:v>-1.4107005306857208</x:v>
      </x:c>
      <x:c r="E17" s="37" t="n">
        <x:f>B17/'Historical'!F4-C17/'Historical'!E4</x:f>
        <x:v>-0.01567030944006367</x:v>
      </x:c>
      <x:c r="F17" s="98" t="str">
        <x:v>流动金融资产</x:v>
      </x:c>
      <x:c r="G17" s="99" t="n">
        <x:v>10.99665</x:v>
      </x:c>
      <x:c r="H17" s="98" t="str">
        <x:v>现金、其他金融资产及公允价值资产</x:v>
      </x:c>
    </x:row>
    <x:row r="18">
      <x:c r="A18" s="14" t="str">
        <x:v>归母净利润</x:v>
      </x:c>
      <x:c r="B18" s="76" t="n">
        <x:v>1.766871</x:v>
      </x:c>
      <x:c r="C18" s="76" t="n">
        <x:v>1.758525</x:v>
      </x:c>
      <x:c r="D18" s="37" t="n">
        <x:f>IFERROR(B18/C18-1,"")</x:f>
        <x:v>0.004746022945366191</x:v>
      </x:c>
      <x:c r="E18" s="37" t="n">
        <x:f>B18/'Historical'!F4-C18/'Historical'!E4</x:f>
        <x:v>-0.005838409038715978</x:v>
      </x:c>
      <x:c r="F18" s="100" t="str">
        <x:v>银行借款</x:v>
      </x:c>
      <x:c r="G18" s="101" t="n">
        <x:v>2.561779</x:v>
      </x:c>
      <x:c r="H18" s="100" t="str">
        <x:v>2025年末0.399bn</x:v>
      </x:c>
    </x:row>
    <x:row r="19">
      <x:c r="A19" s="16" t="str">
        <x:v>核心经营利润</x:v>
      </x:c>
      <x:c r="B19" s="89" t="n">
        <x:v>2.51349</x:v>
      </x:c>
      <x:c r="C19" s="89" t="n">
        <x:v>2.408104</x:v>
      </x:c>
      <x:c r="D19" s="39" t="n">
        <x:f>IFERROR(B19/C19-1,"")</x:f>
        <x:v>0.04376306006717323</x:v>
      </x:c>
      <x:c r="E19" s="39" t="n">
        <x:f>B19/'Historical'!F4-C19/'Historical'!E4</x:f>
        <x:v>-0.003788689805968845</x:v>
      </x:c>
      <x:c r="F19" s="100" t="str">
        <x:v>租赁负债</x:v>
      </x:c>
      <x:c r="G19" s="101" t="n">
        <x:v>3.346694</x:v>
      </x:c>
      <x:c r="H19" s="100" t="str">
        <x:v>经营模式相关，不并入银行净债务</x:v>
      </x:c>
    </x:row>
    <x:row r="20">
      <x:c r="F20" s="100" t="str">
        <x:v>净流动金融资产</x:v>
      </x:c>
      <x:c r="G20" s="101" t="n">
        <x:v>8.434871</x:v>
      </x:c>
      <x:c r="H20" s="100" t="str">
        <x:v>流动金融资产-银行借款</x:v>
      </x:c>
    </x:row>
    <x:row r="21">
      <x:c r="F21" s="100" t="str">
        <x:v>归母权益</x:v>
      </x:c>
      <x:c r="G21" s="101" t="n">
        <x:v>9.76518</x:v>
      </x:c>
      <x:c r="H21" s="100" t="str">
        <x:v>2026-06-30</x:v>
      </x:c>
    </x:row>
    <x:row r="22">
      <x:c r="F22" s="100" t="str">
        <x:v>中期股息</x:v>
      </x:c>
      <x:c r="G22" s="102" t="n">
        <x:v>0.377</x:v>
      </x:c>
      <x:c r="H22" s="100" t="str">
        <x:v>HKD/股</x:v>
      </x:c>
    </x:row>
    <x:row r="23">
      <x:c r="F23" s="100" t="str">
        <x:v>创始人增持均价</x:v>
      </x:c>
      <x:c r="G23" s="102" t="n">
        <x:v>13.39</x:v>
      </x:c>
      <x:c r="H23" s="100" t="str">
        <x:v>HKD/股；2026年5月</x:v>
      </x:c>
    </x:row>
    <x:row r="24">
      <x:c r="F24" s="100" t="str">
        <x:v>创始人持股权益</x:v>
      </x:c>
      <x:c r="G24" s="103" t="n">
        <x:v>0.3756</x:v>
      </x:c>
      <x:c r="H24" s="100" t="str">
        <x:v>直接及间接</x:v>
      </x:c>
    </x:row>
    <x:row r="25">
      <x:c r="F25" s="104" t="str">
        <x:v>董事长兼CEO</x:v>
      </x:c>
      <x:c r="G25" s="104"/>
      <x:c r="H25" s="104" t="str">
        <x:v>偏离企业管治守则C.2.1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b0200d91a8374c6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5" hidden="0" customWidth="1"/>
    <x:col min="6" max="6" width="30" hidden="0" customWidth="1"/>
  </x:cols>
  <x:sheetData>
    <x:row r="1" ht="30" customHeight="1">
      <x:c r="A1" s="3" t="str">
        <x:v>市场输入与估值假设</x:v>
      </x:c>
      <x:c r="B1" s="3" t="str">
        <x:v>市场输入与估值假设</x:v>
      </x:c>
      <x:c r="C1" s="3" t="str">
        <x:v>市场输入与估值假设</x:v>
      </x:c>
      <x:c r="D1" s="3" t="str">
        <x:v>市场输入与估值假设</x:v>
      </x:c>
      <x:c r="E1" s="3" t="str">
        <x:v>市场输入与估值假设</x:v>
      </x:c>
      <x:c r="F1" s="3" t="str">
        <x:v>市场输入与估值假设</x:v>
      </x:c>
      <x:c r="G1" s="3" t="str">
        <x:v>市场输入与估值假设</x:v>
      </x:c>
      <x:c r="H1" s="3" t="str">
        <x:v>市场输入与估值假设</x:v>
      </x:c>
    </x:row>
    <x:row r="3">
      <x:c r="A3" s="19" t="str">
        <x:v>市场/财务输入</x:v>
      </x:c>
      <x:c r="B3" s="21" t="str">
        <x:v>数值</x:v>
      </x:c>
    </x:row>
    <x:row r="4">
      <x:c r="A4" s="11" t="str">
        <x:v>港股价格（HKD/股）</x:v>
      </x:c>
      <x:c r="B4" s="34" t="n">
        <x:v>11.41</x:v>
      </x:c>
    </x:row>
    <x:row r="5">
      <x:c r="A5" s="14" t="str">
        <x:v>已发行股份（bn）</x:v>
      </x:c>
      <x:c r="B5" s="118" t="n">
        <x:v>5.574</x:v>
      </x:c>
    </x:row>
    <x:row r="6">
      <x:c r="A6" s="14" t="str">
        <x:v>HKD兑RMB</x:v>
      </x:c>
      <x:c r="B6" s="119" t="n">
        <x:v>0.86587</x:v>
      </x:c>
    </x:row>
    <x:row r="7">
      <x:c r="A7" s="14" t="str">
        <x:v>港币市值（HKD bn）</x:v>
      </x:c>
      <x:c r="B7" s="35" t="n">
        <x:f>B4*B5</x:f>
        <x:v>63.59934</x:v>
      </x:c>
    </x:row>
    <x:row r="8">
      <x:c r="A8" s="14" t="str">
        <x:v>人民币市值（RMB bn）</x:v>
      </x:c>
      <x:c r="B8" s="120" t="n">
        <x:f>B7*B6</x:f>
        <x:v>55.0687605258</x:v>
      </x:c>
    </x:row>
    <x:row r="9">
      <x:c r="A9" s="14" t="str">
        <x:v>滚动归母利润（RMB bn）</x:v>
      </x:c>
      <x:c r="B9" s="120" t="n">
        <x:f>'Historical'!D5-'Historical'!E5+'Historical'!F5</x:f>
        <x:v>4.0581700000000005</x:v>
      </x:c>
    </x:row>
    <x:row r="10">
      <x:c r="A10" s="14" t="str">
        <x:v>滚动P/E</x:v>
      </x:c>
      <x:c r="B10" s="36" t="n">
        <x:f>B8/B9</x:f>
        <x:v>13.569850579399088</x:v>
      </x:c>
    </x:row>
    <x:row r="11">
      <x:c r="A11" s="14" t="str">
        <x:v>1H26归母权益（RMB bn）</x:v>
      </x:c>
      <x:c r="B11" s="120" t="n">
        <x:f>'Historical'!F14</x:f>
        <x:v>9.76518</x:v>
      </x:c>
    </x:row>
    <x:row r="12">
      <x:c r="A12" s="14" t="str">
        <x:v>当前P/B</x:v>
      </x:c>
      <x:c r="B12" s="36" t="n">
        <x:f>B8/B11</x:f>
        <x:v>5.639298049375434</x:v>
      </x:c>
    </x:row>
    <x:row r="13">
      <x:c r="A13" s="14" t="str">
        <x:v>流动金融资产（RMB bn）</x:v>
      </x:c>
      <x:c r="B13" s="120" t="n">
        <x:v>10.99665</x:v>
      </x:c>
    </x:row>
    <x:row r="14">
      <x:c r="A14" s="14" t="str">
        <x:v>银行借款（RMB bn）</x:v>
      </x:c>
      <x:c r="B14" s="120" t="n">
        <x:v>2.561779</x:v>
      </x:c>
    </x:row>
    <x:row r="15">
      <x:c r="A15" s="14" t="str">
        <x:v>净流动金融资产/市值</x:v>
      </x:c>
      <x:c r="B15" s="121" t="n">
        <x:f>(B13-B14)/B8</x:f>
        <x:v>0.15316979934655003</x:v>
      </x:c>
    </x:row>
    <x:row r="16">
      <x:c r="A16" s="14" t="str">
        <x:v>2025每股股息（HKD）</x:v>
      </x:c>
      <x:c r="B16" s="122" t="n">
        <x:v>0.722</x:v>
      </x:c>
    </x:row>
    <x:row r="17">
      <x:c r="A17" s="14" t="str">
        <x:v>静态股息率</x:v>
      </x:c>
      <x:c r="B17" s="121" t="n">
        <x:f>B16/B4</x:f>
        <x:v>0.06327782646801051</x:v>
      </x:c>
    </x:row>
    <x:row r="18">
      <x:c r="A18" s="14" t="str">
        <x:v>1H26每股股息（HKD）</x:v>
      </x:c>
      <x:c r="B18" s="122" t="n">
        <x:v>0.377</x:v>
      </x:c>
    </x:row>
    <x:row r="19">
      <x:c r="A19" s="14" t="str">
        <x:v>1H26单项股息率</x:v>
      </x:c>
      <x:c r="B19" s="121" t="n">
        <x:f>B18/B4</x:f>
        <x:v>0.03304119193689746</x:v>
      </x:c>
    </x:row>
    <x:row r="20">
      <x:c r="A20" s="14" t="str">
        <x:v>租赁负债（RMB bn）</x:v>
      </x:c>
      <x:c r="B20" s="120" t="n">
        <x:v>3.346694</x:v>
      </x:c>
    </x:row>
    <x:row r="21">
      <x:c r="A21" s="14" t="str">
        <x:v>P/E法权重</x:v>
      </x:c>
      <x:c r="B21" s="123" t="n">
        <x:v>0.7</x:v>
      </x:c>
    </x:row>
    <x:row r="22">
      <x:c r="A22" s="16" t="str">
        <x:v>股息法权重</x:v>
      </x:c>
      <x:c r="B22" s="124" t="n">
        <x:v>0.3</x:v>
      </x:c>
    </x:row>
    <x:row r="25">
      <x:c r="A25" s="19" t="str">
        <x:v>情景驱动</x:v>
      </x:c>
      <x:c r="B25" s="20" t="str">
        <x:v>Bear</x:v>
      </x:c>
      <x:c r="C25" s="20" t="str">
        <x:v>Base</x:v>
      </x:c>
      <x:c r="D25" s="20" t="str">
        <x:v>Bull</x:v>
      </x:c>
      <x:c r="E25" s="20" t="str">
        <x:v>单位</x:v>
      </x:c>
      <x:c r="F25" s="21" t="str">
        <x:v>逻辑</x:v>
      </x:c>
    </x:row>
    <x:row r="26">
      <x:c r="A26" s="11" t="str">
        <x:v>正常化归母利润</x:v>
      </x:c>
      <x:c r="B26" s="86" t="n">
        <x:v>3.4</x:v>
      </x:c>
      <x:c r="C26" s="86" t="n">
        <x:v>4.1</x:v>
      </x:c>
      <x:c r="D26" s="86" t="n">
        <x:v>4.8</x:v>
      </x:c>
      <x:c r="E26" s="11" t="str">
        <x:v>RMB bn</x:v>
      </x:c>
      <x:c r="F26" s="11" t="str">
        <x:v>低于2025A利润</x:v>
      </x:c>
    </x:row>
    <x:row r="27">
      <x:c r="A27" s="14" t="str">
        <x:v>正常化P/E</x:v>
      </x:c>
      <x:c r="B27" s="36" t="n">
        <x:v>12</x:v>
      </x:c>
      <x:c r="C27" s="36" t="n">
        <x:v>15</x:v>
      </x:c>
      <x:c r="D27" s="36" t="n">
        <x:v>18</x:v>
      </x:c>
      <x:c r="E27" s="14" t="str">
        <x:v>x</x:v>
      </x:c>
      <x:c r="F27" s="14" t="str">
        <x:v>约当前滚动利润</x:v>
      </x:c>
    </x:row>
    <x:row r="28">
      <x:c r="A28" s="14" t="str">
        <x:v>正常化每股股息</x:v>
      </x:c>
      <x:c r="B28" s="38" t="n">
        <x:v>0.6</x:v>
      </x:c>
      <x:c r="C28" s="38" t="n">
        <x:v>0.72</x:v>
      </x:c>
      <x:c r="D28" s="38" t="n">
        <x:v>0.85</x:v>
      </x:c>
      <x:c r="E28" s="14" t="str">
        <x:v>HKD/股</x:v>
      </x:c>
      <x:c r="F28" s="14" t="str">
        <x:v>接近2024A利润</x:v>
      </x:c>
    </x:row>
    <x:row r="29">
      <x:c r="A29" s="14" t="str">
        <x:v>要求股息率</x:v>
      </x:c>
      <x:c r="B29" s="121" t="n">
        <x:v>0.075</x:v>
      </x:c>
      <x:c r="C29" s="121" t="n">
        <x:v>0.06</x:v>
      </x:c>
      <x:c r="D29" s="121" t="n">
        <x:v>0.05</x:v>
      </x:c>
      <x:c r="E29" s="14" t="str">
        <x:v>%</x:v>
      </x:c>
      <x:c r="F29" s="14" t="str">
        <x:v>倍数包含品牌与治理折价</x:v>
      </x:c>
    </x:row>
    <x:row r="30">
      <x:c r="A30" s="14" t="str">
        <x:v>P/E法权重</x:v>
      </x:c>
      <x:c r="B30" s="121" t="n">
        <x:v>0.7</x:v>
      </x:c>
      <x:c r="C30" s="121" t="n">
        <x:v>0.7</x:v>
      </x:c>
      <x:c r="D30" s="121" t="n">
        <x:v>0.7</x:v>
      </x:c>
      <x:c r="E30" s="14" t="str">
        <x:v>%</x:v>
      </x:c>
      <x:c r="F30" s="14" t="str">
        <x:v>股息法权重30%</x:v>
      </x:c>
    </x:row>
    <x:row r="31">
      <x:c r="A31" s="16" t="str">
        <x:v>经营逻辑</x:v>
      </x:c>
      <x:c r="B31" s="104" t="str">
        <x:v>同店继续承压</x:v>
      </x:c>
      <x:c r="C31" s="104" t="str">
        <x:v>主品牌企稳</x:v>
      </x:c>
      <x:c r="D31" s="104" t="str">
        <x:v>同店与利润率修复</x:v>
      </x:c>
      <x:c r="E31" s="104"/>
      <x:c r="F31" s="104" t="str">
        <x:v>分析假设，不是一致预期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a31dc91c3b6b4b7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0" customHeight="1">
      <x:c r="A1" s="3" t="str">
        <x:v>正常化P/E + 股息资本化交叉验证</x:v>
      </x:c>
      <x:c r="B1" s="3" t="str">
        <x:v>正常化P/E + 股息资本化交叉验证</x:v>
      </x:c>
      <x:c r="C1" s="3" t="str">
        <x:v>正常化P/E + 股息资本化交叉验证</x:v>
      </x:c>
      <x:c r="D1" s="3" t="str">
        <x:v>正常化P/E + 股息资本化交叉验证</x:v>
      </x:c>
      <x:c r="E1" s="3" t="str">
        <x:v>正常化P/E + 股息资本化交叉验证</x:v>
      </x:c>
      <x:c r="F1" s="3" t="str">
        <x:v>正常化P/E + 股息资本化交叉验证</x:v>
      </x:c>
      <x:c r="G1" s="3" t="str">
        <x:v>正常化P/E + 股息资本化交叉验证</x:v>
      </x:c>
      <x:c r="H1" s="3" t="str">
        <x:v>正常化P/E + 股息资本化交叉验证</x:v>
      </x:c>
      <x:c r="I1" s="3" t="str">
        <x:v>正常化P/E + 股息资本化交叉验证</x:v>
      </x:c>
    </x:row>
    <x:row r="3">
      <x:c r="A3" s="19" t="str">
        <x:v>情景</x:v>
      </x:c>
      <x:c r="B3" s="20" t="str">
        <x:v>正常化利润</x:v>
      </x:c>
      <x:c r="C3" s="20" t="str">
        <x:v>P/E</x:v>
      </x:c>
      <x:c r="D3" s="20" t="str">
        <x:v>P/E价值/股</x:v>
      </x:c>
      <x:c r="E3" s="20" t="str">
        <x:v>股息/股</x:v>
      </x:c>
      <x:c r="F3" s="20" t="str">
        <x:v>要求收益率</x:v>
      </x:c>
      <x:c r="G3" s="20" t="str">
        <x:v>股息价值/股</x:v>
      </x:c>
      <x:c r="H3" s="20" t="str">
        <x:v>综合价值/股</x:v>
      </x:c>
      <x:c r="I3" s="21" t="str">
        <x:v>相对当前价格</x:v>
      </x:c>
    </x:row>
    <x:row r="5">
      <x:c r="A5" s="11" t="str">
        <x:v>Bear</x:v>
      </x:c>
      <x:c r="B5" s="86" t="n">
        <x:f>'Assumptions'!B26</x:f>
        <x:v>3.4</x:v>
      </x:c>
      <x:c r="C5" s="144" t="n">
        <x:f>'Assumptions'!B27</x:f>
        <x:v>12</x:v>
      </x:c>
      <x:c r="D5" s="34" t="n">
        <x:f>B5*C5/'Assumptions'!$B$5/'Assumptions'!$B$6</x:f>
        <x:v>8.453576865633242</x:v>
      </x:c>
      <x:c r="E5" s="34" t="n">
        <x:f>'Assumptions'!B28</x:f>
        <x:v>0.6</x:v>
      </x:c>
      <x:c r="F5" s="145" t="n">
        <x:f>'Assumptions'!B29</x:f>
        <x:v>0.075</x:v>
      </x:c>
      <x:c r="G5" s="34" t="n">
        <x:f>E5/F5</x:f>
        <x:v>8</x:v>
      </x:c>
      <x:c r="H5" s="146" t="n">
        <x:f>D5*'Assumptions'!$B$21+G5*'Assumptions'!$B$22</x:f>
        <x:v>8.317503805943268</x:v>
      </x:c>
      <x:c r="I5" s="87" t="n">
        <x:f>H5/'Assumptions'!$B$4-1</x:f>
        <x:v>-0.2710338469813087</x:v>
      </x:c>
    </x:row>
    <x:row r="6">
      <x:c r="A6" s="147" t="str">
        <x:v>Base</x:v>
      </x:c>
      <x:c r="B6" s="148" t="n">
        <x:f>'Assumptions'!C26</x:f>
        <x:v>4.1</x:v>
      </x:c>
      <x:c r="C6" s="149" t="n">
        <x:f>'Assumptions'!C27</x:f>
        <x:v>15</x:v>
      </x:c>
      <x:c r="D6" s="150" t="n">
        <x:f>B6*C6/'Assumptions'!$B$5/'Assumptions'!$B$6</x:f>
        <x:v>12.742523951873636</x:v>
      </x:c>
      <x:c r="E6" s="150" t="n">
        <x:f>'Assumptions'!C28</x:f>
        <x:v>0.72</x:v>
      </x:c>
      <x:c r="F6" s="151" t="n">
        <x:f>'Assumptions'!C29</x:f>
        <x:v>0.06</x:v>
      </x:c>
      <x:c r="G6" s="150" t="n">
        <x:f>E6/F6</x:f>
        <x:v>12</x:v>
      </x:c>
      <x:c r="H6" s="152" t="n">
        <x:f>D6*'Assumptions'!$B$21+G6*'Assumptions'!$B$22</x:f>
        <x:v>12.519766766311545</x:v>
      </x:c>
      <x:c r="I6" s="153" t="n">
        <x:f>H6/'Assumptions'!$B$4-1</x:f>
        <x:v>0.09726264384851402</x:v>
      </x:c>
    </x:row>
    <x:row r="7">
      <x:c r="A7" s="16" t="str">
        <x:v>Bull</x:v>
      </x:c>
      <x:c r="B7" s="88" t="n">
        <x:f>'Assumptions'!D26</x:f>
        <x:v>4.8</x:v>
      </x:c>
      <x:c r="C7" s="154" t="n">
        <x:f>'Assumptions'!D27</x:f>
        <x:v>18</x:v>
      </x:c>
      <x:c r="D7" s="155" t="n">
        <x:f>B7*C7/'Assumptions'!$B$5/'Assumptions'!$B$6</x:f>
        <x:v>17.901692186046866</x:v>
      </x:c>
      <x:c r="E7" s="155" t="n">
        <x:f>'Assumptions'!D28</x:f>
        <x:v>0.85</x:v>
      </x:c>
      <x:c r="F7" s="156" t="n">
        <x:f>'Assumptions'!D29</x:f>
        <x:v>0.05</x:v>
      </x:c>
      <x:c r="G7" s="155" t="n">
        <x:f>E7/F7</x:f>
        <x:v>17</x:v>
      </x:c>
      <x:c r="H7" s="157" t="n">
        <x:f>D7*'Assumptions'!$B$21+G7*'Assumptions'!$B$22</x:f>
        <x:v>17.631184530232805</x:v>
      </x:c>
      <x:c r="I7" s="39" t="n">
        <x:f>H7/'Assumptions'!$B$4-1</x:f>
        <x:v>0.5452396608442422</x:v>
      </x:c>
    </x:row>
    <x:row r="11">
      <x:c r="A11" s="19" t="str">
        <x:v>P/E敏感性：正常化利润与估值倍数（HKD/股）</x:v>
      </x:c>
      <x:c r="B11" s="20" t="str">
        <x:v>P/E敏感性：正常化利润与估值倍数（HKD/股）</x:v>
      </x:c>
      <x:c r="C11" s="20" t="str">
        <x:v>P/E敏感性：正常化利润与估值倍数（HKD/股）</x:v>
      </x:c>
      <x:c r="D11" s="20" t="str">
        <x:v>P/E敏感性：正常化利润与估值倍数（HKD/股）</x:v>
      </x:c>
      <x:c r="E11" s="20" t="str">
        <x:v>P/E敏感性：正常化利润与估值倍数（HKD/股）</x:v>
      </x:c>
      <x:c r="F11" s="20" t="str">
        <x:v>P/E敏感性：正常化利润与估值倍数（HKD/股）</x:v>
      </x:c>
      <x:c r="G11" s="21" t="str">
        <x:v>P/E敏感性：正常化利润与估值倍数（HKD/股）</x:v>
      </x:c>
    </x:row>
    <x:row r="12">
      <x:c r="A12" s="45" t="str">
        <x:v>利润 \ P/E</x:v>
      </x:c>
      <x:c r="B12" s="46" t="n">
        <x:v>12</x:v>
      </x:c>
      <x:c r="C12" s="46" t="n">
        <x:v>14</x:v>
      </x:c>
      <x:c r="D12" s="46" t="n">
        <x:v>15</x:v>
      </x:c>
      <x:c r="E12" s="46" t="n">
        <x:v>16</x:v>
      </x:c>
      <x:c r="F12" s="46" t="n">
        <x:v>18</x:v>
      </x:c>
      <x:c r="G12" s="47" t="str">
        <x:v>说明</x:v>
      </x:c>
    </x:row>
    <x:row r="13">
      <x:c r="A13" s="160" t="n">
        <x:v>3.4</x:v>
      </x:c>
      <x:c r="B13" s="34" t="n">
        <x:f>$A13*B$12/'Assumptions'!$B$5/'Assumptions'!$B$6</x:f>
        <x:v>8.453576865633242</x:v>
      </x:c>
      <x:c r="C13" s="34" t="n">
        <x:f>$A13*C$12/'Assumptions'!$B$5/'Assumptions'!$B$6</x:f>
        <x:v>9.862506343238783</x:v>
      </x:c>
      <x:c r="D13" s="34" t="n">
        <x:f>$A13*D$12/'Assumptions'!$B$5/'Assumptions'!$B$6</x:f>
        <x:v>10.566971082041553</x:v>
      </x:c>
      <x:c r="E13" s="34" t="n">
        <x:f>$A13*E$12/'Assumptions'!$B$5/'Assumptions'!$B$6</x:f>
        <x:v>11.271435820844323</x:v>
      </x:c>
      <x:c r="F13" s="34" t="n">
        <x:f>$A13*F$12/'Assumptions'!$B$5/'Assumptions'!$B$6</x:f>
        <x:v>12.680365298449862</x:v>
      </x:c>
      <x:c r="G13" s="11" t="str">
        <x:v>Bear利润</x:v>
      </x:c>
    </x:row>
    <x:row r="14">
      <x:c r="A14" s="161" t="n">
        <x:v>3.7</x:v>
      </x:c>
      <x:c r="B14" s="38" t="n">
        <x:f>$A14*B$12/'Assumptions'!$B$5/'Assumptions'!$B$6</x:f>
        <x:v>9.19948070671853</x:v>
      </x:c>
      <x:c r="C14" s="38" t="n">
        <x:f>$A14*C$12/'Assumptions'!$B$5/'Assumptions'!$B$6</x:f>
        <x:v>10.732727491171618</x:v>
      </x:c>
      <x:c r="D14" s="38" t="n">
        <x:f>$A14*D$12/'Assumptions'!$B$5/'Assumptions'!$B$6</x:f>
        <x:v>11.49935088339816</x:v>
      </x:c>
      <x:c r="E14" s="38" t="n">
        <x:f>$A14*E$12/'Assumptions'!$B$5/'Assumptions'!$B$6</x:f>
        <x:v>12.265974275624707</x:v>
      </x:c>
      <x:c r="F14" s="38" t="n">
        <x:f>$A14*F$12/'Assumptions'!$B$5/'Assumptions'!$B$6</x:f>
        <x:v>13.799221060077794</x:v>
      </x:c>
      <x:c r="G14" s="14" t="str">
        <x:v>弱恢复</x:v>
      </x:c>
    </x:row>
    <x:row r="15">
      <x:c r="A15" s="161" t="n">
        <x:v>4.1</x:v>
      </x:c>
      <x:c r="B15" s="38" t="n">
        <x:f>$A15*B$12/'Assumptions'!$B$5/'Assumptions'!$B$6</x:f>
        <x:v>10.19401916149891</x:v>
      </x:c>
      <x:c r="C15" s="38" t="n">
        <x:f>$A15*C$12/'Assumptions'!$B$5/'Assumptions'!$B$6</x:f>
        <x:v>11.89302235508206</x:v>
      </x:c>
      <x:c r="D15" s="38" t="n">
        <x:f>$A15*D$12/'Assumptions'!$B$5/'Assumptions'!$B$6</x:f>
        <x:v>12.742523951873636</x:v>
      </x:c>
      <x:c r="E15" s="38" t="n">
        <x:f>$A15*E$12/'Assumptions'!$B$5/'Assumptions'!$B$6</x:f>
        <x:v>13.592025548665214</x:v>
      </x:c>
      <x:c r="F15" s="38" t="n">
        <x:f>$A15*F$12/'Assumptions'!$B$5/'Assumptions'!$B$6</x:f>
        <x:v>15.291028742248365</x:v>
      </x:c>
      <x:c r="G15" s="14" t="str">
        <x:v>Base利润</x:v>
      </x:c>
    </x:row>
    <x:row r="16">
      <x:c r="A16" s="161" t="n">
        <x:v>4.5</x:v>
      </x:c>
      <x:c r="B16" s="38" t="n">
        <x:f>$A16*B$12/'Assumptions'!$B$5/'Assumptions'!$B$6</x:f>
        <x:v>11.188557616279292</x:v>
      </x:c>
      <x:c r="C16" s="38" t="n">
        <x:f>$A16*C$12/'Assumptions'!$B$5/'Assumptions'!$B$6</x:f>
        <x:v>13.053317218992506</x:v>
      </x:c>
      <x:c r="D16" s="38" t="n">
        <x:f>$A16*D$12/'Assumptions'!$B$5/'Assumptions'!$B$6</x:f>
        <x:v>13.985697020349116</x:v>
      </x:c>
      <x:c r="E16" s="38" t="n">
        <x:f>$A16*E$12/'Assumptions'!$B$5/'Assumptions'!$B$6</x:f>
        <x:v>14.918076821705723</x:v>
      </x:c>
      <x:c r="F16" s="38" t="n">
        <x:f>$A16*F$12/'Assumptions'!$B$5/'Assumptions'!$B$6</x:f>
        <x:v>16.782836424418935</x:v>
      </x:c>
      <x:c r="G16" s="14" t="str">
        <x:v>较强恢复</x:v>
      </x:c>
    </x:row>
    <x:row r="17">
      <x:c r="A17" s="162" t="n">
        <x:v>4.8</x:v>
      </x:c>
      <x:c r="B17" s="155" t="n">
        <x:f>$A17*B$12/'Assumptions'!$B$5/'Assumptions'!$B$6</x:f>
        <x:v>11.934461457364575</x:v>
      </x:c>
      <x:c r="C17" s="155" t="n">
        <x:f>$A17*C$12/'Assumptions'!$B$5/'Assumptions'!$B$6</x:f>
        <x:v>13.923538366925342</x:v>
      </x:c>
      <x:c r="D17" s="155" t="n">
        <x:f>$A17*D$12/'Assumptions'!$B$5/'Assumptions'!$B$6</x:f>
        <x:v>14.918076821705723</x:v>
      </x:c>
      <x:c r="E17" s="155" t="n">
        <x:f>$A17*E$12/'Assumptions'!$B$5/'Assumptions'!$B$6</x:f>
        <x:v>15.912615276486104</x:v>
      </x:c>
      <x:c r="F17" s="155" t="n">
        <x:f>$A17*F$12/'Assumptions'!$B$5/'Assumptions'!$B$6</x:f>
        <x:v>17.901692186046866</x:v>
      </x:c>
      <x:c r="G17" s="16" t="str">
        <x:v>Bull利润</x:v>
      </x:c>
    </x:row>
    <x:row r="20">
      <x:c r="A20" s="19" t="str">
        <x:v>估值限制</x:v>
      </x:c>
      <x:c r="B20" s="20" t="str">
        <x:v>估值限制</x:v>
      </x:c>
      <x:c r="C20" s="20" t="str">
        <x:v>估值限制</x:v>
      </x:c>
      <x:c r="D20" s="20" t="str">
        <x:v>估值限制</x:v>
      </x:c>
      <x:c r="E20" s="20" t="str">
        <x:v>估值限制</x:v>
      </x:c>
      <x:c r="F20" s="20" t="str">
        <x:v>估值限制</x:v>
      </x:c>
      <x:c r="G20" s="20" t="str">
        <x:v>估值限制</x:v>
      </x:c>
      <x:c r="H20" s="20" t="str">
        <x:v>估值限制</x:v>
      </x:c>
      <x:c r="I20" s="21" t="str">
        <x:v>估值限制</x:v>
      </x:c>
    </x:row>
    <x:row r="21">
      <x:c r="A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B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C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D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E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F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G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H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I21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</x:row>
    <x:row r="22">
      <x:c r="A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B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C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D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E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F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G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H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I22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</x:row>
    <x:row r="23">
      <x:c r="A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B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C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D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E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F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G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H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I23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</x:row>
    <x:row r="24">
      <x:c r="A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B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C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D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E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F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G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H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I24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</x:row>
    <x:row r="25">
      <x:c r="A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B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C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D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E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F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G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H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  <x:c r="I25" s="42" t="str">
        <x:v>正常化利润、倍数、股息和要求收益率均为分析假设，不是公司指引或一致预期。P/E价值已包含现金及理财收益，不再额外加净流动金融资产。估值使用55.74亿股法定已发行股份，而公司EPS使用扣除股份奖励信托持股后的加权平均股本。2026H1业绩公告没有现金流量表；若完整中报显示自由现金流显著弱于利润，应下调估值。</x:v>
      </x:c>
    </x:row>
  </x:sheetData>
  <x:mergeCells>
    <x:mergeCell ref="A1:I1"/>
    <x:mergeCell ref="A11:G11"/>
    <x:mergeCell ref="A20:I20"/>
    <x:mergeCell ref="A21:I25"/>
  </x:mergeCells>
  <x:conditionalFormatting sqref="B13:F1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6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IF(COUNTIF(F5:F14,"FAIL")=0,"OK","FAIL")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估值权重合计</x:v>
      </x:c>
      <x:c r="B5" s="165" t="n">
        <x:f>'Assumptions'!B21+'Assumptions'!B22</x:f>
        <x:v>1</x:v>
      </x:c>
      <x:c r="C5" s="165" t="n">
        <x:f>1</x:f>
        <x:v>1</x:v>
      </x:c>
      <x:c r="D5" s="165" t="n">
        <x:f>B5-C5</x:f>
        <x:v>0</x:v>
      </x:c>
      <x:c r="E5" s="165" t="n">
        <x:f>0.0001</x:f>
        <x:v>0.0001</x:v>
      </x:c>
      <x:c r="F5" s="11" t="str">
        <x:f>IF(ABS(D5)&lt;=E5,"OK","FAIL")</x:f>
        <x:v>OK</x:v>
      </x:c>
      <x:c r="G5" s="11" t="str">
        <x:v>P/E与股息法权重应为100%</x:v>
      </x:c>
    </x:row>
    <x:row r="6">
      <x:c r="A6" s="14" t="str">
        <x:v>市值换算</x:v>
      </x:c>
      <x:c r="B6" s="166" t="n">
        <x:f>'Assumptions'!B8</x:f>
        <x:v>55.0687605258</x:v>
      </x:c>
      <x:c r="C6" s="166" t="n">
        <x:f>'Assumptions'!B4*'Assumptions'!B5*'Assumptions'!B6</x:f>
        <x:v>55.0687605258</x:v>
      </x:c>
      <x:c r="D6" s="166" t="n">
        <x:f>B6-C6</x:f>
        <x:v>0</x:v>
      </x:c>
      <x:c r="E6" s="166" t="n">
        <x:f>0.0001</x:f>
        <x:v>0.0001</x:v>
      </x:c>
      <x:c r="F6" s="14" t="str">
        <x:f>IF(ABS(D6)&lt;=E6,"OK","FAIL")</x:f>
        <x:v>OK</x:v>
      </x:c>
      <x:c r="G6" s="14" t="str">
        <x:v>股价×股本×汇率</x:v>
      </x:c>
    </x:row>
    <x:row r="7">
      <x:c r="A7" s="14" t="str">
        <x:v>滚动利润桥</x:v>
      </x:c>
      <x:c r="B7" s="166" t="n">
        <x:f>'Assumptions'!B9</x:f>
        <x:v>4.0581700000000005</x:v>
      </x:c>
      <x:c r="C7" s="166" t="n">
        <x:f>'Historical'!D5-'Historical'!E5+'Historical'!F5</x:f>
        <x:v>4.0581700000000005</x:v>
      </x:c>
      <x:c r="D7" s="166" t="n">
        <x:f>B7-C7</x:f>
        <x:v>0</x:v>
      </x:c>
      <x:c r="E7" s="166" t="n">
        <x:f>0.0001</x:f>
        <x:v>0.0001</x:v>
      </x:c>
      <x:c r="F7" s="14" t="str">
        <x:f>IF(ABS(D7)&lt;=E7,"OK","FAIL")</x:f>
        <x:v>OK</x:v>
      </x:c>
      <x:c r="G7" s="14" t="str">
        <x:v>2025A-H1'25+H1'26</x:v>
      </x:c>
    </x:row>
    <x:row r="8">
      <x:c r="A8" s="14" t="str">
        <x:v>滚动P/E桥</x:v>
      </x:c>
      <x:c r="B8" s="166" t="n">
        <x:f>'Assumptions'!B10</x:f>
        <x:v>13.569850579399088</x:v>
      </x:c>
      <x:c r="C8" s="166" t="n">
        <x:f>'Assumptions'!B8/'Assumptions'!B9</x:f>
        <x:v>13.569850579399088</x:v>
      </x:c>
      <x:c r="D8" s="166" t="n">
        <x:f>B8-C8</x:f>
        <x:v>0</x:v>
      </x:c>
      <x:c r="E8" s="166" t="n">
        <x:f>0.0001</x:f>
        <x:v>0.0001</x:v>
      </x:c>
      <x:c r="F8" s="14" t="str">
        <x:f>IF(ABS(D8)&lt;=E8,"OK","FAIL")</x:f>
        <x:v>OK</x:v>
      </x:c>
      <x:c r="G8" s="14" t="str">
        <x:v>人民币市值/滚动利润</x:v>
      </x:c>
    </x:row>
    <x:row r="9">
      <x:c r="A9" s="14" t="str">
        <x:v>净流动金融资产桥</x:v>
      </x:c>
      <x:c r="B9" s="166" t="n">
        <x:f>'Operating Drivers'!G20</x:f>
        <x:v>8.434871</x:v>
      </x:c>
      <x:c r="C9" s="166" t="n">
        <x:f>'Assumptions'!B13-'Assumptions'!B14</x:f>
        <x:v>8.434871000000001</x:v>
      </x:c>
      <x:c r="D9" s="166" t="n">
        <x:f>B9-C9</x:f>
        <x:v>-1.7763568394002505e-15</x:v>
      </x:c>
      <x:c r="E9" s="166" t="n">
        <x:f>0.0001</x:f>
        <x:v>0.0001</x:v>
      </x:c>
      <x:c r="F9" s="14" t="str">
        <x:f>IF(ABS(D9)&lt;=E9,"OK","FAIL")</x:f>
        <x:v>OK</x:v>
      </x:c>
      <x:c r="G9" s="14" t="str">
        <x:v>金融资产-银行借款</x:v>
      </x:c>
    </x:row>
    <x:row r="10">
      <x:c r="A10" s="14" t="str">
        <x:v>收入分部合计</x:v>
      </x:c>
      <x:c r="B10" s="166" t="n">
        <x:f>SUM('Operating Drivers'!B4:B9)</x:f>
        <x:v>22.336906</x:v>
      </x:c>
      <x:c r="C10" s="166" t="n">
        <x:f>'Historical'!F4</x:f>
        <x:v>22.336906</x:v>
      </x:c>
      <x:c r="D10" s="166" t="n">
        <x:f>B10-C10</x:f>
        <x:v>0</x:v>
      </x:c>
      <x:c r="E10" s="166" t="n">
        <x:f>0.0001</x:f>
        <x:v>0.0001</x:v>
      </x:c>
      <x:c r="F10" s="14" t="str">
        <x:f>IF(ABS(D10)&lt;=E10,"OK","FAIL")</x:f>
        <x:v>OK</x:v>
      </x:c>
      <x:c r="G10" s="14" t="str">
        <x:v>六个收入分部等于总收入</x:v>
      </x:c>
    </x:row>
    <x:row r="11">
      <x:c r="A11" s="14" t="str">
        <x:v>成本率桥</x:v>
      </x:c>
      <x:c r="B11" s="166" t="n">
        <x:f>'Operating Drivers'!B13/'Historical'!F4- 'Operating Drivers'!C13/'Historical'!E4</x:f>
        <x:v>0.01769629810428275</x:v>
      </x:c>
      <x:c r="C11" s="166" t="n">
        <x:f>'Operating Drivers'!E13</x:f>
        <x:v>0.01769629810428275</x:v>
      </x:c>
      <x:c r="D11" s="166" t="n">
        <x:f>B11-C11</x:f>
        <x:v>0</x:v>
      </x:c>
      <x:c r="E11" s="166" t="n">
        <x:f>0.0001</x:f>
        <x:v>0.0001</x:v>
      </x:c>
      <x:c r="F11" s="14" t="str">
        <x:f>IF(ABS(D11)&lt;=E11,"OK","FAIL")</x:f>
        <x:v>OK</x:v>
      </x:c>
      <x:c r="G11" s="14" t="str">
        <x:v>原材料成本率同比变化</x:v>
      </x:c>
    </x:row>
    <x:row r="12">
      <x:c r="A12" s="14" t="str">
        <x:v>股本为正</x:v>
      </x:c>
      <x:c r="B12" s="166" t="n">
        <x:f>'Assumptions'!B5</x:f>
        <x:v>5.574</x:v>
      </x:c>
      <x:c r="C12" s="166" t="n">
        <x:f>0</x:f>
        <x:v>0</x:v>
      </x:c>
      <x:c r="D12" s="166" t="n">
        <x:f>B12-C12</x:f>
        <x:v>5.574</x:v>
      </x:c>
      <x:c r="E12" s="166" t="n">
        <x:f>0</x:f>
        <x:v>0</x:v>
      </x:c>
      <x:c r="F12" s="14" t="str">
        <x:f>IF(B12&gt;C12,"OK","FAIL")</x:f>
        <x:v>OK</x:v>
      </x:c>
      <x:c r="G12" s="14" t="str">
        <x:v>法定股本必须大于0</x:v>
      </x:c>
    </x:row>
    <x:row r="13">
      <x:c r="A13" s="14" t="str">
        <x:v>当前价格为正</x:v>
      </x:c>
      <x:c r="B13" s="166" t="n">
        <x:f>'Assumptions'!B4</x:f>
        <x:v>11.41</x:v>
      </x:c>
      <x:c r="C13" s="166" t="n">
        <x:f>0</x:f>
        <x:v>0</x:v>
      </x:c>
      <x:c r="D13" s="166" t="n">
        <x:f>B13-C13</x:f>
        <x:v>11.41</x:v>
      </x:c>
      <x:c r="E13" s="166" t="n">
        <x:f>0</x:f>
        <x:v>0</x:v>
      </x:c>
      <x:c r="F13" s="14" t="str">
        <x:f>IF(B13&gt;C13,"OK","FAIL")</x:f>
        <x:v>OK</x:v>
      </x:c>
      <x:c r="G13" s="14" t="str">
        <x:v>价格输入必须大于0</x:v>
      </x:c>
    </x:row>
    <x:row r="14">
      <x:c r="A14" s="16" t="str">
        <x:v>情景价值递增</x:v>
      </x:c>
      <x:c r="B14" s="167" t="n">
        <x:f>'Valuation'!H7-'Valuation'!H5</x:f>
        <x:v>9.313680724289537</x:v>
      </x:c>
      <x:c r="C14" s="167" t="n">
        <x:f>0</x:f>
        <x:v>0</x:v>
      </x:c>
      <x:c r="D14" s="167" t="n">
        <x:f>B14-C14</x:f>
        <x:v>9.313680724289537</x:v>
      </x:c>
      <x:c r="E14" s="167" t="n">
        <x:f>0</x:f>
        <x:v>0</x:v>
      </x:c>
      <x:c r="F14" s="16" t="str">
        <x:f>IF(B14&gt;C14,"OK","FAIL")</x:f>
        <x:v>OK</x:v>
      </x:c>
      <x:c r="G14" s="16" t="str">
        <x:v>Bull必须高于Bear</x:v>
      </x:c>
    </x:row>
  </x:sheetData>
  <x:mergeCells>
    <x:mergeCell ref="A1:G1"/>
    <x:mergeCell ref="A2:E2"/>
  </x:mergeCells>
  <x:conditionalFormatting sqref="F2:F14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1" hidden="0" customWidth="1"/>
    <x:col min="3" max="3" width="16" hidden="0" customWidth="1"/>
    <x:col min="4" max="4" width="16" hidden="0" customWidth="1"/>
    <x:col min="5" max="5" width="15" hidden="0" customWidth="1"/>
    <x:col min="6" max="6" width="28" hidden="0" customWidth="1"/>
    <x:col min="7" max="7" width="74" hidden="0" customWidth="1"/>
    <x:col min="8" max="8" width="34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98" t="str">
        <x:v>2026H1财务、经营、股息与治理</x:v>
      </x:c>
      <x:c r="C4" s="173"/>
      <x:c r="D4" s="98"/>
      <x:c r="E4" s="98" t="str">
        <x:v>1H26</x:v>
      </x:c>
      <x:c r="F4" s="98" t="str">
        <x:v>海底捞中期业绩公告</x:v>
      </x:c>
      <x:c r="G4" s="98" t="str">
        <x:v>https://www1.hkexnews.hk/listedco/listconews/sehk/2026/0825/2026082501119.pdf</x:v>
      </x:c>
      <x:c r="H4" s="98" t="str">
        <x:v>未经审计；无现金流量表</x:v>
      </x:c>
    </x:row>
    <x:row r="5" ht="45" customHeight="1">
      <x:c r="A5" s="14" t="str">
        <x:v>S2</x:v>
      </x:c>
      <x:c r="B5" s="100" t="str">
        <x:v>2025年度财务与关联交易</x:v>
      </x:c>
      <x:c r="C5" s="174"/>
      <x:c r="D5" s="100"/>
      <x:c r="E5" s="100" t="str">
        <x:v>FY2025</x:v>
      </x:c>
      <x:c r="F5" s="100" t="str">
        <x:v>海底捞2025年年度报告</x:v>
      </x:c>
      <x:c r="G5" s="100" t="str">
        <x:v>https://www1.hkexnews.hk/listedco/listconews/sehk/2026/0424/2026042401134.pdf</x:v>
      </x:c>
      <x:c r="H5" s="100" t="str">
        <x:v>德勤审计；标准无保留意见</x:v>
      </x:c>
    </x:row>
    <x:row r="6" ht="45" customHeight="1">
      <x:c r="A6" s="14" t="str">
        <x:v>S3</x:v>
      </x:c>
      <x:c r="B6" s="100" t="str">
        <x:v>2023-2024历史财务</x:v>
      </x:c>
      <x:c r="C6" s="174"/>
      <x:c r="D6" s="100"/>
      <x:c r="E6" s="100" t="str">
        <x:v>FY2024</x:v>
      </x:c>
      <x:c r="F6" s="100" t="str">
        <x:v>海底捞2024年年度报告</x:v>
      </x:c>
      <x:c r="G6" s="100" t="str">
        <x:v>https://www1.hkexnews.hk/listedco/listconews/sehk/2025/0424/2025042400828.pdf</x:v>
      </x:c>
      <x:c r="H6" s="100" t="str">
        <x:v>已审计</x:v>
      </x:c>
    </x:row>
    <x:row r="7" ht="45" customHeight="1">
      <x:c r="A7" s="14" t="str">
        <x:v>S4</x:v>
      </x:c>
      <x:c r="B7" s="100" t="str">
        <x:v>2025H1比较</x:v>
      </x:c>
      <x:c r="C7" s="174"/>
      <x:c r="D7" s="100"/>
      <x:c r="E7" s="100" t="str">
        <x:v>1H25</x:v>
      </x:c>
      <x:c r="F7" s="100" t="str">
        <x:v>海底捞2025年中期报告</x:v>
      </x:c>
      <x:c r="G7" s="100" t="str">
        <x:v>https://www1.hkexnews.hk/listedco/listconews/sehk/2025/0922/2025092200398.pdf</x:v>
      </x:c>
      <x:c r="H7" s="100" t="str">
        <x:v>未经审计</x:v>
      </x:c>
    </x:row>
    <x:row r="8" ht="45" customHeight="1">
      <x:c r="A8" s="14" t="str">
        <x:v>S5</x:v>
      </x:c>
      <x:c r="B8" s="100" t="str">
        <x:v>董事长兼CEO</x:v>
      </x:c>
      <x:c r="C8" s="174"/>
      <x:c r="D8" s="100"/>
      <x:c r="E8" s="100" t="str">
        <x:v>2026-01-13</x:v>
      </x:c>
      <x:c r="F8" s="100" t="str">
        <x:v>CEO及董事会变更公告</x:v>
      </x:c>
      <x:c r="G8" s="100" t="str">
        <x:v>https://www1.hkexnews.hk/listedco/listconews/sehk/2026/0113/2026011300559.pdf</x:v>
      </x:c>
      <x:c r="H8" s="100" t="str">
        <x:v>公司正式公告</x:v>
      </x:c>
    </x:row>
    <x:row r="9" ht="45" customHeight="1">
      <x:c r="A9" s="14" t="str">
        <x:v>S6</x:v>
      </x:c>
      <x:c r="B9" s="100" t="str">
        <x:v>创始人增持均价</x:v>
      </x:c>
      <x:c r="C9" s="174" t="n">
        <x:v>13.39</x:v>
      </x:c>
      <x:c r="D9" s="100" t="str">
        <x:v>HKD/股</x:v>
      </x:c>
      <x:c r="E9" s="100" t="str">
        <x:v>2026-05-22</x:v>
      </x:c>
      <x:c r="F9" s="100" t="str">
        <x:v>控股股东增持公告</x:v>
      </x:c>
      <x:c r="G9" s="100" t="str">
        <x:v>https://www1.hkexnews.hk/listedco/listconews/sehk/2026/0522/2026052201150.pdf</x:v>
      </x:c>
      <x:c r="H9" s="100" t="str">
        <x:v>个人资金；权益约37.56%</x:v>
      </x:c>
    </x:row>
    <x:row r="10" ht="45" customHeight="1">
      <x:c r="A10" s="14" t="str">
        <x:v>S7</x:v>
      </x:c>
      <x:c r="B10" s="100" t="str">
        <x:v>已发行股份</x:v>
      </x:c>
      <x:c r="C10" s="174" t="n">
        <x:v>5.574</x:v>
      </x:c>
      <x:c r="D10" s="100" t="str">
        <x:v>bn shares</x:v>
      </x:c>
      <x:c r="E10" s="100" t="str">
        <x:v>2026-07-31</x:v>
      </x:c>
      <x:c r="F10" s="100" t="str">
        <x:v>股份月报</x:v>
      </x:c>
      <x:c r="G10" s="100" t="str">
        <x:v>https://www1.hkexnews.hk/listedco/listconews/sehk/2026/0805/2026080501010.pdf</x:v>
      </x:c>
      <x:c r="H10" s="100" t="str">
        <x:v>法定已发行股份口径</x:v>
      </x:c>
    </x:row>
    <x:row r="11" ht="45" customHeight="1">
      <x:c r="A11" s="14" t="str">
        <x:v>M1</x:v>
      </x:c>
      <x:c r="B11" s="100" t="str">
        <x:v>港股收盘价</x:v>
      </x:c>
      <x:c r="C11" s="174" t="n">
        <x:v>11.41</x:v>
      </x:c>
      <x:c r="D11" s="100" t="str">
        <x:v>HKD/股</x:v>
      </x:c>
      <x:c r="E11" s="100" t="str">
        <x:v>2026-08-25</x:v>
      </x:c>
      <x:c r="F11" s="100" t="str">
        <x:v>新浪财经业绩报道</x:v>
      </x:c>
      <x:c r="G11" s="100" t="str">
        <x:v>https://finance.sina.com.cn/jjxw/2026-08-25/doc-inippvuh9587221.shtml</x:v>
      </x:c>
      <x:c r="H11" s="100" t="str">
        <x:v>二级来源；业绩盘后发布</x:v>
      </x:c>
    </x:row>
    <x:row r="12" ht="45" customHeight="1">
      <x:c r="A12" s="14" t="str">
        <x:v>M2</x:v>
      </x:c>
      <x:c r="B12" s="100" t="str">
        <x:v>HKD兑RMB</x:v>
      </x:c>
      <x:c r="C12" s="174" t="n">
        <x:v>0.86587</x:v>
      </x:c>
      <x:c r="D12" s="100" t="str">
        <x:v>RMB/HKD</x:v>
      </x:c>
      <x:c r="E12" s="100" t="str">
        <x:v>2026-08-25</x:v>
      </x:c>
      <x:c r="F12" s="100" t="str">
        <x:v>新华社汇率中间价</x:v>
      </x:c>
      <x:c r="G12" s="100" t="str">
        <x:v>https://www3.xinhuanet.com/20260825/fe315eed4ea54f22a05585a8c897b451/c.html</x:v>
      </x:c>
      <x:c r="H12" s="100" t="str">
        <x:v>100港元=86.587人民币</x:v>
      </x:c>
    </x:row>
    <x:row r="13" ht="45" customHeight="1">
      <x:c r="A13" s="14" t="str">
        <x:v>M3</x:v>
      </x:c>
      <x:c r="B13" s="100" t="str">
        <x:v>餐饮行业增长</x:v>
      </x:c>
      <x:c r="C13" s="103" t="n">
        <x:v>0.028</x:v>
      </x:c>
      <x:c r="D13" s="100" t="str">
        <x:v>同比</x:v>
      </x:c>
      <x:c r="E13" s="100" t="str">
        <x:v>1H26</x:v>
      </x:c>
      <x:c r="F13" s="100" t="str">
        <x:v>国家统计局</x:v>
      </x:c>
      <x:c r="G13" s="100" t="str">
        <x:v>https://www.stats.gov.cn/sj/zxfbhjd/202607/t20260715_1964127.html</x:v>
      </x:c>
      <x:c r="H13" s="100" t="str">
        <x:v>餐饮总量；限额以上+1.8%</x:v>
      </x:c>
    </x:row>
    <x:row r="14" ht="45" customHeight="1">
      <x:c r="A14" s="14" t="str">
        <x:v>A1</x:v>
      </x:c>
      <x:c r="B14" s="100" t="str">
        <x:v>Base正常化利润</x:v>
      </x:c>
      <x:c r="C14" s="174" t="n">
        <x:v>4.1</x:v>
      </x:c>
      <x:c r="D14" s="100" t="str">
        <x:v>RMB bn</x:v>
      </x:c>
      <x:c r="E14" s="100" t="str">
        <x:v>Base</x:v>
      </x:c>
      <x:c r="F14" s="100" t="str">
        <x:v>分析假设</x:v>
      </x:c>
      <x:c r="G14" s="100" t="str"/>
      <x:c r="H14" s="100" t="str">
        <x:v>不是一致预期</x:v>
      </x:c>
    </x:row>
    <x:row r="15" ht="45" customHeight="1">
      <x:c r="A15" s="14" t="str">
        <x:v>A2</x:v>
      </x:c>
      <x:c r="B15" s="100" t="str">
        <x:v>Base P/E</x:v>
      </x:c>
      <x:c r="C15" s="174" t="n">
        <x:v>15</x:v>
      </x:c>
      <x:c r="D15" s="100" t="str">
        <x:v>x</x:v>
      </x:c>
      <x:c r="E15" s="100" t="str">
        <x:v>Base</x:v>
      </x:c>
      <x:c r="F15" s="100" t="str">
        <x:v>分析假设</x:v>
      </x:c>
      <x:c r="G15" s="100" t="str"/>
      <x:c r="H15" s="100" t="str">
        <x:v>反映品牌、现金回报与增长质量</x:v>
      </x:c>
    </x:row>
    <x:row r="16" ht="45" customHeight="1">
      <x:c r="A16" s="14" t="str">
        <x:v>A3</x:v>
      </x:c>
      <x:c r="B16" s="100" t="str">
        <x:v>Base正常化股息</x:v>
      </x:c>
      <x:c r="C16" s="174" t="n">
        <x:v>0.72</x:v>
      </x:c>
      <x:c r="D16" s="100" t="str">
        <x:v>HKD/股</x:v>
      </x:c>
      <x:c r="E16" s="100" t="str">
        <x:v>Base</x:v>
      </x:c>
      <x:c r="F16" s="100" t="str">
        <x:v>分析假设</x:v>
      </x:c>
      <x:c r="G16" s="100" t="str"/>
      <x:c r="H16" s="100" t="str">
        <x:v>接近2025实际股息</x:v>
      </x:c>
    </x:row>
    <x:row r="17" ht="45" customHeight="1">
      <x:c r="A17" s="16" t="str">
        <x:v>A4</x:v>
      </x:c>
      <x:c r="B17" s="104" t="str">
        <x:v>Base要求股息率</x:v>
      </x:c>
      <x:c r="C17" s="175" t="n">
        <x:v>0.06</x:v>
      </x:c>
      <x:c r="D17" s="104" t="str">
        <x:v>%</x:v>
      </x:c>
      <x:c r="E17" s="104" t="str">
        <x:v>Base</x:v>
      </x:c>
      <x:c r="F17" s="104" t="str">
        <x:v>分析假设</x:v>
      </x:c>
      <x:c r="G17" s="104" t="str"/>
      <x:c r="H17" s="104" t="str">
        <x:v>不是收益保证</x:v>
      </x:c>
    </x:row>
  </x:sheetData>
  <x:mergeCells>
    <x:mergeCell ref="A1:H1"/>
  </x:mergeCells>
  <x:pageMargins left="0.7" right="0.7" top="0.75" bottom="0.75" header="0.3" footer="0.3"/>
</x:worksheet>
</file>
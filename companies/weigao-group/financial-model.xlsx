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64d0a0ad1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004cb02020b41c8"/>
    <x:sheet xmlns:r="http://schemas.openxmlformats.org/officeDocument/2006/relationships" name="Historical" sheetId="2" r:id="R79e42e81b3714979"/>
    <x:sheet xmlns:r="http://schemas.openxmlformats.org/officeDocument/2006/relationships" name="Segments" sheetId="3" r:id="R986ab5b076484774"/>
    <x:sheet xmlns:r="http://schemas.openxmlformats.org/officeDocument/2006/relationships" name="Balance &amp; Cash" sheetId="4" r:id="R8ff99350b0b44d05"/>
    <x:sheet xmlns:r="http://schemas.openxmlformats.org/officeDocument/2006/relationships" name="Assumptions" sheetId="5" r:id="R2a5302c5afbe49ec"/>
    <x:sheet xmlns:r="http://schemas.openxmlformats.org/officeDocument/2006/relationships" name="Transaction" sheetId="6" r:id="R7589445a34e840ce"/>
    <x:sheet xmlns:r="http://schemas.openxmlformats.org/officeDocument/2006/relationships" name="Valuation" sheetId="7" r:id="Rf4b04c93d543420b"/>
    <x:sheet xmlns:r="http://schemas.openxmlformats.org/officeDocument/2006/relationships" name="Checks" sheetId="8" r:id="R3895559fc4554b42"/>
    <x:sheet xmlns:r="http://schemas.openxmlformats.org/officeDocument/2006/relationships" name="Sources Audit" sheetId="9" r:id="R1e56a468cca2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-mm-dd"/>
    <x:numFmt numFmtId="201" formatCode="&quot;HKD &quot;0.00"/>
    <x:numFmt numFmtId="202" formatCode="0.0&quot; mn&quot;"/>
    <x:numFmt numFmtId="203" formatCode="0.0%;[Red](0.0%);-"/>
    <x:numFmt numFmtId="204" formatCode="0.0x"/>
    <x:numFmt numFmtId="205" formatCode="0.00x"/>
    <x:numFmt numFmtId="206" formatCode="0.0&quot; mn&quot;;[Red](0.0&quot; mn&quot;);-"/>
    <x:numFmt numFmtId="207" formatCode="&quot;RMB &quot;0.00"/>
    <x:numFmt numFmtId="208" formatCode="&quot;RMB &quot;0.0000"/>
    <x:numFmt numFmtId="209" formatCode="0.0%"/>
    <x:numFmt numFmtId="210" formatCode="0.0000"/>
    <x:numFmt numFmtId="211" formatCode="0&quot; mn&quot;"/>
    <x:numFmt numFmtId="212" formatCode="0x"/>
    <x:numFmt numFmtId="213" formatCode="0%"/>
    <x:numFmt numFmtId="214" formatCode="0.000&quot; mn&quot;"/>
    <x:numFmt numFmtId="215" formatCode="0.00%"/>
    <x:numFmt numFmtId="216" formatCode="&quot;HKD &quot;0.000"/>
    <x:numFmt numFmtId="217" formatCode="0.000"/>
  </x:numFmts>
  <x:fonts count="13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</x:fills>
  <x:borders count="11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6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1" fontId="5" fillId="0" borderId="3" xfId="0" applyNumberFormat="1" applyFont="1" applyFill="1" applyBorder="1"/>
    <x:xf numFmtId="205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6" fontId="8" fillId="0" borderId="0" xfId="0" applyNumberFormat="1" applyFont="1" applyFill="1" applyBorder="1"/>
    <x:xf numFmtId="203" fontId="8" fillId="0" borderId="0" xfId="0" applyNumberFormat="1" applyFont="1" applyFill="1" applyBorder="1"/>
    <x:xf numFmtId="207" fontId="8" fillId="0" borderId="0" xfId="0" applyNumberFormat="1" applyFont="1" applyFill="1" applyBorder="1"/>
    <x:xf numFmtId="208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0" fillId="5" borderId="0" xfId="0" applyNumberFormat="1" applyFont="1" applyFill="1" applyBorder="1"/>
    <x:xf numFmtId="203" fontId="8" fillId="5" borderId="0" xfId="0" applyNumberFormat="1" applyFont="1" applyFill="1" applyBorder="1"/>
    <x:xf numFmtId="203" fontId="0" fillId="5" borderId="0" xfId="0" applyNumberFormat="1" applyFont="1" applyFill="1" applyBorder="1"/>
    <x:xf numFmtId="0" fontId="3" fillId="5" borderId="0" xfId="0" applyNumberFormat="1" applyFont="1" applyFill="1" applyBorder="1"/>
    <x:xf numFmtId="203" fontId="9" fillId="5" borderId="0" xfId="0" applyNumberFormat="1" applyFont="1" applyFill="1" applyBorder="1"/>
    <x:xf numFmtId="203" fontId="3" fillId="5" borderId="0" xfId="0" applyNumberFormat="1" applyFont="1" applyFill="1" applyBorder="1"/>
    <x:xf numFmtId="203" fontId="5" fillId="5" borderId="0" xfId="0" applyNumberFormat="1" applyFont="1" applyFill="1" applyBorder="1"/>
    <x:xf numFmtId="203" fontId="4" fillId="5" borderId="0" xfId="0" applyNumberFormat="1" applyFont="1" applyFill="1" applyBorder="1"/>
    <x:xf numFmtId="206" fontId="8" fillId="5" borderId="0" xfId="0" applyNumberFormat="1" applyFont="1" applyFill="1" applyBorder="1"/>
    <x:xf numFmtId="206" fontId="9" fillId="5" borderId="0" xfId="0" applyNumberFormat="1" applyFont="1" applyFill="1" applyBorder="1"/>
    <x:xf numFmtId="0" fontId="3" fillId="6" borderId="0" xfId="0" applyNumberFormat="1" applyFont="1" applyFill="1" applyBorder="1"/>
    <x:xf numFmtId="203" fontId="4" fillId="6" borderId="0" xfId="0" applyNumberFormat="1" applyFont="1" applyFill="1" applyBorder="1"/>
    <x:xf numFmtId="203" fontId="3" fillId="6" borderId="0" xfId="0" applyNumberFormat="1" applyFont="1" applyFill="1" applyBorder="1"/>
    <x:xf numFmtId="0" fontId="0" fillId="6" borderId="0" xfId="0" applyNumberFormat="1" applyFont="1" applyFill="1" applyBorder="1"/>
    <x:xf numFmtId="206" fontId="8" fillId="6" borderId="0" xfId="0" applyNumberFormat="1" applyFont="1" applyFill="1" applyBorder="1"/>
    <x:xf numFmtId="203" fontId="0" fillId="6" borderId="0" xfId="0" applyNumberFormat="1" applyFont="1" applyFill="1" applyBorder="1"/>
    <x:xf numFmtId="203" fontId="9" fillId="6" borderId="0" xfId="0" applyNumberFormat="1" applyFont="1" applyFill="1" applyBorder="1"/>
    <x:xf numFmtId="0" fontId="10" fillId="5" borderId="0" xfId="0" applyNumberFormat="1" applyFont="1" applyFill="1" applyBorder="1"/>
    <x:xf numFmtId="206" fontId="5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206" fontId="5" fillId="6" borderId="0" xfId="0" applyNumberFormat="1" applyFont="1" applyFill="1" applyBorder="1"/>
    <x:xf numFmtId="203" fontId="5" fillId="6" borderId="0" xfId="0" applyNumberFormat="1" applyFont="1" applyFill="1" applyBorder="1"/>
    <x:xf numFmtId="206" fontId="4" fillId="5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  <x:xf numFmtId="0" fontId="11" fillId="5" borderId="0" xfId="0" applyNumberFormat="1" applyFont="1" applyFill="1" applyBorder="1"/>
    <x:xf numFmtId="206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4" fillId="5" borderId="3" xfId="0" applyNumberFormat="1" applyFont="1" applyFill="1" applyBorder="1"/>
    <x:xf numFmtId="203" fontId="4" fillId="5" borderId="3" xfId="0" applyNumberFormat="1" applyFont="1" applyFill="1" applyBorder="1"/>
    <x:xf numFmtId="206" fontId="5" fillId="0" borderId="3" xfId="0" applyNumberFormat="1" applyFont="1" applyFill="1" applyBorder="1"/>
    <x:xf numFmtId="0" fontId="4" fillId="6" borderId="3" xfId="0" applyNumberFormat="1" applyFont="1" applyFill="1" applyBorder="1"/>
    <x:xf numFmtId="203" fontId="4" fillId="6" borderId="3" xfId="0" applyNumberFormat="1" applyFont="1" applyFill="1" applyBorder="1"/>
    <x:xf numFmtId="0" fontId="5" fillId="6" borderId="3" xfId="0" applyNumberFormat="1" applyFont="1" applyFill="1" applyBorder="1"/>
    <x:xf numFmtId="206" fontId="5" fillId="6" borderId="3" xfId="0" applyNumberFormat="1" applyFont="1" applyFill="1" applyBorder="1"/>
    <x:xf numFmtId="203" fontId="5" fillId="6" borderId="3" xfId="0" applyNumberFormat="1" applyFont="1" applyFill="1" applyBorder="1"/>
    <x:xf numFmtId="206" fontId="4" fillId="5" borderId="3" xfId="0" applyNumberFormat="1" applyFont="1" applyFill="1" applyBorder="1"/>
    <x:xf numFmtId="207" fontId="5" fillId="0" borderId="3" xfId="0" applyNumberFormat="1" applyFont="1" applyFill="1" applyBorder="1"/>
    <x:xf numFmtId="208" fontId="5" fillId="0" borderId="3" xfId="0" applyNumberFormat="1" applyFont="1" applyFill="1" applyBorder="1"/>
    <x:xf numFmtId="0" fontId="11" fillId="5" borderId="4" xfId="0" applyNumberFormat="1" applyFont="1" applyFill="1" applyBorder="1"/>
    <x:xf numFmtId="206" fontId="8" fillId="3" borderId="0" xfId="0" applyNumberFormat="1" applyFont="1" applyFill="1" applyBorder="1"/>
    <x:xf numFmtId="203" fontId="0" fillId="3" borderId="0" xfId="0" applyNumberFormat="1" applyFont="1" applyFill="1" applyBorder="1"/>
    <x:xf numFmtId="0" fontId="5" fillId="3" borderId="0" xfId="0" applyNumberFormat="1" applyFont="1" applyFill="1" applyBorder="1"/>
    <x:xf numFmtId="206" fontId="5" fillId="3" borderId="0" xfId="0" applyNumberFormat="1" applyFont="1" applyFill="1" applyBorder="1"/>
    <x:xf numFmtId="203" fontId="5" fillId="3" borderId="0" xfId="0" applyNumberFormat="1" applyFont="1" applyFill="1" applyBorder="1"/>
    <x:xf numFmtId="0" fontId="5" fillId="3" borderId="3" xfId="0" applyNumberFormat="1" applyFont="1" applyFill="1" applyBorder="1"/>
    <x:xf numFmtId="206" fontId="5" fillId="3" borderId="3" xfId="0" applyNumberFormat="1" applyFont="1" applyFill="1" applyBorder="1"/>
    <x:xf numFmtId="203" fontId="5" fillId="3" borderId="3" xfId="0" applyNumberFormat="1" applyFont="1" applyFill="1" applyBorder="1"/>
    <x:xf numFmtId="206" fontId="5" fillId="0" borderId="4" xfId="0" applyNumberFormat="1" applyFont="1" applyFill="1" applyBorder="1"/>
    <x:xf numFmtId="203" fontId="5" fillId="0" borderId="4" xfId="0" applyNumberFormat="1" applyFont="1" applyFill="1" applyBorder="1"/>
    <x:xf numFmtId="0" fontId="5" fillId="6" borderId="2" xfId="0" applyNumberFormat="1" applyFont="1" applyFill="1" applyBorder="1"/>
    <x:xf numFmtId="206" fontId="5" fillId="6" borderId="2" xfId="0" applyNumberFormat="1" applyFont="1" applyFill="1" applyBorder="1"/>
    <x:xf numFmtId="203" fontId="5" fillId="6" borderId="2" xfId="0" applyNumberFormat="1" applyFont="1" applyFill="1" applyBorder="1"/>
    <x:xf numFmtId="202" fontId="5" fillId="0" borderId="2" xfId="0" applyNumberFormat="1" applyFont="1" applyFill="1" applyBorder="1"/>
    <x:xf numFmtId="202" fontId="5" fillId="0" borderId="4" xfId="0" applyNumberFormat="1" applyFont="1" applyFill="1" applyBorder="1"/>
    <x:xf numFmtId="202" fontId="8" fillId="6" borderId="0" xfId="0" applyNumberFormat="1" applyFont="1" applyFill="1" applyBorder="1"/>
    <x:xf numFmtId="202" fontId="8" fillId="5" borderId="0" xfId="0" applyNumberFormat="1" applyFont="1" applyFill="1" applyBorder="1"/>
    <x:xf numFmtId="202" fontId="5" fillId="6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6" borderId="3" xfId="0" applyNumberFormat="1" applyFont="1" applyFill="1" applyBorder="1"/>
    <x:xf numFmtId="0" fontId="5" fillId="5" borderId="3" xfId="0" applyNumberFormat="1" applyFont="1" applyFill="1" applyBorder="1"/>
    <x:xf numFmtId="202" fontId="5" fillId="5" borderId="3" xfId="0" applyNumberFormat="1" applyFont="1" applyFill="1" applyBorder="1"/>
    <x:xf numFmtId="203" fontId="5" fillId="5" borderId="3" xfId="0" applyNumberFormat="1" applyFont="1" applyFill="1" applyBorder="1"/>
    <x:xf numFmtId="0" fontId="5" fillId="5" borderId="4" xfId="0" applyNumberFormat="1" applyFont="1" applyFill="1" applyBorder="1"/>
    <x:xf numFmtId="202" fontId="5" fillId="5" borderId="4" xfId="0" applyNumberFormat="1" applyFont="1" applyFill="1" applyBorder="1"/>
    <x:xf numFmtId="203" fontId="5" fillId="5" borderId="4" xfId="0" applyNumberFormat="1" applyFont="1" applyFill="1" applyBorder="1"/>
    <x:xf numFmtId="209" fontId="0" fillId="0" borderId="0" xfId="0" applyNumberFormat="1" applyFont="1" applyFill="1" applyBorder="1"/>
    <x:xf numFmtId="209" fontId="5" fillId="0" borderId="0" xfId="0" applyNumberFormat="1" applyFont="1" applyFill="1" applyBorder="1"/>
    <x:xf numFmtId="202" fontId="5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202" fontId="4" fillId="3" borderId="3" xfId="0" applyNumberFormat="1" applyFont="1" applyFill="1" applyBorder="1"/>
    <x:xf numFmtId="205" fontId="5" fillId="0" borderId="3" xfId="0" applyNumberFormat="1" applyFont="1" applyFill="1" applyBorder="1"/>
    <x:xf numFmtId="209" fontId="5" fillId="0" borderId="3" xfId="0" applyNumberFormat="1" applyFont="1" applyFill="1" applyBorder="1"/>
    <x:xf numFmtId="209" fontId="5" fillId="0" borderId="4" xfId="0" applyNumberFormat="1" applyFont="1" applyFill="1" applyBorder="1"/>
    <x:xf numFmtId="202" fontId="0" fillId="6" borderId="0" xfId="0" applyNumberFormat="1" applyFont="1" applyFill="1" applyBorder="1"/>
    <x:xf numFmtId="209" fontId="0" fillId="6" borderId="0" xfId="0" applyNumberFormat="1" applyFont="1" applyFill="1" applyBorder="1"/>
    <x:xf numFmtId="209" fontId="5" fillId="6" borderId="0" xfId="0" applyNumberFormat="1" applyFont="1" applyFill="1" applyBorder="1"/>
    <x:xf numFmtId="202" fontId="5" fillId="6" borderId="2" xfId="0" applyNumberFormat="1" applyFont="1" applyFill="1" applyBorder="1"/>
    <x:xf numFmtId="209" fontId="5" fillId="6" borderId="3" xfId="0" applyNumberFormat="1" applyFont="1" applyFill="1" applyBorder="1"/>
    <x:xf numFmtId="0" fontId="5" fillId="6" borderId="4" xfId="0" applyNumberFormat="1" applyFont="1" applyFill="1" applyBorder="1"/>
    <x:xf numFmtId="202" fontId="5" fillId="6" borderId="4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10" fontId="8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3" xfId="0" applyNumberFormat="1" applyFont="1" applyFill="1" applyBorder="1"/>
    <x:xf numFmtId="208" fontId="5" fillId="0" borderId="4" xfId="0" applyNumberFormat="1" applyFont="1" applyFill="1" applyBorder="1"/>
    <x:xf numFmtId="211" fontId="8" fillId="0" borderId="0" xfId="0" applyNumberFormat="1" applyFont="1" applyFill="1" applyBorder="1"/>
    <x:xf numFmtId="212" fontId="8" fillId="0" borderId="0" xfId="0" applyNumberFormat="1" applyFont="1" applyFill="1" applyBorder="1"/>
    <x:xf numFmtId="213" fontId="8" fillId="0" borderId="0" xfId="0" applyNumberFormat="1" applyFont="1" applyFill="1" applyBorder="1"/>
    <x:xf numFmtId="211" fontId="8" fillId="3" borderId="0" xfId="0" applyNumberFormat="1" applyFont="1" applyFill="1" applyBorder="1"/>
    <x:xf numFmtId="212" fontId="8" fillId="3" borderId="0" xfId="0" applyNumberFormat="1" applyFont="1" applyFill="1" applyBorder="1"/>
    <x:xf numFmtId="213" fontId="8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1" fontId="5" fillId="0" borderId="0" xfId="0" applyNumberFormat="1" applyFont="1" applyFill="1" applyBorder="1"/>
    <x:xf numFmtId="212" fontId="5" fillId="0" borderId="0" xfId="0" applyNumberFormat="1" applyFont="1" applyFill="1" applyBorder="1"/>
    <x:xf numFmtId="213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11" fontId="5" fillId="3" borderId="0" xfId="0" applyNumberFormat="1" applyFont="1" applyFill="1" applyBorder="1"/>
    <x:xf numFmtId="212" fontId="5" fillId="3" borderId="0" xfId="0" applyNumberFormat="1" applyFont="1" applyFill="1" applyBorder="1"/>
    <x:xf numFmtId="213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11" fontId="5" fillId="0" borderId="2" xfId="0" applyNumberFormat="1" applyFont="1" applyFill="1" applyBorder="1"/>
    <x:xf numFmtId="212" fontId="5" fillId="0" borderId="2" xfId="0" applyNumberFormat="1" applyFont="1" applyFill="1" applyBorder="1"/>
    <x:xf numFmtId="213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11" fontId="5" fillId="3" borderId="3" xfId="0" applyNumberFormat="1" applyFont="1" applyFill="1" applyBorder="1"/>
    <x:xf numFmtId="212" fontId="5" fillId="3" borderId="3" xfId="0" applyNumberFormat="1" applyFont="1" applyFill="1" applyBorder="1"/>
    <x:xf numFmtId="213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211" fontId="5" fillId="0" borderId="4" xfId="0" applyNumberFormat="1" applyFont="1" applyFill="1" applyBorder="1"/>
    <x:xf numFmtId="212" fontId="5" fillId="0" borderId="4" xfId="0" applyNumberFormat="1" applyFont="1" applyFill="1" applyBorder="1"/>
    <x:xf numFmtId="213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top" wrapText="1"/>
    </x:xf>
    <x:xf numFmtId="214" fontId="0" fillId="0" borderId="0" xfId="0" applyNumberFormat="1" applyFont="1" applyFill="1" applyBorder="1"/>
    <x:xf numFmtId="215" fontId="0" fillId="0" borderId="0" xfId="0" applyNumberFormat="1" applyFont="1" applyFill="1" applyBorder="1"/>
    <x:xf numFmtId="214" fontId="8" fillId="0" borderId="0" xfId="0" applyNumberFormat="1" applyFont="1" applyFill="1" applyBorder="1"/>
    <x:xf numFmtId="215" fontId="8" fillId="0" borderId="0" xfId="0" applyNumberFormat="1" applyFont="1" applyFill="1" applyBorder="1"/>
    <x:xf numFmtId="215" fontId="8" fillId="3" borderId="0" xfId="0" applyNumberFormat="1" applyFont="1" applyFill="1" applyBorder="1"/>
    <x:xf numFmtId="214" fontId="5" fillId="0" borderId="0" xfId="0" applyNumberFormat="1" applyFont="1" applyFill="1" applyBorder="1"/>
    <x:xf numFmtId="215" fontId="5" fillId="0" borderId="0" xfId="0" applyNumberFormat="1" applyFont="1" applyFill="1" applyBorder="1"/>
    <x:xf numFmtId="215" fontId="5" fillId="3" borderId="0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215" fontId="5" fillId="0" borderId="3" xfId="0" applyNumberFormat="1" applyFont="1" applyFill="1" applyBorder="1"/>
    <x:xf numFmtId="215" fontId="5" fillId="3" borderId="3" xfId="0" applyNumberFormat="1" applyFont="1" applyFill="1" applyBorder="1"/>
    <x:xf numFmtId="202" fontId="8" fillId="3" borderId="0" xfId="0" applyNumberFormat="1" applyFont="1" applyFill="1" applyBorder="1"/>
    <x:xf numFmtId="0" fontId="5" fillId="3" borderId="4" xfId="0" applyNumberFormat="1" applyFont="1" applyFill="1" applyBorder="1"/>
    <x:xf numFmtId="202" fontId="5" fillId="3" borderId="4" xfId="0" applyNumberFormat="1" applyFont="1" applyFill="1" applyBorder="1"/>
    <x:xf numFmtId="202" fontId="0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6" fontId="0" fillId="0" borderId="0" xfId="0" applyNumberFormat="1" applyFont="1" applyFill="1" applyBorder="1"/>
    <x:xf numFmtId="210" fontId="7" fillId="0" borderId="0" xfId="0" applyNumberFormat="1" applyFont="1" applyFill="1" applyBorder="1"/>
    <x:xf numFmtId="216" fontId="7" fillId="0" borderId="0" xfId="0" applyNumberFormat="1" applyFont="1" applyFill="1" applyBorder="1"/>
    <x:xf numFmtId="209" fontId="7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3" xfId="0" applyNumberFormat="1" applyFont="1" applyFill="1" applyBorder="1"/>
    <x:xf numFmtId="211" fontId="0" fillId="0" borderId="0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11" fontId="0" fillId="3" borderId="0" xfId="0" applyNumberFormat="1" applyFont="1" applyFill="1" applyBorder="1"/>
    <x:xf numFmtId="212" fontId="0" fillId="3" borderId="0" xfId="0" applyNumberFormat="1" applyFont="1" applyFill="1" applyBorder="1"/>
    <x:xf numFmtId="202" fontId="0" fillId="3" borderId="0" xfId="0" applyNumberFormat="1" applyFont="1" applyFill="1" applyBorder="1"/>
    <x:xf numFmtId="213" fontId="0" fillId="3" borderId="0" xfId="0" applyNumberFormat="1" applyFont="1" applyFill="1" applyBorder="1"/>
    <x:xf numFmtId="201" fontId="0" fillId="3" borderId="0" xfId="0" applyNumberFormat="1" applyFont="1" applyFill="1" applyBorder="1"/>
    <x:xf numFmtId="205" fontId="0" fillId="3" borderId="0" xfId="0" applyNumberFormat="1" applyFont="1" applyFill="1" applyBorder="1"/>
    <x:xf numFmtId="201" fontId="2" fillId="0" borderId="0" xfId="0" applyNumberFormat="1" applyFont="1" applyFill="1" applyBorder="1"/>
    <x:xf numFmtId="201" fontId="2" fillId="3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205" fontId="5" fillId="3" borderId="0" xfId="0" applyNumberFormat="1" applyFont="1" applyFill="1" applyBorder="1"/>
    <x:xf numFmtId="201" fontId="4" fillId="0" borderId="2" xfId="0" applyNumberFormat="1" applyFont="1" applyFill="1" applyBorder="1"/>
    <x:xf numFmtId="205" fontId="5" fillId="0" borderId="2" xfId="0" applyNumberFormat="1" applyFont="1" applyFill="1" applyBorder="1"/>
    <x:xf numFmtId="202" fontId="5" fillId="3" borderId="3" xfId="0" applyNumberFormat="1" applyFont="1" applyFill="1" applyBorder="1"/>
    <x:xf numFmtId="201" fontId="4" fillId="3" borderId="3" xfId="0" applyNumberFormat="1" applyFont="1" applyFill="1" applyBorder="1"/>
    <x:xf numFmtId="205" fontId="5" fillId="3" borderId="3" xfId="0" applyNumberFormat="1" applyFont="1" applyFill="1" applyBorder="1"/>
    <x:xf numFmtId="201" fontId="4" fillId="0" borderId="4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9" fontId="5" fillId="0" borderId="0" xfId="0" applyNumberFormat="1" applyFont="1" applyFill="1" applyBorder="1" applyAlignment="1">
      <x:alignment wrapText="1"/>
    </x:xf>
    <x:xf numFmtId="205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wrapText="1"/>
    </x:xf>
    <x:xf numFmtId="202" fontId="5" fillId="0" borderId="3" xfId="0" applyNumberFormat="1" applyFont="1" applyFill="1" applyBorder="1" applyAlignment="1">
      <x:alignment wrapText="1"/>
    </x:xf>
    <x:xf numFmtId="204" fontId="5" fillId="0" borderId="3" xfId="0" applyNumberFormat="1" applyFont="1" applyFill="1" applyBorder="1" applyAlignment="1">
      <x:alignment wrapText="1"/>
    </x:xf>
    <x:xf numFmtId="209" fontId="5" fillId="0" borderId="3" xfId="0" applyNumberFormat="1" applyFont="1" applyFill="1" applyBorder="1" applyAlignment="1">
      <x:alignment wrapText="1"/>
    </x:xf>
    <x:xf numFmtId="209" fontId="5" fillId="0" borderId="4" xfId="0" applyNumberFormat="1" applyFont="1" applyFill="1" applyBorder="1" applyAlignment="1">
      <x:alignment wrapText="1"/>
    </x:xf>
    <x:xf numFmtId="212" fontId="4" fillId="4" borderId="9" xfId="0" applyNumberFormat="1" applyFont="1" applyFill="1" applyBorder="1"/>
    <x:xf numFmtId="212" fontId="4" fillId="4" borderId="10" xfId="0" applyNumberFormat="1" applyFont="1" applyFill="1" applyBorder="1"/>
    <x:xf numFmtId="211" fontId="5" fillId="0" borderId="3" xfId="0" applyNumberFormat="1" applyFont="1" applyFill="1" applyBorder="1"/>
    <x:xf numFmtId="201" fontId="5" fillId="0" borderId="4" xfId="0" applyNumberFormat="1" applyFont="1" applyFill="1" applyBorder="1"/>
    <x:xf numFmtId="210" fontId="5" fillId="0" borderId="2" xfId="0" applyNumberFormat="1" applyFont="1" applyFill="1" applyBorder="1"/>
    <x:xf numFmtId="210" fontId="5" fillId="0" borderId="4" xfId="0" applyNumberFormat="1" applyFont="1" applyFill="1" applyBorder="1"/>
    <x:xf numFmtId="217" fontId="0" fillId="0" borderId="0" xfId="0" applyNumberFormat="1" applyFont="1" applyFill="1" applyBorder="1"/>
    <x:xf numFmtId="0" fontId="12" fillId="0" borderId="0" xfId="0" applyNumberFormat="1" applyFont="1" applyFill="1" applyBorder="1"/>
    <x:xf numFmtId="217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17" fontId="5" fillId="0" borderId="0" xfId="0" applyNumberFormat="1" applyFont="1" applyFill="1" applyBorder="1" applyAlignment="1">
      <x:alignment wrapText="1"/>
    </x:xf>
    <x:xf numFmtId="217" fontId="5" fillId="0" borderId="2" xfId="0" applyNumberFormat="1" applyFont="1" applyFill="1" applyBorder="1" applyAlignment="1">
      <x:alignment wrapText="1"/>
    </x:xf>
    <x:xf numFmtId="217" fontId="5" fillId="0" borderId="3" xfId="0" applyNumberFormat="1" applyFont="1" applyFill="1" applyBorder="1" applyAlignment="1">
      <x:alignment wrapText="1"/>
    </x:xf>
    <x:xf numFmtId="217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6d761c91f4678" /><Relationship Type="http://schemas.openxmlformats.org/officeDocument/2006/relationships/theme" Target="/xl/theme/theme1.xml" Id="R8b1aae36078c43bb" /><Relationship Type="http://schemas.openxmlformats.org/officeDocument/2006/relationships/sharedStrings" Target="/xl/sharedStrings.xml" Id="R7744a44581a244ea" /><Relationship Type="http://schemas.openxmlformats.org/officeDocument/2006/relationships/worksheet" Target="/xl/worksheets/sheet1.xml" Id="R2004cb02020b41c8" /><Relationship Type="http://schemas.openxmlformats.org/officeDocument/2006/relationships/worksheet" Target="/xl/worksheets/sheet2.xml" Id="R79e42e81b3714979" /><Relationship Type="http://schemas.openxmlformats.org/officeDocument/2006/relationships/worksheet" Target="/xl/worksheets/sheet3.xml" Id="R986ab5b076484774" /><Relationship Type="http://schemas.openxmlformats.org/officeDocument/2006/relationships/worksheet" Target="/xl/worksheets/sheet4.xml" Id="R8ff99350b0b44d05" /><Relationship Type="http://schemas.openxmlformats.org/officeDocument/2006/relationships/worksheet" Target="/xl/worksheets/sheet5.xml" Id="R2a5302c5afbe49ec" /><Relationship Type="http://schemas.openxmlformats.org/officeDocument/2006/relationships/worksheet" Target="/xl/worksheets/sheet6.xml" Id="R7589445a34e840ce" /><Relationship Type="http://schemas.openxmlformats.org/officeDocument/2006/relationships/worksheet" Target="/xl/worksheets/sheet7.xml" Id="Rf4b04c93d543420b" /><Relationship Type="http://schemas.openxmlformats.org/officeDocument/2006/relationships/worksheet" Target="/xl/worksheets/sheet8.xml" Id="R3895559fc4554b42" /><Relationship Type="http://schemas.openxmlformats.org/officeDocument/2006/relationships/worksheet" Target="/xl/worksheets/sheet9.xml" Id="R1e56a468cca243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c2853fc3d641d0" /><Relationship Type="http://schemas.openxmlformats.org/officeDocument/2006/relationships/chart" Target="/xl/drawings/charts/chart2.xml" Id="R1c8bb4f028e84c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情景价值与参考价格（港元/股）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'Valuation'!$A$15:$A$17</c:f>
              <c:strCache>
                <c:ptCount val="0"/>
              </c:strCache>
            </c:strRef>
          </c:cat>
          <c:val>
            <c:numRef>
              <c:f>'Valuation'!$H$15:$H$17</c:f>
              <c:numCache>
                <c:formatCode>"HKD "0.0</c:formatCode>
                <c:ptCount val="0"/>
              </c:numCache>
            </c:numRef>
          </c:val>
        </c:ser>
        <c:ser>
          <c:idx val="1"/>
          <c:order val="1"/>
          <c:tx>
            <c:v>参考价格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'Valuation'!$A$15:$A$17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2026H1分部外部收入（RMB mn）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收入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'Segments'!$A$17:$A$21</c:f>
              <c:strCache>
                <c:ptCount val="0"/>
              </c:strCache>
            </c:strRef>
          </c:cat>
          <c:val>
            <c:numRef>
              <c:f>'Segments'!$D$17:$D$21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4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c2853fc3d641d0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8bb4f028e84c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d99f42aa3b4e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威高股份（01066.HK）基本面、重组与情景估值模型</x:v>
      </x:c>
      <x:c r="B1" s="3" t="str">
        <x:v>威高股份（01066.HK）基本面、重组与情景估值模型</x:v>
      </x:c>
      <x:c r="C1" s="3" t="str">
        <x:v>威高股份（01066.HK）基本面、重组与情景估值模型</x:v>
      </x:c>
      <x:c r="D1" s="3" t="str">
        <x:v>威高股份（01066.HK）基本面、重组与情景估值模型</x:v>
      </x:c>
      <x:c r="E1" s="3" t="str">
        <x:v>威高股份（01066.HK）基本面、重组与情景估值模型</x:v>
      </x:c>
      <x:c r="F1" s="3" t="str">
        <x:v>威高股份（01066.HK）基本面、重组与情景估值模型</x:v>
      </x:c>
      <x:c r="G1" s="3" t="str">
        <x:v>威高股份（01066.HK）基本面、重组与情景估值模型</x:v>
      </x:c>
      <x:c r="H1" s="3" t="str">
        <x:v>威高股份（01066.HK）基本面、重组与情景估值模型</x:v>
      </x:c>
    </x:row>
    <x:row r="2">
      <x:c r="J2" t="str">
        <x:v>参考价格</x:v>
      </x:c>
    </x:row>
    <x:row r="3">
      <x:c r="A3" s="10" t="str">
        <x:v>公司</x:v>
      </x:c>
      <x:c r="B3" s="11" t="str">
        <x:v>威高股份（01066.HK）</x:v>
      </x:c>
      <x:c r="J3" t="n">
        <x:f>'Valuation'!B4</x:f>
        <x:v>3.23</x:v>
      </x:c>
    </x:row>
    <x:row r="4">
      <x:c r="A4" s="12" t="str">
        <x:v>价格基准</x:v>
      </x:c>
      <x:c r="B4" s="13" t="n">
        <x:v>46272</x:v>
      </x:c>
      <x:c r="J4" t="n">
        <x:f>'Valuation'!B4</x:f>
        <x:v>3.23</x:v>
      </x:c>
    </x:row>
    <x:row r="5">
      <x:c r="A5" s="12" t="str">
        <x:v>资料截止</x:v>
      </x:c>
      <x:c r="B5" s="14" t="str">
        <x:v>2026-09-08</x:v>
      </x:c>
      <x:c r="J5" t="n">
        <x:f>'Valuation'!B4</x:f>
        <x:v>3.23</x:v>
      </x:c>
    </x:row>
    <x:row r="6">
      <x:c r="A6" s="12" t="str">
        <x:v>报告货币</x:v>
      </x:c>
      <x:c r="B6" s="14" t="str">
        <x:v>人民币百万元；每股价值为港元</x:v>
      </x:c>
    </x:row>
    <x:row r="7">
      <x:c r="A7" s="12" t="str">
        <x:v>估值框架</x:v>
      </x:c>
      <x:c r="B7" s="14" t="str">
        <x:v>正常化归母P/E + 折价净现金</x:v>
      </x:c>
    </x:row>
    <x:row r="8">
      <x:c r="A8" s="12" t="str">
        <x:v>交易状态</x:v>
      </x:c>
      <x:c r="B8" s="14" t="str">
        <x:v>证监会批准；资产过户与股份登记待完成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研究结论</x:v>
      </x:c>
      <x:c r="B10" s="14" t="str">
        <x:v>谨慎积极</x:v>
      </x:c>
    </x:row>
    <x:row r="11">
      <x:c r="A11" s="12" t="str">
        <x:v>最重要变量</x:v>
      </x:c>
      <x:c r="B11" s="14" t="str">
        <x:v>集采后毛利、长账龄应收、Argon、重组后归母与分红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参考股价</x:v>
      </x:c>
      <x:c r="B15" s="37" t="n">
        <x:f>'Valuation'!B4</x:f>
        <x:v>3.23</x:v>
      </x:c>
      <x:c r="C15" s="11" t="str">
        <x:v>2026-09-07收盘</x:v>
      </x:c>
    </x:row>
    <x:row r="16">
      <x:c r="A16" s="14" t="str">
        <x:v>经济流通股</x:v>
      </x:c>
      <x:c r="B16" s="38" t="n">
        <x:f>'Valuation'!B5</x:f>
        <x:v>4506.668324</x:v>
      </x:c>
      <x:c r="C16" s="14" t="str">
        <x:v>扣库存股，含境内激励股</x:v>
      </x:c>
    </x:row>
    <x:row r="17">
      <x:c r="A17" s="14" t="str">
        <x:v>参考市值</x:v>
      </x:c>
      <x:c r="B17" s="38" t="n">
        <x:f>'Valuation'!B6</x:f>
        <x:v>14556.53868652</x:v>
      </x:c>
      <x:c r="C17" s="14" t="str">
        <x:v>HKD mn</x:v>
      </x:c>
    </x:row>
    <x:row r="18">
      <x:c r="A18" s="14" t="str">
        <x:v>2026H1收入同比</x:v>
      </x:c>
      <x:c r="B18" s="39" t="n">
        <x:f>'Historical'!G5</x:f>
        <x:v>0.0308</x:v>
      </x:c>
      <x:c r="C18" s="14" t="str">
        <x:v>收入仍增长</x:v>
      </x:c>
    </x:row>
    <x:row r="19">
      <x:c r="A19" s="14" t="str">
        <x:v>2026H1毛利率</x:v>
      </x:c>
      <x:c r="B19" s="39" t="n">
        <x:f>'Historical'!F8</x:f>
        <x:v>0.46293811745408925</x:v>
      </x:c>
      <x:c r="C19" s="14" t="str">
        <x:v>同比下降3.43ppt</x:v>
      </x:c>
    </x:row>
    <x:row r="20">
      <x:c r="A20" s="14" t="str">
        <x:v>2026H1调整归母同比</x:v>
      </x:c>
      <x:c r="B20" s="39" t="n">
        <x:f>'Historical'!G11</x:f>
        <x:v>-0.117</x:v>
      </x:c>
      <x:c r="C20" s="14" t="str">
        <x:v>剔除一次性与汇兑</x:v>
      </x:c>
    </x:row>
    <x:row r="21">
      <x:c r="A21" s="14" t="str">
        <x:v>2026H1简化FCF</x:v>
      </x:c>
      <x:c r="B21" s="38" t="n">
        <x:f>'Historical'!F15</x:f>
        <x:v>741.101</x:v>
      </x:c>
      <x:c r="C21" s="14" t="str">
        <x:v>CFO-资本开支</x:v>
      </x:c>
    </x:row>
    <x:row r="22">
      <x:c r="A22" s="14" t="str">
        <x:v>保守净现金</x:v>
      </x:c>
      <x:c r="B22" s="38" t="n">
        <x:f>'Balance &amp; Cash'!B23</x:f>
        <x:v>3926.157</x:v>
      </x:c>
      <x:c r="C22" s="14" t="str">
        <x:v>不含受限及证券资产</x:v>
      </x:c>
    </x:row>
    <x:row r="23">
      <x:c r="A23" s="14" t="str">
        <x:v>一年以上贸易应收</x:v>
      </x:c>
      <x:c r="B23" s="38" t="n">
        <x:f>'Balance &amp; Cash'!C9</x:f>
        <x:v>944.924</x:v>
      </x:c>
      <x:c r="C23" s="14" t="str">
        <x:v>较年末增长27.7%</x:v>
      </x:c>
    </x:row>
    <x:row r="24">
      <x:c r="A24" s="14" t="str">
        <x:v>TTM归母P/E</x:v>
      </x:c>
      <x:c r="B24" s="40" t="n">
        <x:f>'Valuation'!B10</x:f>
        <x:v>9.042494071028539</x:v>
      </x:c>
      <x:c r="C24" s="14" t="str">
        <x:v>静态参考</x:v>
      </x:c>
    </x:row>
    <x:row r="25">
      <x:c r="A25" s="14" t="str">
        <x:v>Bear价值</x:v>
      </x:c>
      <x:c r="B25" s="41" t="n">
        <x:f>'Valuation'!H15</x:f>
        <x:v>2.4030511820199347</x:v>
      </x:c>
      <x:c r="C25" s="14" t="str">
        <x:v>结构性压力持续</x:v>
      </x:c>
    </x:row>
    <x:row r="26">
      <x:c r="A26" s="14" t="str">
        <x:v>Base价值</x:v>
      </x:c>
      <x:c r="B26" s="41" t="n">
        <x:f>'Valuation'!H16</x:f>
        <x:v>4.887695384001371</x:v>
      </x:c>
      <x:c r="C26" s="14" t="str">
        <x:v>利润稳定、部分净现金折价</x:v>
      </x:c>
    </x:row>
    <x:row r="27">
      <x:c r="A27" s="14" t="str">
        <x:v>Bull价值</x:v>
      </x:c>
      <x:c r="B27" s="41" t="n">
        <x:f>'Valuation'!H17</x:f>
        <x:v>7.553790702685844</x:v>
      </x:c>
      <x:c r="C27" s="14" t="str">
        <x:v>毛利修复、重组与海外兑现</x:v>
      </x:c>
    </x:row>
    <x:row r="28">
      <x:c r="A28" s="14" t="str">
        <x:v>Base相对参考价</x:v>
      </x:c>
      <x:c r="B28" s="39" t="n">
        <x:f>'Valuation'!I16</x:f>
        <x:v>0.5132183851397434</x:v>
      </x:c>
      <x:c r="C28" s="14" t="str">
        <x:v>情景结果，不是收益保证</x:v>
      </x:c>
    </x:row>
    <x:row r="29">
      <x:c r="A29" s="16" t="str">
        <x:v>Base对应P/B</x:v>
      </x:c>
      <x:c r="B29" s="42" t="n">
        <x:f>'Valuation'!J16</x:f>
        <x:v>0.7729975079691039</x:v>
      </x:c>
      <x:c r="C29" s="16" t="str">
        <x:v>按2026H1归母净资产</x:v>
      </x:c>
    </x:row>
    <x:row r="31">
      <x:c r="A31" s="19" t="str">
        <x:v>研究结论</x:v>
      </x:c>
      <x:c r="B31" s="20" t="str">
        <x:v>研究结论</x:v>
      </x:c>
      <x:c r="C31" s="20" t="str">
        <x:v>研究结论</x:v>
      </x:c>
      <x:c r="D31" s="20" t="str">
        <x:v>研究结论</x:v>
      </x:c>
      <x:c r="E31" s="20" t="str">
        <x:v>研究结论</x:v>
      </x:c>
      <x:c r="F31" s="20" t="str">
        <x:v>研究结论</x:v>
      </x:c>
      <x:c r="G31" s="20" t="str">
        <x:v>研究结论</x:v>
      </x:c>
      <x:c r="H31" s="21" t="str">
        <x:v>研究结论</x:v>
      </x:c>
    </x:row>
    <x:row r="32">
      <x:c r="A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2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3">
      <x:c r="A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3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4">
      <x:c r="A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4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5">
      <x:c r="A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5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6">
      <x:c r="A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6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7">
      <x:c r="A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7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  <x:row r="38">
      <x:c r="A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B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C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D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E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F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G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  <x:c r="H38" s="45" t="str">
        <x:v>威高股份的资产负债表和现金流仍具韧性：2026H1保守净现金约39.26亿元，经营现金流10.78亿元。但收入增长3.1%的同时毛利率下降3.43个百分点，调整归母利润仍下降11.7%；一年以上贸易应收升至9.45亿元。威高普瑞置入威高血净已获监管批准但尚未完成，合并规模增长不能直接等同于归母每股价值增厚。Base价值4.89港元，较3.23港元高51.4%，结论为谨慎积极；毛利、长账龄应收及重组后少数股东损益是首要验证项。</x:v>
      </x:c>
    </x:row>
  </x:sheetData>
  <x:mergeCells>
    <x:mergeCell ref="A1:H1"/>
    <x:mergeCell ref="A31:H31"/>
    <x:mergeCell ref="A32:H38"/>
  </x:mergeCells>
  <x:pageMargins left="0.7" right="0.7" top="0.75" bottom="0.75" header="0.3" footer="0.3"/>
  <x:drawing xmlns:r="http://schemas.openxmlformats.org/officeDocument/2006/relationships" r:id="R37d99f42aa3b4ed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</x:row>
    <x:row r="3">
      <x:c r="A3" s="48" t="str">
        <x:v>指标（RMB mn，除注明外）</x:v>
      </x:c>
      <x:c r="B3" s="49" t="str">
        <x:v>2023A</x:v>
      </x:c>
      <x:c r="C3" s="49" t="str">
        <x:v>2024A</x:v>
      </x:c>
      <x:c r="D3" s="49" t="str">
        <x:v>2025A</x:v>
      </x:c>
      <x:c r="E3" s="49" t="str">
        <x:v>2025H1</x:v>
      </x:c>
      <x:c r="F3" s="49" t="str">
        <x:v>2026H1</x:v>
      </x:c>
      <x:c r="G3" s="50" t="str">
        <x:v>同比/变化</x:v>
      </x:c>
    </x:row>
    <x:row r="4">
      <x:c r="A4" s="11" t="str">
        <x:v>营业收入</x:v>
      </x:c>
      <x:c r="B4" s="87" t="n">
        <x:v>13229.453</x:v>
      </x:c>
      <x:c r="C4" s="87" t="n">
        <x:v>13087.071</x:v>
      </x:c>
      <x:c r="D4" s="87" t="n">
        <x:v>13388.89</x:v>
      </x:c>
      <x:c r="E4" s="87" t="n">
        <x:v>6644.048</x:v>
      </x:c>
      <x:c r="F4" s="87" t="n">
        <x:v>6848.991</x:v>
      </x:c>
      <x:c r="G4" s="88" t="n">
        <x:v>0.0308</x:v>
      </x:c>
    </x:row>
    <x:row r="5">
      <x:c r="A5" s="89" t="str">
        <x:v>收入同比</x:v>
      </x:c>
      <x:c r="B5" s="90"/>
      <x:c r="C5" s="90" t="n">
        <x:v>-0.0108</x:v>
      </x:c>
      <x:c r="D5" s="90" t="n">
        <x:v>0.0231</x:v>
      </x:c>
      <x:c r="E5" s="90"/>
      <x:c r="F5" s="90" t="n">
        <x:v>0.0308</x:v>
      </x:c>
      <x:c r="G5" s="90" t="n">
        <x:v>0.0308</x:v>
      </x:c>
    </x:row>
    <x:row r="6">
      <x:c r="A6" s="14" t="str">
        <x:v>营业成本</x:v>
      </x:c>
      <x:c r="B6" s="91" t="n">
        <x:v>6586.42</x:v>
      </x:c>
      <x:c r="C6" s="91" t="n">
        <x:v>6506.44</x:v>
      </x:c>
      <x:c r="D6" s="91" t="n">
        <x:v>7016.629</x:v>
      </x:c>
      <x:c r="E6" s="91" t="n">
        <x:v>3340.54</x:v>
      </x:c>
      <x:c r="F6" s="91" t="n">
        <x:v>3678.332</x:v>
      </x:c>
      <x:c r="G6" s="39" t="n">
        <x:v>0.1011</x:v>
      </x:c>
    </x:row>
    <x:row r="7">
      <x:c r="A7" s="14" t="str">
        <x:v>毛利</x:v>
      </x:c>
      <x:c r="B7" s="91" t="n">
        <x:v>6643.033</x:v>
      </x:c>
      <x:c r="C7" s="91" t="n">
        <x:v>6580.631</x:v>
      </x:c>
      <x:c r="D7" s="91" t="n">
        <x:v>6372.261</x:v>
      </x:c>
      <x:c r="E7" s="91" t="n">
        <x:v>3303.508</x:v>
      </x:c>
      <x:c r="F7" s="91" t="n">
        <x:v>3170.659</x:v>
      </x:c>
      <x:c r="G7" s="39" t="n">
        <x:v>-0.0402</x:v>
      </x:c>
    </x:row>
    <x:row r="8">
      <x:c r="A8" s="92" t="str">
        <x:v>毛利率</x:v>
      </x:c>
      <x:c r="B8" s="93" t="n">
        <x:f>B7/B4</x:f>
        <x:v>0.5021396576260561</x:v>
      </x:c>
      <x:c r="C8" s="93" t="n">
        <x:f>C7/C4</x:f>
        <x:v>0.5028345150721655</x:v>
      </x:c>
      <x:c r="D8" s="93" t="n">
        <x:f>D7/D4</x:f>
        <x:v>0.47593646672726425</x:v>
      </x:c>
      <x:c r="E8" s="93" t="n">
        <x:f>E7/E4</x:f>
        <x:v>0.49721314475753337</x:v>
      </x:c>
      <x:c r="F8" s="93" t="n">
        <x:f>F7/F4</x:f>
        <x:v>0.46293811745408925</x:v>
      </x:c>
      <x:c r="G8" s="93" t="n">
        <x:v>-0.0343</x:v>
      </x:c>
    </x:row>
    <x:row r="9">
      <x:c r="A9" s="94" t="str">
        <x:v>归母净利润</x:v>
      </x:c>
      <x:c r="B9" s="95" t="n">
        <x:v>2001.906</x:v>
      </x:c>
      <x:c r="C9" s="95" t="n">
        <x:v>2066.668</x:v>
      </x:c>
      <x:c r="D9" s="95" t="n">
        <x:v>1612.21</x:v>
      </x:c>
      <x:c r="E9" s="95" t="n">
        <x:v>1008.317</x:v>
      </x:c>
      <x:c r="F9" s="95" t="n">
        <x:v>774.118</x:v>
      </x:c>
      <x:c r="G9" s="96" t="n">
        <x:v>-0.2323</x:v>
      </x:c>
    </x:row>
    <x:row r="10">
      <x:c r="A10" s="92" t="str">
        <x:v>归母净利润同比</x:v>
      </x:c>
      <x:c r="B10" s="93"/>
      <x:c r="C10" s="93" t="n">
        <x:v>0.0324</x:v>
      </x:c>
      <x:c r="D10" s="93" t="n">
        <x:v>-0.2199</x:v>
      </x:c>
      <x:c r="E10" s="93"/>
      <x:c r="F10" s="93" t="n">
        <x:v>-0.2323</x:v>
      </x:c>
      <x:c r="G10" s="93" t="n">
        <x:v>-0.2323</x:v>
      </x:c>
    </x:row>
    <x:row r="11">
      <x:c r="A11" s="94" t="str">
        <x:v>调整归母净利润</x:v>
      </x:c>
      <x:c r="B11" s="95"/>
      <x:c r="C11" s="95"/>
      <x:c r="D11" s="95"/>
      <x:c r="E11" s="95" t="n">
        <x:v>1008.438</x:v>
      </x:c>
      <x:c r="F11" s="95" t="n">
        <x:v>890.438</x:v>
      </x:c>
      <x:c r="G11" s="96" t="n">
        <x:v>-0.117</x:v>
      </x:c>
    </x:row>
    <x:row r="12">
      <x:c r="A12" s="92" t="str">
        <x:v>调整归母同比</x:v>
      </x:c>
      <x:c r="B12" s="93"/>
      <x:c r="C12" s="93"/>
      <x:c r="D12" s="93"/>
      <x:c r="E12" s="93"/>
      <x:c r="F12" s="93" t="n">
        <x:v>-0.117</x:v>
      </x:c>
      <x:c r="G12" s="93" t="n">
        <x:v>-0.117</x:v>
      </x:c>
    </x:row>
    <x:row r="13">
      <x:c r="A13" s="14" t="str">
        <x:v>经营现金流</x:v>
      </x:c>
      <x:c r="B13" s="91" t="n">
        <x:v>2798.529</x:v>
      </x:c>
      <x:c r="C13" s="91" t="n">
        <x:v>2789.971</x:v>
      </x:c>
      <x:c r="D13" s="91" t="n">
        <x:v>2550.606</x:v>
      </x:c>
      <x:c r="E13" s="91" t="n">
        <x:v>881.573</x:v>
      </x:c>
      <x:c r="F13" s="91" t="n">
        <x:v>1077.691</x:v>
      </x:c>
      <x:c r="G13" s="39" t="n">
        <x:v>0.2225</x:v>
      </x:c>
    </x:row>
    <x:row r="14">
      <x:c r="A14" s="14" t="str">
        <x:v>资本开支</x:v>
      </x:c>
      <x:c r="B14" s="91" t="n">
        <x:v>685.664</x:v>
      </x:c>
      <x:c r="C14" s="91" t="n">
        <x:v>647.431</x:v>
      </x:c>
      <x:c r="D14" s="91" t="n">
        <x:v>832.635</x:v>
      </x:c>
      <x:c r="E14" s="91"/>
      <x:c r="F14" s="91" t="n">
        <x:v>336.59</x:v>
      </x:c>
      <x:c r="G14" s="39"/>
    </x:row>
    <x:row r="15">
      <x:c r="A15" s="89" t="str">
        <x:v>简化自由现金流</x:v>
      </x:c>
      <x:c r="B15" s="97" t="n">
        <x:v>2112.865</x:v>
      </x:c>
      <x:c r="C15" s="97" t="n">
        <x:v>2142.54</x:v>
      </x:c>
      <x:c r="D15" s="97" t="n">
        <x:v>1717.971</x:v>
      </x:c>
      <x:c r="E15" s="97"/>
      <x:c r="F15" s="97" t="n">
        <x:v>741.101</x:v>
      </x:c>
      <x:c r="G15" s="90"/>
    </x:row>
    <x:row r="16">
      <x:c r="A16" s="89" t="str">
        <x:v>CFO/归母利润</x:v>
      </x:c>
      <x:c r="B16" s="90" t="n">
        <x:f>B13/B9</x:f>
        <x:v>1.3979322705461696</x:v>
      </x:c>
      <x:c r="C16" s="90" t="n">
        <x:f>C13/C9</x:f>
        <x:v>1.3499850967838085</x:v>
      </x:c>
      <x:c r="D16" s="90" t="n">
        <x:f>D13/D9</x:f>
        <x:v>1.5820556875345024</x:v>
      </x:c>
      <x:c r="E16" s="90" t="n">
        <x:f>E13/E9</x:f>
        <x:v>0.8743014349653928</x:v>
      </x:c>
      <x:c r="F16" s="90" t="n">
        <x:f>F13/F9</x:f>
        <x:v>1.3921533926352312</x:v>
      </x:c>
      <x:c r="G16" s="90" t="n">
        <x:v>-0.0395</x:v>
      </x:c>
    </x:row>
    <x:row r="17">
      <x:c r="A17" s="89" t="str">
        <x:v>FCF/收入</x:v>
      </x:c>
      <x:c r="B17" s="90" t="n">
        <x:f>B15/B4</x:f>
        <x:v>0.1597091731608253</x:v>
      </x:c>
      <x:c r="C17" s="90" t="n">
        <x:f>C15/C4</x:f>
        <x:v>0.1637142489713703</x:v>
      </x:c>
      <x:c r="D17" s="90" t="n">
        <x:f>D15/D4</x:f>
        <x:v>0.12831317607359535</x:v>
      </x:c>
      <x:c r="E17" s="90"/>
      <x:c r="F17" s="90" t="n">
        <x:f>F15/F4</x:f>
        <x:v>0.10820586565232747</x:v>
      </x:c>
      <x:c r="G17" s="90"/>
    </x:row>
    <x:row r="18">
      <x:c r="A18" s="14" t="str">
        <x:v>每股收益</x:v>
      </x:c>
      <x:c r="B18" s="98" t="n">
        <x:v>0.44</x:v>
      </x:c>
      <x:c r="C18" s="98" t="n">
        <x:v>0.46</x:v>
      </x:c>
      <x:c r="D18" s="98" t="n">
        <x:v>0.36</x:v>
      </x:c>
      <x:c r="E18" s="98" t="n">
        <x:v>0.22</x:v>
      </x:c>
      <x:c r="F18" s="98" t="n">
        <x:v>0.17</x:v>
      </x:c>
      <x:c r="G18" s="39" t="n">
        <x:v>-0.2273</x:v>
      </x:c>
    </x:row>
    <x:row r="19">
      <x:c r="A19" s="14" t="str">
        <x:v>中期/年度每股股息</x:v>
      </x:c>
      <x:c r="B19" s="99" t="n">
        <x:v>0.1543</x:v>
      </x:c>
      <x:c r="C19" s="99" t="n">
        <x:v>0.1699</x:v>
      </x:c>
      <x:c r="D19" s="99" t="n">
        <x:v>0.1569</x:v>
      </x:c>
      <x:c r="E19" s="99" t="n">
        <x:v>0.0969</x:v>
      </x:c>
      <x:c r="F19" s="99" t="n">
        <x:v>0.0854</x:v>
      </x:c>
      <x:c r="G19" s="39" t="n">
        <x:v>-0.1187</x:v>
      </x:c>
    </x:row>
    <x:row r="20">
      <x:c r="A20" s="14" t="str">
        <x:v>期末归母净资产</x:v>
      </x:c>
      <x:c r="B20" s="38" t="n">
        <x:v>22053.783</x:v>
      </x:c>
      <x:c r="C20" s="38" t="n">
        <x:v>23209.277</x:v>
      </x:c>
      <x:c r="D20" s="38" t="n">
        <x:v>24108.177</x:v>
      </x:c>
      <x:c r="E20" s="38"/>
      <x:c r="F20" s="38" t="n">
        <x:v>24392.956</x:v>
      </x:c>
      <x:c r="G20" s="39" t="n">
        <x:v>0.0118</x:v>
      </x:c>
    </x:row>
    <x:row r="21">
      <x:c r="A21" s="100" t="str">
        <x:v>审计口径</x:v>
      </x:c>
      <x:c r="B21" s="100" t="str">
        <x:v>经审计</x:v>
      </x:c>
      <x:c r="C21" s="100" t="str">
        <x:v>经审计</x:v>
      </x:c>
      <x:c r="D21" s="100" t="str">
        <x:v>经审计</x:v>
      </x:c>
      <x:c r="E21" s="100" t="str">
        <x:v>未经审计</x:v>
      </x:c>
      <x:c r="F21" s="100" t="str">
        <x:v>未经审计</x:v>
      </x:c>
      <x:c r="G21" s="100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30" customHeight="1">
      <x:c r="A1" s="3" t="str">
        <x:v>分部收入、利润率与地区结构</x:v>
      </x:c>
      <x:c r="B1" s="3" t="str">
        <x:v>分部收入、利润率与地区结构</x:v>
      </x:c>
      <x:c r="C1" s="3" t="str">
        <x:v>分部收入、利润率与地区结构</x:v>
      </x:c>
      <x:c r="D1" s="3" t="str">
        <x:v>分部收入、利润率与地区结构</x:v>
      </x:c>
      <x:c r="E1" s="3" t="str">
        <x:v>分部收入、利润率与地区结构</x:v>
      </x:c>
      <x:c r="F1" s="3" t="str">
        <x:v>分部收入、利润率与地区结构</x:v>
      </x:c>
      <x:c r="G1" s="3" t="str">
        <x:v>分部收入、利润率与地区结构</x:v>
      </x:c>
      <x:c r="H1" s="3" t="str">
        <x:v>分部收入、利润率与地区结构</x:v>
      </x:c>
    </x:row>
    <x:row r="3">
      <x:c r="A3" s="19" t="str">
        <x:v>分部历史（RMB mn）</x:v>
      </x:c>
      <x:c r="B3" s="20" t="str">
        <x:v>2023收入</x:v>
      </x:c>
      <x:c r="C3" s="20" t="str">
        <x:v>2023利润</x:v>
      </x:c>
      <x:c r="D3" s="20" t="str">
        <x:v>2024收入</x:v>
      </x:c>
      <x:c r="E3" s="20" t="str">
        <x:v>2024利润</x:v>
      </x:c>
      <x:c r="F3" s="20" t="str">
        <x:v>2025收入</x:v>
      </x:c>
      <x:c r="G3" s="20" t="str">
        <x:v>2025利润</x:v>
      </x:c>
      <x:c r="H3" s="21" t="str">
        <x:v>2025利润率</x:v>
      </x:c>
    </x:row>
    <x:row r="4">
      <x:c r="A4" s="11" t="str">
        <x:v>医疗器械</x:v>
      </x:c>
      <x:c r="B4" s="87" t="n">
        <x:v>6961.407</x:v>
      </x:c>
      <x:c r="C4" s="87" t="n">
        <x:v>1053.863</x:v>
      </x:c>
      <x:c r="D4" s="87" t="n">
        <x:v>6512.192</x:v>
      </x:c>
      <x:c r="E4" s="87" t="n">
        <x:v>1067.271</x:v>
      </x:c>
      <x:c r="F4" s="87" t="n">
        <x:v>6577.272</x:v>
      </x:c>
      <x:c r="G4" s="87" t="n">
        <x:v>692.955</x:v>
      </x:c>
      <x:c r="H4" s="88" t="n">
        <x:f>G4/F4</x:f>
        <x:v>0.105355989534871</x:v>
      </x:c>
    </x:row>
    <x:row r="5">
      <x:c r="A5" s="14" t="str">
        <x:v>骨科</x:v>
      </x:c>
      <x:c r="B5" s="91" t="n">
        <x:v>1271.203</x:v>
      </x:c>
      <x:c r="C5" s="91" t="n">
        <x:v>74.159</x:v>
      </x:c>
      <x:c r="D5" s="91" t="n">
        <x:v>1439.446</x:v>
      </x:c>
      <x:c r="E5" s="91" t="n">
        <x:v>219.192</x:v>
      </x:c>
      <x:c r="F5" s="91" t="n">
        <x:v>1522.663</x:v>
      </x:c>
      <x:c r="G5" s="91" t="n">
        <x:v>316.119</x:v>
      </x:c>
      <x:c r="H5" s="39" t="n">
        <x:f>G5/F5</x:f>
        <x:v>0.20760930028509264</x:v>
      </x:c>
    </x:row>
    <x:row r="6">
      <x:c r="A6" s="94" t="str">
        <x:v>介入</x:v>
      </x:c>
      <x:c r="B6" s="95" t="n">
        <x:v>1931.04</x:v>
      </x:c>
      <x:c r="C6" s="95" t="n">
        <x:v>23.454</x:v>
      </x:c>
      <x:c r="D6" s="95" t="n">
        <x:v>1980.048</x:v>
      </x:c>
      <x:c r="E6" s="95" t="n">
        <x:v>1.725</x:v>
      </x:c>
      <x:c r="F6" s="95" t="n">
        <x:v>2005.865</x:v>
      </x:c>
      <x:c r="G6" s="95" t="n">
        <x:v>-136.941</x:v>
      </x:c>
      <x:c r="H6" s="96" t="n">
        <x:f>G6/F6</x:f>
        <x:v>-0.0682702973530123</x:v>
      </x:c>
    </x:row>
    <x:row r="7">
      <x:c r="A7" s="106" t="str">
        <x:v>药品包装</x:v>
      </x:c>
      <x:c r="B7" s="107" t="n">
        <x:v>2023.809</x:v>
      </x:c>
      <x:c r="C7" s="107" t="n">
        <x:v>811.783</x:v>
      </x:c>
      <x:c r="D7" s="107" t="n">
        <x:v>2278.608</x:v>
      </x:c>
      <x:c r="E7" s="107" t="n">
        <x:v>893.287</x:v>
      </x:c>
      <x:c r="F7" s="107" t="n">
        <x:v>2287.977</x:v>
      </x:c>
      <x:c r="G7" s="107" t="n">
        <x:v>823.853</x:v>
      </x:c>
      <x:c r="H7" s="108" t="n">
        <x:f>G7/F7</x:f>
        <x:v>0.36007923156570193</x:v>
      </x:c>
    </x:row>
    <x:row r="8">
      <x:c r="A8" s="14" t="str">
        <x:v>血液管理</x:v>
      </x:c>
      <x:c r="B8" s="91" t="n">
        <x:v>1041.994</x:v>
      </x:c>
      <x:c r="C8" s="91" t="n">
        <x:v>120.203</x:v>
      </x:c>
      <x:c r="D8" s="91" t="n">
        <x:v>876.777</x:v>
      </x:c>
      <x:c r="E8" s="91" t="n">
        <x:v>64.727</x:v>
      </x:c>
      <x:c r="F8" s="91" t="n">
        <x:v>995.113</x:v>
      </x:c>
      <x:c r="G8" s="91" t="n">
        <x:v>81.173</x:v>
      </x:c>
      <x:c r="H8" s="39" t="n">
        <x:f>G8/F8</x:f>
        <x:v>0.08157164060764958</x:v>
      </x:c>
    </x:row>
    <x:row r="9">
      <x:c r="A9" s="16" t="str">
        <x:v>其他/未分配利润</x:v>
      </x:c>
      <x:c r="B9" s="109"/>
      <x:c r="C9" s="109" t="n">
        <x:v>82.732</x:v>
      </x:c>
      <x:c r="D9" s="109"/>
      <x:c r="E9" s="109" t="n">
        <x:v>58.579</x:v>
      </x:c>
      <x:c r="F9" s="109"/>
      <x:c r="G9" s="109" t="n">
        <x:v>37.098</x:v>
      </x:c>
      <x:c r="H9" s="110"/>
    </x:row>
    <x:row r="16">
      <x:c r="A16" s="19" t="str">
        <x:v>2026H1分部</x:v>
      </x:c>
      <x:c r="B16" s="20" t="str">
        <x:v>2025H1收入</x:v>
      </x:c>
      <x:c r="C16" s="20" t="str">
        <x:v>2025H1利润</x:v>
      </x:c>
      <x:c r="D16" s="20" t="str">
        <x:v>2026H1收入</x:v>
      </x:c>
      <x:c r="E16" s="20" t="str">
        <x:v>2026H1利润</x:v>
      </x:c>
      <x:c r="F16" s="20" t="str">
        <x:v>收入同比</x:v>
      </x:c>
      <x:c r="G16" s="20" t="str">
        <x:v>利润同比</x:v>
      </x:c>
      <x:c r="H16" s="21" t="str">
        <x:v>2026H1利润率</x:v>
      </x:c>
    </x:row>
    <x:row r="17">
      <x:c r="A17" s="111" t="str">
        <x:v>医疗器械</x:v>
      </x:c>
      <x:c r="B17" s="112" t="n">
        <x:v>3299.984</x:v>
      </x:c>
      <x:c r="C17" s="112" t="n">
        <x:v>515.106</x:v>
      </x:c>
      <x:c r="D17" s="112" t="n">
        <x:v>3478.027</x:v>
      </x:c>
      <x:c r="E17" s="112" t="n">
        <x:v>466.62</x:v>
      </x:c>
      <x:c r="F17" s="113" t="n">
        <x:f>D17/B17-1</x:f>
        <x:v>0.05395268583120405</x:v>
      </x:c>
      <x:c r="G17" s="113" t="n">
        <x:f>E17/C17-1</x:f>
        <x:v>-0.09412819885615775</x:v>
      </x:c>
      <x:c r="H17" s="113" t="n">
        <x:f>E17/D17</x:f>
        <x:v>0.1341622707356786</x:v>
      </x:c>
    </x:row>
    <x:row r="18">
      <x:c r="A18" s="14" t="str">
        <x:v>骨科</x:v>
      </x:c>
      <x:c r="B18" s="91" t="n">
        <x:v>732.908</x:v>
      </x:c>
      <x:c r="C18" s="91" t="n">
        <x:v>160.726</x:v>
      </x:c>
      <x:c r="D18" s="91" t="n">
        <x:v>698.234</x:v>
      </x:c>
      <x:c r="E18" s="91" t="n">
        <x:v>163.35</x:v>
      </x:c>
      <x:c r="F18" s="39" t="n">
        <x:f>D18/B18-1</x:f>
        <x:v>-0.04731016716968561</x:v>
      </x:c>
      <x:c r="G18" s="39" t="n">
        <x:f>E18/C18-1</x:f>
        <x:v>0.01632592113285969</x:v>
      </x:c>
      <x:c r="H18" s="39" t="n">
        <x:f>E18/D18</x:f>
        <x:v>0.23394735862189464</x:v>
      </x:c>
    </x:row>
    <x:row r="19">
      <x:c r="A19" s="94" t="str">
        <x:v>介入</x:v>
      </x:c>
      <x:c r="B19" s="95" t="n">
        <x:v>990.252</x:v>
      </x:c>
      <x:c r="C19" s="95" t="n">
        <x:v>-60.183</x:v>
      </x:c>
      <x:c r="D19" s="95" t="n">
        <x:v>963.417</x:v>
      </x:c>
      <x:c r="E19" s="95" t="n">
        <x:v>-67.715</x:v>
      </x:c>
      <x:c r="F19" s="96" t="n">
        <x:f>D19/B19-1</x:f>
        <x:v>-0.027099162637389207</x:v>
      </x:c>
      <x:c r="G19" s="96" t="n">
        <x:f>E19/C19-1</x:f>
        <x:v>0.12515162088961995</x:v>
      </x:c>
      <x:c r="H19" s="96" t="n">
        <x:f>E19/D19</x:f>
        <x:v>-0.07028628309444405</x:v>
      </x:c>
    </x:row>
    <x:row r="20">
      <x:c r="A20" s="106" t="str">
        <x:v>药品包装</x:v>
      </x:c>
      <x:c r="B20" s="107" t="n">
        <x:v>1166.471</x:v>
      </x:c>
      <x:c r="C20" s="107" t="n">
        <x:v>451.386</x:v>
      </x:c>
      <x:c r="D20" s="107" t="n">
        <x:v>1253.572</x:v>
      </x:c>
      <x:c r="E20" s="107" t="n">
        <x:v>479.136</x:v>
      </x:c>
      <x:c r="F20" s="108" t="n">
        <x:f>D20/B20-1</x:f>
        <x:v>0.07467052331348123</x:v>
      </x:c>
      <x:c r="G20" s="108" t="n">
        <x:f>E20/C20-1</x:f>
        <x:v>0.061477316531748816</x:v>
      </x:c>
      <x:c r="H20" s="108" t="n">
        <x:f>E20/D20</x:f>
        <x:v>0.3822165779069731</x:v>
      </x:c>
    </x:row>
    <x:row r="21">
      <x:c r="A21" s="14" t="str">
        <x:v>血液管理</x:v>
      </x:c>
      <x:c r="B21" s="91" t="n">
        <x:v>454.433</x:v>
      </x:c>
      <x:c r="C21" s="91" t="n">
        <x:v>31.248</x:v>
      </x:c>
      <x:c r="D21" s="91" t="n">
        <x:v>454.392</x:v>
      </x:c>
      <x:c r="E21" s="91" t="n">
        <x:v>53.105</x:v>
      </x:c>
      <x:c r="F21" s="39" t="n">
        <x:f>D21/B21-1</x:f>
        <x:v>-0.00009022232100219796</x:v>
      </x:c>
      <x:c r="G21" s="39" t="n">
        <x:f>E21/C21-1</x:f>
        <x:v>0.6994687660010239</x:v>
      </x:c>
      <x:c r="H21" s="39" t="n">
        <x:f>E21/D21</x:f>
        <x:v>0.11687045546576523</x:v>
      </x:c>
    </x:row>
    <x:row r="22">
      <x:c r="A22" s="16" t="str">
        <x:v>其他/未分配利润</x:v>
      </x:c>
      <x:c r="B22" s="109"/>
      <x:c r="C22" s="109" t="n">
        <x:v>35.087</x:v>
      </x:c>
      <x:c r="D22" s="109"/>
      <x:c r="E22" s="109" t="n">
        <x:v>16.416</x:v>
      </x:c>
      <x:c r="F22" s="110"/>
      <x:c r="G22" s="110"/>
      <x:c r="H22" s="110"/>
    </x:row>
    <x:row r="25">
      <x:c r="A25" s="19" t="str">
        <x:v>2026H1地区</x:v>
      </x:c>
      <x:c r="B25" s="20" t="str">
        <x:v>收入</x:v>
      </x:c>
      <x:c r="C25" s="20" t="str">
        <x:v>同比</x:v>
      </x:c>
      <x:c r="D25" s="20" t="str">
        <x:v>收入占比</x:v>
      </x:c>
      <x:c r="E25" s="20" t="str">
        <x:v>关键变化</x:v>
      </x:c>
      <x:c r="F25" s="21" t="str">
        <x:v>来源</x:v>
      </x:c>
    </x:row>
    <x:row r="26">
      <x:c r="A26" s="11" t="str">
        <x:v>中国</x:v>
      </x:c>
      <x:c r="B26" s="114" t="n">
        <x:v>5125.273</x:v>
      </x:c>
      <x:c r="C26" s="88" t="n">
        <x:v>0.0208</x:v>
      </x:c>
      <x:c r="D26" s="88" t="n">
        <x:f>B26/SUM($B$26:$B$29)</x:f>
        <x:v>0.7483252642615533</x:v>
      </x:c>
      <x:c r="E26" s="11" t="str">
        <x:v>占比74.9%，集采是核心变量</x:v>
      </x:c>
      <x:c r="F26" s="11" t="str">
        <x:v>S1</x:v>
      </x:c>
    </x:row>
    <x:row r="27">
      <x:c r="A27" s="14" t="str">
        <x:v>美国</x:v>
      </x:c>
      <x:c r="B27" s="38" t="n">
        <x:v>699.562</x:v>
      </x:c>
      <x:c r="C27" s="39" t="n">
        <x:v>-0.033</x:v>
      </x:c>
      <x:c r="D27" s="39" t="n">
        <x:f>B27/SUM($B$26:$B$29)</x:f>
        <x:v>0.1021408846938184</x:v>
      </x:c>
      <x:c r="E27" s="14" t="str">
        <x:v>Argon及汇率承压</x:v>
      </x:c>
      <x:c r="F27" s="14" t="str">
        <x:v>S1</x:v>
      </x:c>
    </x:row>
    <x:row r="28">
      <x:c r="A28" s="14" t="str">
        <x:v>亚洲及其他</x:v>
      </x:c>
      <x:c r="B28" s="38" t="n">
        <x:v>555.456</x:v>
      </x:c>
      <x:c r="C28" s="39" t="n">
        <x:v>0.14</x:v>
      </x:c>
      <x:c r="D28" s="39" t="n">
        <x:f>B28/SUM($B$26:$B$29)</x:f>
        <x:v>0.08110041318494944</x:v>
      </x:c>
      <x:c r="E28" s="14" t="str">
        <x:v>区域增速最快</x:v>
      </x:c>
      <x:c r="F28" s="14" t="str">
        <x:v>S1</x:v>
      </x:c>
    </x:row>
    <x:row r="29">
      <x:c r="A29" s="16" t="str">
        <x:v>欧洲中东非洲</x:v>
      </x:c>
      <x:c r="B29" s="115" t="n">
        <x:v>468.7</x:v>
      </x:c>
      <x:c r="C29" s="110" t="n">
        <x:v>0.136</x:v>
      </x:c>
      <x:c r="D29" s="110" t="n">
        <x:f>B29/SUM($B$26:$B$29)</x:f>
        <x:v>0.0684334378596789</x:v>
      </x:c>
      <x:c r="E29" s="16" t="str">
        <x:v>双位数增长</x:v>
      </x:c>
      <x:c r="F29" s="16" t="str">
        <x:v>S1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4" hidden="0" customWidth="1"/>
    <x:col min="5" max="5" width="3" hidden="0" customWidth="1"/>
    <x:col min="6" max="6" width="32" hidden="0" customWidth="1"/>
    <x:col min="7" max="7" width="30" hidden="0" customWidth="1"/>
  </x:cols>
  <x:sheetData>
    <x:row r="1" ht="30" customHeight="1">
      <x:c r="A1" s="3" t="str">
        <x:v>资产负债、净现金与应收质量</x:v>
      </x:c>
      <x:c r="B1" s="3" t="str">
        <x:v>资产负债、净现金与应收质量</x:v>
      </x:c>
      <x:c r="C1" s="3" t="str">
        <x:v>资产负债、净现金与应收质量</x:v>
      </x:c>
      <x:c r="D1" s="3" t="str">
        <x:v>资产负债、净现金与应收质量</x:v>
      </x:c>
      <x:c r="E1" s="3" t="str">
        <x:v>资产负债、净现金与应收质量</x:v>
      </x:c>
      <x:c r="F1" s="3" t="str">
        <x:v>资产负债、净现金与应收质量</x:v>
      </x:c>
      <x:c r="G1" s="3" t="str">
        <x:v>资产负债、净现金与应收质量</x:v>
      </x:c>
    </x:row>
    <x:row r="3">
      <x:c r="A3" s="19" t="str">
        <x:v>指标（RMB mn）</x:v>
      </x:c>
      <x:c r="B3" s="20" t="str">
        <x:v>2025-12-31</x:v>
      </x:c>
      <x:c r="C3" s="20" t="str">
        <x:v>2026-06-30</x:v>
      </x:c>
      <x:c r="D3" s="21" t="str">
        <x:v>变化</x:v>
      </x:c>
      <x:c r="F3" s="19" t="str">
        <x:v>应收质量与关联方</x:v>
      </x:c>
      <x:c r="G3" s="21" t="str">
        <x:v>数值/判断</x:v>
      </x:c>
    </x:row>
    <x:row r="4">
      <x:c r="A4" s="11" t="str">
        <x:v>银行现金</x:v>
      </x:c>
      <x:c r="B4" s="114" t="n">
        <x:v>8569.516</x:v>
      </x:c>
      <x:c r="C4" s="114" t="n">
        <x:v>7362.697</x:v>
      </x:c>
      <x:c r="D4" s="88" t="n">
        <x:f>C4/B4-1</x:f>
        <x:v>-0.14082697319195148</x:v>
      </x:c>
      <x:c r="F4" s="111" t="str">
        <x:v>2025贸易应收</x:v>
      </x:c>
      <x:c r="G4" s="142" t="n">
        <x:v>6150.424</x:v>
      </x:c>
    </x:row>
    <x:row r="5">
      <x:c r="A5" s="14" t="str">
        <x:v>定期存款</x:v>
      </x:c>
      <x:c r="B5" s="38" t="n">
        <x:v>180</x:v>
      </x:c>
      <x:c r="C5" s="38" t="n">
        <x:v>357</x:v>
      </x:c>
      <x:c r="D5" s="39" t="n">
        <x:f>C5/B5-1</x:f>
        <x:v>0.9833333333333334</x:v>
      </x:c>
      <x:c r="F5" s="94" t="str">
        <x:v>2025同系附属公司应收</x:v>
      </x:c>
      <x:c r="G5" s="121" t="n">
        <x:v>3396.706</x:v>
      </x:c>
    </x:row>
    <x:row r="6">
      <x:c r="A6" s="14" t="str">
        <x:v>受限存款</x:v>
      </x:c>
      <x:c r="B6" s="38" t="n">
        <x:v>413.622</x:v>
      </x:c>
      <x:c r="C6" s="38" t="n">
        <x:v>425.667</x:v>
      </x:c>
      <x:c r="D6" s="39" t="n">
        <x:f>C6/B6-1</x:f>
        <x:v>0.029120791447263317</x:v>
      </x:c>
      <x:c r="F6" s="94" t="str">
        <x:v>关联方占贸易应收</x:v>
      </x:c>
      <x:c r="G6" s="143" t="n">
        <x:f>G5/G4</x:f>
        <x:v>0.5522718433720992</x:v>
      </x:c>
    </x:row>
    <x:row r="7">
      <x:c r="A7" s="94" t="str">
        <x:v>贸易及其他应收</x:v>
      </x:c>
      <x:c r="B7" s="121" t="n">
        <x:v>7826.887</x:v>
      </x:c>
      <x:c r="C7" s="121" t="n">
        <x:v>8265.715</x:v>
      </x:c>
      <x:c r="D7" s="96" t="n">
        <x:f>C7/B7-1</x:f>
        <x:v>0.05606673508893123</x:v>
      </x:c>
      <x:c r="F7" s="94" t="str">
        <x:v>2025逾期应收</x:v>
      </x:c>
      <x:c r="G7" s="121" t="n">
        <x:v>2592.85</x:v>
      </x:c>
    </x:row>
    <x:row r="8">
      <x:c r="A8" s="94" t="str">
        <x:v>贸易应收</x:v>
      </x:c>
      <x:c r="B8" s="121" t="n">
        <x:v>6150.424</x:v>
      </x:c>
      <x:c r="C8" s="121" t="n">
        <x:v>6692.823</x:v>
      </x:c>
      <x:c r="D8" s="96" t="n">
        <x:f>C8/B8-1</x:f>
        <x:v>0.08818887933579878</x:v>
      </x:c>
      <x:c r="F8" s="94" t="str">
        <x:v>2024逾期应收</x:v>
      </x:c>
      <x:c r="G8" s="121" t="n">
        <x:v>1740.903</x:v>
      </x:c>
    </x:row>
    <x:row r="9">
      <x:c r="A9" s="94" t="str">
        <x:v>其中：一年以上</x:v>
      </x:c>
      <x:c r="B9" s="121" t="n">
        <x:v>739.946</x:v>
      </x:c>
      <x:c r="C9" s="121" t="n">
        <x:v>944.924</x:v>
      </x:c>
      <x:c r="D9" s="96" t="n">
        <x:f>C9/B9-1</x:f>
        <x:v>0.27701751208871994</x:v>
      </x:c>
      <x:c r="F9" s="94" t="str">
        <x:v>2025无追索权保理</x:v>
      </x:c>
      <x:c r="G9" s="121" t="n">
        <x:v>865.153</x:v>
      </x:c>
    </x:row>
    <x:row r="10">
      <x:c r="A10" s="14" t="str">
        <x:v>存货</x:v>
      </x:c>
      <x:c r="B10" s="38" t="n">
        <x:v>2515.073</x:v>
      </x:c>
      <x:c r="C10" s="38" t="n">
        <x:v>2544.298</x:v>
      </x:c>
      <x:c r="D10" s="39" t="n">
        <x:f>C10/B10-1</x:f>
        <x:v>0.011619941051412841</x:v>
      </x:c>
      <x:c r="F10" s="94" t="str">
        <x:v>2024无追索权保理</x:v>
      </x:c>
      <x:c r="G10" s="121" t="n">
        <x:v>503.288</x:v>
      </x:c>
    </x:row>
    <x:row r="11">
      <x:c r="A11" s="14" t="str">
        <x:v>商誉</x:v>
      </x:c>
      <x:c r="B11" s="38" t="n">
        <x:v>3701.195</x:v>
      </x:c>
      <x:c r="C11" s="38" t="n">
        <x:v>3656.232</x:v>
      </x:c>
      <x:c r="D11" s="39" t="n">
        <x:f>C11/B11-1</x:f>
        <x:v>-0.012148238609422157</x:v>
      </x:c>
      <x:c r="F11" s="94" t="str">
        <x:v>2025保理损失</x:v>
      </x:c>
      <x:c r="G11" s="121" t="n">
        <x:v>7.744</x:v>
      </x:c>
    </x:row>
    <x:row r="12">
      <x:c r="A12" s="14" t="str">
        <x:v>无形资产</x:v>
      </x:c>
      <x:c r="B12" s="38" t="n">
        <x:v>1044.965</x:v>
      </x:c>
      <x:c r="C12" s="38" t="n">
        <x:v>934.642</x:v>
      </x:c>
      <x:c r="D12" s="39" t="n">
        <x:f>C12/B12-1</x:f>
        <x:v>-0.1055757848348986</x:v>
      </x:c>
      <x:c r="F12" s="94" t="str">
        <x:v>2026H1信用减值</x:v>
      </x:c>
      <x:c r="G12" s="121" t="n">
        <x:v>25.421</x:v>
      </x:c>
    </x:row>
    <x:row r="13">
      <x:c r="A13" s="14" t="str">
        <x:v>计息借款</x:v>
      </x:c>
      <x:c r="B13" s="38" t="n">
        <x:v>4789.139</x:v>
      </x:c>
      <x:c r="C13" s="38" t="n">
        <x:v>3793.54</x:v>
      </x:c>
      <x:c r="D13" s="39" t="n">
        <x:f>C13/B13-1</x:f>
        <x:v>-0.20788684563133375</x:v>
      </x:c>
      <x:c r="F13" s="144" t="str">
        <x:v>核心判断</x:v>
      </x:c>
      <x:c r="G13" s="144" t="str">
        <x:v>回款与账龄需独立于CFO跟踪</x:v>
      </x:c>
    </x:row>
    <x:row r="14">
      <x:c r="A14" s="122" t="str">
        <x:v>租赁负债</x:v>
      </x:c>
      <x:c r="B14" s="123" t="n">
        <x:v>314.302</x:v>
      </x:c>
      <x:c r="C14" s="123" t="n">
        <x:v>280.658</x:v>
      </x:c>
      <x:c r="D14" s="124" t="n">
        <x:f>C14/B14-1</x:f>
        <x:v>-0.10704354410725991</x:v>
      </x:c>
    </x:row>
    <x:row r="15">
      <x:c r="A15" s="122" t="str">
        <x:v>流动资产</x:v>
      </x:c>
      <x:c r="B15" s="123" t="n">
        <x:v>20662.591</x:v>
      </x:c>
      <x:c r="C15" s="123" t="n">
        <x:v>20023.395</x:v>
      </x:c>
      <x:c r="D15" s="124" t="n">
        <x:f>C15/B15-1</x:f>
        <x:v>-0.030934939379093307</x:v>
      </x:c>
    </x:row>
    <x:row r="16">
      <x:c r="A16" s="122" t="str">
        <x:v>流动负债</x:v>
      </x:c>
      <x:c r="B16" s="123" t="n">
        <x:v>5472.382</x:v>
      </x:c>
      <x:c r="C16" s="123" t="n">
        <x:v>6480.587</x:v>
      </x:c>
      <x:c r="D16" s="124" t="n">
        <x:f>C16/B16-1</x:f>
        <x:v>0.18423512832254785</x:v>
      </x:c>
      <x:c r="F16" s="19" t="str">
        <x:v>2026H1应收账龄</x:v>
      </x:c>
      <x:c r="G16" s="21" t="str">
        <x:v>RMB mn</x:v>
      </x:c>
    </x:row>
    <x:row r="17">
      <x:c r="A17" s="122" t="str">
        <x:v>归母权益</x:v>
      </x:c>
      <x:c r="B17" s="123" t="n">
        <x:v>24108.177</x:v>
      </x:c>
      <x:c r="C17" s="123" t="n">
        <x:v>24392.956</x:v>
      </x:c>
      <x:c r="D17" s="124" t="n">
        <x:f>C17/B17-1</x:f>
        <x:v>0.011812548082752006</x:v>
      </x:c>
      <x:c r="F17" s="11" t="str">
        <x:v>0—90天</x:v>
      </x:c>
      <x:c r="G17" s="114" t="n">
        <x:v>2682.612</x:v>
      </x:c>
    </x:row>
    <x:row r="18">
      <x:c r="A18" s="125" t="str">
        <x:v>总权益</x:v>
      </x:c>
      <x:c r="B18" s="126" t="n">
        <x:v>25819.629</x:v>
      </x:c>
      <x:c r="C18" s="126" t="n">
        <x:v>26169.551</x:v>
      </x:c>
      <x:c r="D18" s="127" t="n">
        <x:f>C18/B18-1</x:f>
        <x:v>0.013552557242398677</x:v>
      </x:c>
      <x:c r="F18" s="14" t="str">
        <x:v>91—180天</x:v>
      </x:c>
      <x:c r="G18" s="38" t="n">
        <x:v>1587.497</x:v>
      </x:c>
    </x:row>
    <x:row r="19">
      <x:c r="F19" s="14" t="str">
        <x:v>181—365天</x:v>
      </x:c>
      <x:c r="G19" s="38" t="n">
        <x:v>1477.79</x:v>
      </x:c>
    </x:row>
    <x:row r="20">
      <x:c r="F20" s="144" t="str">
        <x:v>365天以上</x:v>
      </x:c>
      <x:c r="G20" s="145" t="n">
        <x:v>944.924</x:v>
      </x:c>
    </x:row>
    <x:row r="21">
      <x:c r="A21" s="19" t="str">
        <x:v>净现金与流动性（RMB mn）</x:v>
      </x:c>
      <x:c r="B21" s="20" t="str">
        <x:v>数值</x:v>
      </x:c>
      <x:c r="C21" s="20" t="str">
        <x:v>公式/比较</x:v>
      </x:c>
      <x:c r="D21" s="21" t="str">
        <x:v>说明</x:v>
      </x:c>
    </x:row>
    <x:row r="22">
      <x:c r="A22" s="11" t="str">
        <x:v>现金及银行结余</x:v>
      </x:c>
      <x:c r="B22" s="114" t="n">
        <x:f>C4+C5</x:f>
        <x:v>7719.697</x:v>
      </x:c>
      <x:c r="C22" s="114" t="n">
        <x:f>C4+C5</x:f>
        <x:v>7719.697</x:v>
      </x:c>
      <x:c r="D22" s="11" t="str">
        <x:v>现金+定存，不含受限</x:v>
      </x:c>
    </x:row>
    <x:row r="23">
      <x:c r="A23" s="134" t="str">
        <x:v>保守净现金</x:v>
      </x:c>
      <x:c r="B23" s="135" t="n">
        <x:f>B22-C13</x:f>
        <x:v>3926.157</x:v>
      </x:c>
      <x:c r="C23" s="135" t="n">
        <x:f>B22-C13</x:f>
        <x:v>3926.157</x:v>
      </x:c>
      <x:c r="D23" s="134" t="str">
        <x:v>减计息借款</x:v>
      </x:c>
    </x:row>
    <x:row r="24">
      <x:c r="A24" s="134" t="str">
        <x:v>租赁调整净现金</x:v>
      </x:c>
      <x:c r="B24" s="135" t="n">
        <x:f>B23-C14</x:f>
        <x:v>3645.4990000000003</x:v>
      </x:c>
      <x:c r="C24" s="135" t="n">
        <x:f>B23-C14</x:f>
        <x:v>3645.4990000000003</x:v>
      </x:c>
      <x:c r="D24" s="134" t="str">
        <x:v>再减租赁负债</x:v>
      </x:c>
    </x:row>
    <x:row r="25">
      <x:c r="A25" s="14" t="str">
        <x:v>流动比率</x:v>
      </x:c>
      <x:c r="B25" s="136" t="n">
        <x:f>C15/C16</x:f>
        <x:v>3.0897502031837547</x:v>
      </x:c>
      <x:c r="C25" s="136" t="n">
        <x:f>C15/C16</x:f>
        <x:v>3.0897502031837547</x:v>
      </x:c>
      <x:c r="D25" s="14" t="str">
        <x:v>流动资产/流动负债</x:v>
      </x:c>
    </x:row>
    <x:row r="26">
      <x:c r="A26" s="14" t="str">
        <x:v>归母BVPS</x:v>
      </x:c>
      <x:c r="B26" s="98" t="n">
        <x:f>C17/'Assumptions'!B6</x:f>
        <x:v>5.412636175175512</x:v>
      </x:c>
      <x:c r="C26" s="98" t="n">
        <x:f>C17/'Assumptions'!B6</x:f>
        <x:v>5.412636175175512</x:v>
      </x:c>
      <x:c r="D26" s="14" t="str">
        <x:v>归母权益/经济流通股</x:v>
      </x:c>
    </x:row>
    <x:row r="27">
      <x:c r="A27" s="14" t="str">
        <x:v>净现金/股</x:v>
      </x:c>
      <x:c r="B27" s="98" t="n">
        <x:f>B23/'Assumptions'!B6</x:f>
        <x:v>0.8711883630511434</x:v>
      </x:c>
      <x:c r="C27" s="98" t="n">
        <x:f>B23/'Assumptions'!B6</x:f>
        <x:v>0.8711883630511434</x:v>
      </x:c>
      <x:c r="D27" s="14" t="str">
        <x:v>保守净现金/经济流通股</x:v>
      </x:c>
    </x:row>
    <x:row r="28">
      <x:c r="A28" s="14" t="str">
        <x:v>贸易应收/收入</x:v>
      </x:c>
      <x:c r="B28" s="137" t="n">
        <x:f>C8/'Historical'!D4</x:f>
        <x:v>0.4998788547818378</x:v>
      </x:c>
      <x:c r="C28" s="137" t="n">
        <x:f>C8/'Historical'!D4</x:f>
        <x:v>0.4998788547818378</x:v>
      </x:c>
      <x:c r="D28" s="14" t="str">
        <x:v>用2025收入作静态比较</x:v>
      </x:c>
    </x:row>
    <x:row r="29">
      <x:c r="A29" s="16" t="str">
        <x:v>一年以上应收/贸易应收</x:v>
      </x:c>
      <x:c r="B29" s="138" t="n">
        <x:f>C9/C8</x:f>
        <x:v>0.14118466901037124</x:v>
      </x:c>
      <x:c r="C29" s="138" t="n">
        <x:f>C9/C8</x:f>
        <x:v>0.14118466901037124</x:v>
      </x:c>
      <x:c r="D29" s="16" t="str">
        <x:v>长账龄占比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43" hidden="0" customWidth="1"/>
    <x:col min="6" max="6" width="43" hidden="0" customWidth="1"/>
  </x:cols>
  <x:sheetData>
    <x:row r="1" ht="30" customHeight="1">
      <x:c r="A1" s="3" t="str">
        <x:v>市场输入与估值假设</x:v>
      </x:c>
      <x:c r="B1" s="3" t="str">
        <x:v>市场输入与估值假设</x:v>
      </x:c>
      <x:c r="C1" s="3" t="str">
        <x:v>市场输入与估值假设</x:v>
      </x:c>
      <x:c r="D1" s="3" t="str">
        <x:v>市场输入与估值假设</x:v>
      </x:c>
      <x:c r="E1" s="3" t="str">
        <x:v>市场输入与估值假设</x:v>
      </x:c>
      <x:c r="F1" s="3" t="str">
        <x:v>市场输入与估值假设</x:v>
      </x:c>
    </x:row>
    <x:row r="3">
      <x:c r="A3" s="19" t="str">
        <x:v>市场/资本输入</x:v>
      </x:c>
      <x:c r="B3" s="20" t="str">
        <x:v>数值</x:v>
      </x:c>
      <x:c r="C3" s="20" t="str">
        <x:v>单位</x:v>
      </x:c>
      <x:c r="D3" s="21" t="str">
        <x:v>来源/说明</x:v>
      </x:c>
    </x:row>
    <x:row r="4">
      <x:c r="A4" s="11" t="str">
        <x:v>参考股价</x:v>
      </x:c>
      <x:c r="B4" s="37" t="n">
        <x:v>3.23</x:v>
      </x:c>
      <x:c r="C4" s="11" t="str">
        <x:v>HKD/股</x:v>
      </x:c>
      <x:c r="D4" s="11" t="str">
        <x:v>2026-09-07收盘，M1</x:v>
      </x:c>
    </x:row>
    <x:row r="5">
      <x:c r="A5" s="14" t="str">
        <x:v>CNY/HKD</x:v>
      </x:c>
      <x:c r="B5" s="150" t="n">
        <x:v>1.1682</x:v>
      </x:c>
      <x:c r="C5" s="14" t="str">
        <x:v>HKD per RMB</x:v>
      </x:c>
      <x:c r="D5" s="14" t="str">
        <x:v>2026-09-07，M2</x:v>
      </x:c>
    </x:row>
    <x:row r="6">
      <x:c r="A6" s="14" t="str">
        <x:v>经济流通股</x:v>
      </x:c>
      <x:c r="B6" s="38" t="n">
        <x:v>4506.668324</x:v>
      </x:c>
      <x:c r="C6" s="14" t="str">
        <x:v>mn shares</x:v>
      </x:c>
      <x:c r="D6" s="14" t="str">
        <x:v>扣库存股，含境内激励股，S6/M3</x:v>
      </x:c>
    </x:row>
    <x:row r="7">
      <x:c r="A7" s="14" t="str">
        <x:v>2026H1归母权益</x:v>
      </x:c>
      <x:c r="B7" s="38" t="n">
        <x:v>24392.956</x:v>
      </x:c>
      <x:c r="C7" s="14" t="str">
        <x:v>RMB mn</x:v>
      </x:c>
      <x:c r="D7" s="14" t="str">
        <x:v>S1</x:v>
      </x:c>
    </x:row>
    <x:row r="8">
      <x:c r="A8" s="14" t="str">
        <x:v>2026H1保守净现金</x:v>
      </x:c>
      <x:c r="B8" s="38" t="n">
        <x:v>3926.157</x:v>
      </x:c>
      <x:c r="C8" s="14" t="str">
        <x:v>RMB mn</x:v>
      </x:c>
      <x:c r="D8" s="14" t="str">
        <x:v>现金+定存-计息借款</x:v>
      </x:c>
    </x:row>
    <x:row r="9">
      <x:c r="A9" s="14" t="str">
        <x:v>2025年度每股股息</x:v>
      </x:c>
      <x:c r="B9" s="99" t="n">
        <x:v>0.1569</x:v>
      </x:c>
      <x:c r="C9" s="14" t="str">
        <x:v>RMB/股</x:v>
      </x:c>
      <x:c r="D9" s="14" t="str">
        <x:v>S1/S2</x:v>
      </x:c>
    </x:row>
    <x:row r="10">
      <x:c r="A10" s="14" t="str">
        <x:v>2026中期每股股息</x:v>
      </x:c>
      <x:c r="B10" s="99" t="n">
        <x:v>0.0854</x:v>
      </x:c>
      <x:c r="C10" s="14" t="str">
        <x:v>RMB/股</x:v>
      </x:c>
      <x:c r="D10" s="14" t="str">
        <x:v>S1</x:v>
      </x:c>
    </x:row>
    <x:row r="11">
      <x:c r="A11" s="16" t="str">
        <x:v>2026E末期股息假设</x:v>
      </x:c>
      <x:c r="B11" s="151" t="n">
        <x:v>0.06</x:v>
      </x:c>
      <x:c r="C11" s="16" t="str">
        <x:v>RMB/股</x:v>
      </x:c>
      <x:c r="D11" s="16" t="str">
        <x:v>分析假设</x:v>
      </x:c>
    </x:row>
    <x:row r="14">
      <x:c r="A14" s="19" t="str">
        <x:v>情景</x:v>
      </x:c>
      <x:c r="B14" s="20" t="str">
        <x:v>正常化归母利润</x:v>
      </x:c>
      <x:c r="C14" s="20" t="str">
        <x:v>P/E</x:v>
      </x:c>
      <x:c r="D14" s="20" t="str">
        <x:v>净现金计入</x:v>
      </x:c>
      <x:c r="E14" s="20" t="str">
        <x:v>情景定义</x:v>
      </x:c>
      <x:c r="F14" s="21" t="str">
        <x:v>关键触发</x:v>
      </x:c>
    </x:row>
    <x:row r="15">
      <x:c r="A15" s="11" t="str">
        <x:v>Bear</x:v>
      </x:c>
      <x:c r="B15" s="167" t="n">
        <x:v>1100</x:v>
      </x:c>
      <x:c r="C15" s="168" t="n">
        <x:v>7</x:v>
      </x:c>
      <x:c r="D15" s="169" t="n">
        <x:v>0.4</x:v>
      </x:c>
      <x:c r="E15" s="170" t="str">
        <x:v>集采压价、应收老化、Argon亏损延续</x:v>
      </x:c>
      <x:c r="F15" s="170" t="str">
        <x:v>调整归母连续下降，GM&lt;46%</x:v>
      </x:c>
    </x:row>
    <x:row r="16">
      <x:c r="A16" s="106" t="str">
        <x:v>Base</x:v>
      </x:c>
      <x:c r="B16" s="171" t="n">
        <x:v>1650</x:v>
      </x:c>
      <x:c r="C16" s="172" t="n">
        <x:v>10</x:v>
      </x:c>
      <x:c r="D16" s="173" t="n">
        <x:v>0.6</x:v>
      </x:c>
      <x:c r="E16" s="174" t="str">
        <x:v>利润稳定，部分净现金折价，重组大致中性</x:v>
      </x:c>
      <x:c r="F16" s="174" t="str">
        <x:v>GM约47%，归母恢复稳定</x:v>
      </x:c>
    </x:row>
    <x:row r="17">
      <x:c r="A17" s="16" t="str">
        <x:v>Bull</x:v>
      </x:c>
      <x:c r="B17" s="175" t="n">
        <x:v>2000</x:v>
      </x:c>
      <x:c r="C17" s="176" t="n">
        <x:v>13</x:v>
      </x:c>
      <x:c r="D17" s="177" t="n">
        <x:v>0.8</x:v>
      </x:c>
      <x:c r="E17" s="178" t="str">
        <x:v>药包、海外和介入改善，现金高兑现</x:v>
      </x:c>
      <x:c r="F17" s="178" t="str">
        <x:v>Argon接近盈亏平衡，长账龄下降</x:v>
      </x:c>
    </x:row>
    <x:row r="20">
      <x:c r="A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B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C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D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E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F20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</x:row>
    <x:row r="21">
      <x:c r="A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B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C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D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E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F21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</x:row>
    <x:row r="22">
      <x:c r="A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B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C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D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E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F22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</x:row>
    <x:row r="23">
      <x:c r="A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B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C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D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E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  <x:c r="F23" s="181" t="str">
        <x:v>正常化归母利润是穿越集采和重组过渡期的研究假设，不是2026年预测或公司指引。净现金折扣反映关联方应收、未来资本开支、并购基金及现金不一定完全可分配；重组完成后必须以归母利润和现金分红验证，而不是直接套用合并收入增幅。</x:v>
      </x:c>
    </x:row>
  </x:sheetData>
  <x:mergeCells>
    <x:mergeCell ref="A1:F1"/>
    <x:mergeCell ref="A20:F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威高普瑞置入威高血净：结构与归属分析</x:v>
      </x:c>
      <x:c r="B1" s="3" t="str">
        <x:v>威高普瑞置入威高血净：结构与归属分析</x:v>
      </x:c>
      <x:c r="C1" s="3" t="str">
        <x:v>威高普瑞置入威高血净：结构与归属分析</x:v>
      </x:c>
      <x:c r="D1" s="3" t="str">
        <x:v>威高普瑞置入威高血净：结构与归属分析</x:v>
      </x:c>
      <x:c r="E1" s="3" t="str">
        <x:v>威高普瑞置入威高血净：结构与归属分析</x:v>
      </x:c>
      <x:c r="F1" s="3" t="str">
        <x:v>威高普瑞置入威高血净：结构与归属分析</x:v>
      </x:c>
      <x:c r="G1" s="3" t="str">
        <x:v>威高普瑞置入威高血净：结构与归属分析</x:v>
      </x:c>
    </x:row>
    <x:row r="3">
      <x:c r="A3" s="19" t="str">
        <x:v>交易条款</x:v>
      </x:c>
      <x:c r="B3" s="20" t="str">
        <x:v>数值</x:v>
      </x:c>
      <x:c r="C3" s="20" t="str">
        <x:v>单位</x:v>
      </x:c>
      <x:c r="D3" s="21" t="str">
        <x:v>说明</x:v>
      </x:c>
      <x:c r="F3" s="19" t="str">
        <x:v>核心判断</x:v>
      </x:c>
      <x:c r="G3" s="21" t="str">
        <x:v>研究含义</x:v>
      </x:c>
    </x:row>
    <x:row r="4">
      <x:c r="A4" s="11" t="str">
        <x:v>威高普瑞100%作价</x:v>
      </x:c>
      <x:c r="B4" s="190" t="n">
        <x:v>8510.81</x:v>
      </x:c>
      <x:c r="C4" s="11" t="str">
        <x:v>RMB mn</x:v>
      </x:c>
      <x:c r="D4" s="11" t="str">
        <x:v>S4</x:v>
      </x:c>
      <x:c r="F4" s="200" t="str">
        <x:v>并表影响</x:v>
      </x:c>
      <x:c r="G4" s="200" t="str">
        <x:v>收入和利润机械增加</x:v>
      </x:c>
    </x:row>
    <x:row r="5">
      <x:c r="A5" s="14" t="str">
        <x:v>发行股数</x:v>
      </x:c>
      <x:c r="B5" s="191" t="n">
        <x:v>271.997882</x:v>
      </x:c>
      <x:c r="C5" s="14" t="str">
        <x:v>mn A shares</x:v>
      </x:c>
      <x:c r="D5" s="14" t="str">
        <x:v>S4</x:v>
      </x:c>
      <x:c r="F5" s="201" t="str">
        <x:v>归母影响</x:v>
      </x:c>
      <x:c r="G5" s="201" t="str">
        <x:v>少数股东权益同步增加</x:v>
      </x:c>
    </x:row>
    <x:row r="6">
      <x:c r="A6" s="14" t="str">
        <x:v>发行价格</x:v>
      </x:c>
      <x:c r="B6" s="191" t="n">
        <x:v>31.29</x:v>
      </x:c>
      <x:c r="C6" s="14" t="str">
        <x:v>RMB/股</x:v>
      </x:c>
      <x:c r="D6" s="14" t="str">
        <x:v>S4</x:v>
      </x:c>
      <x:c r="F6" s="201" t="str">
        <x:v>价值交换</x:v>
      </x:c>
      <x:c r="G6" s="201" t="str">
        <x:v>按发行价概念测算大致中性</x:v>
      </x:c>
    </x:row>
    <x:row r="7">
      <x:c r="A7" s="14" t="str">
        <x:v>新股/交易前股本</x:v>
      </x:c>
      <x:c r="B7" s="192" t="n">
        <x:v>0.6511</x:v>
      </x:c>
      <x:c r="C7" s="14" t="str">
        <x:v>比例</x:v>
      </x:c>
      <x:c r="D7" s="14" t="str">
        <x:v>约65.11%</x:v>
      </x:c>
      <x:c r="F7" s="201" t="str">
        <x:v>协同</x:v>
      </x:c>
      <x:c r="G7" s="201" t="str">
        <x:v>渠道、制造和融资平台可能改善</x:v>
      </x:c>
    </x:row>
    <x:row r="8">
      <x:c r="A8" s="14" t="str">
        <x:v>新股/扩大后股本</x:v>
      </x:c>
      <x:c r="B8" s="192" t="n">
        <x:v>0.3943</x:v>
      </x:c>
      <x:c r="C8" s="14" t="str">
        <x:v>比例</x:v>
      </x:c>
      <x:c r="D8" s="14" t="str">
        <x:v>约39.43%</x:v>
      </x:c>
      <x:c r="F8" s="201" t="str">
        <x:v>风险</x:v>
      </x:c>
      <x:c r="G8" s="201" t="str">
        <x:v>关联交易、业绩承诺、现金分红</x:v>
      </x:c>
    </x:row>
    <x:row r="9">
      <x:c r="A9" s="14" t="str">
        <x:v>交易前威高股份直接持有血净</x:v>
      </x:c>
      <x:c r="B9" s="192" t="n">
        <x:v>0.2353</x:v>
      </x:c>
      <x:c r="C9" s="14" t="str">
        <x:v>比例</x:v>
      </x:c>
      <x:c r="D9" s="14" t="str">
        <x:v>约数</x:v>
      </x:c>
      <x:c r="F9" s="201" t="str">
        <x:v>观察一</x:v>
      </x:c>
      <x:c r="G9" s="201" t="str">
        <x:v>首份并表少数股东损益</x:v>
      </x:c>
    </x:row>
    <x:row r="10">
      <x:c r="A10" s="106" t="str">
        <x:v>交易后威高股份直接持有血净</x:v>
      </x:c>
      <x:c r="B10" s="193" t="n">
        <x:v>0.5135</x:v>
      </x:c>
      <x:c r="C10" s="106" t="str">
        <x:v>比例</x:v>
      </x:c>
      <x:c r="D10" s="106" t="str">
        <x:v>预计</x:v>
      </x:c>
      <x:c r="F10" s="201" t="str">
        <x:v>观察二</x:v>
      </x:c>
      <x:c r="G10" s="201" t="str">
        <x:v>血净对威高股份现金分红</x:v>
      </x:c>
    </x:row>
    <x:row r="11">
      <x:c r="A11" s="106" t="str">
        <x:v>交易后威高集团合计持有血净</x:v>
      </x:c>
      <x:c r="B11" s="193" t="n">
        <x:v>0.521</x:v>
      </x:c>
      <x:c r="C11" s="106" t="str">
        <x:v>比例</x:v>
      </x:c>
      <x:c r="D11" s="106" t="str">
        <x:v>预计</x:v>
      </x:c>
      <x:c r="F11" s="201" t="str">
        <x:v>观察三</x:v>
      </x:c>
      <x:c r="G11" s="201" t="str">
        <x:v>普瑞承诺利润与资本开支</x:v>
      </x:c>
    </x:row>
    <x:row r="12">
      <x:c r="A12" s="106" t="str">
        <x:v>威高股份直接持有普瑞</x:v>
      </x:c>
      <x:c r="B12" s="193" t="n">
        <x:v>0.940706</x:v>
      </x:c>
      <x:c r="C12" s="106" t="str">
        <x:v>比例</x:v>
      </x:c>
      <x:c r="D12" s="106" t="str">
        <x:v>交易前</x:v>
      </x:c>
      <x:c r="F12" s="202" t="str">
        <x:v>截止状态</x:v>
      </x:c>
      <x:c r="G12" s="202" t="str">
        <x:v>批准但未完成实施</x:v>
      </x:c>
    </x:row>
    <x:row r="13">
      <x:c r="A13" s="16" t="str">
        <x:v>审批状态</x:v>
      </x:c>
      <x:c r="B13" s="16" t="str">
        <x:v>已获证监会批准</x:v>
      </x:c>
      <x:c r="C13" s="16" t="str">
        <x:v>状态</x:v>
      </x:c>
      <x:c r="D13" s="16" t="str">
        <x:v>过户、登记、实施待完成</x:v>
      </x:c>
    </x:row>
    <x:row r="16">
      <x:c r="A16" s="19" t="str">
        <x:v>威高普瑞历史与承诺</x:v>
      </x:c>
      <x:c r="B16" s="20" t="str">
        <x:v>2023A</x:v>
      </x:c>
      <x:c r="C16" s="20" t="str">
        <x:v>2024A</x:v>
      </x:c>
      <x:c r="D16" s="20" t="str">
        <x:v>2025前9月</x:v>
      </x:c>
      <x:c r="E16" s="20" t="str">
        <x:v>2026E承诺</x:v>
      </x:c>
      <x:c r="F16" s="20" t="str">
        <x:v>2027E承诺</x:v>
      </x:c>
      <x:c r="G16" s="21" t="str">
        <x:v>2028E承诺</x:v>
      </x:c>
    </x:row>
    <x:row r="17">
      <x:c r="A17" s="11" t="str">
        <x:v>收入</x:v>
      </x:c>
      <x:c r="B17" s="114" t="n">
        <x:v>1430.28</x:v>
      </x:c>
      <x:c r="C17" s="114" t="n">
        <x:v>1673.44</x:v>
      </x:c>
      <x:c r="D17" s="114" t="n">
        <x:v>1411.89</x:v>
      </x:c>
      <x:c r="E17" s="114" t="n">
        <x:v>2066.874</x:v>
      </x:c>
      <x:c r="F17" s="114" t="n">
        <x:v>2262.956</x:v>
      </x:c>
      <x:c r="G17" s="114" t="n">
        <x:v>2465.152</x:v>
      </x:c>
    </x:row>
    <x:row r="18">
      <x:c r="A18" s="195" t="str">
        <x:v>净利润</x:v>
      </x:c>
      <x:c r="B18" s="196" t="n">
        <x:v>482.56</x:v>
      </x:c>
      <x:c r="C18" s="196" t="n">
        <x:v>580.72</x:v>
      </x:c>
      <x:c r="D18" s="196" t="n">
        <x:v>485.93</x:v>
      </x:c>
      <x:c r="E18" s="196" t="n">
        <x:v>639.5092</x:v>
      </x:c>
      <x:c r="F18" s="196" t="n">
        <x:v>720.1707</x:v>
      </x:c>
      <x:c r="G18" s="196" t="n">
        <x:v>783.5229</x:v>
      </x:c>
    </x:row>
    <x:row r="21">
      <x:c r="A21" s="19" t="str">
        <x:v>概念性经济桥（RMB mn）</x:v>
      </x:c>
      <x:c r="B21" s="20" t="str">
        <x:v>交易前</x:v>
      </x:c>
      <x:c r="C21" s="20" t="str">
        <x:v>交易后</x:v>
      </x:c>
      <x:c r="D21" s="21" t="str">
        <x:v>解读</x:v>
      </x:c>
    </x:row>
    <x:row r="22">
      <x:c r="A22" s="11" t="str">
        <x:v>威高血净交易前市值</x:v>
      </x:c>
      <x:c r="B22" s="114" t="n">
        <x:f>417.754*B6</x:f>
        <x:v>13071.52266</x:v>
      </x:c>
      <x:c r="C22" s="114"/>
      <x:c r="D22" s="11" t="str">
        <x:v>按发行价概念测算</x:v>
      </x:c>
    </x:row>
    <x:row r="23">
      <x:c r="A23" s="14" t="str">
        <x:v>旧血净权益价值</x:v>
      </x:c>
      <x:c r="B23" s="38" t="n">
        <x:f>B22*B9</x:f>
        <x:v>3075.7292818980004</x:v>
      </x:c>
      <x:c r="C23" s="38"/>
      <x:c r="D23" s="14" t="str">
        <x:v>交易前直接持股</x:v>
      </x:c>
    </x:row>
    <x:row r="24">
      <x:c r="A24" s="14" t="str">
        <x:v>普瑞权益价值</x:v>
      </x:c>
      <x:c r="B24" s="38" t="n">
        <x:f>B4*B12</x:f>
        <x:v>8006.17003186</x:v>
      </x:c>
      <x:c r="C24" s="38"/>
      <x:c r="D24" s="14" t="str">
        <x:v>按交易作价×直接持股</x:v>
      </x:c>
    </x:row>
    <x:row r="25">
      <x:c r="A25" s="122" t="str">
        <x:v>合计对应价值</x:v>
      </x:c>
      <x:c r="B25" s="123" t="n">
        <x:f>B23+B24</x:f>
        <x:v>11081.899313758</x:v>
      </x:c>
      <x:c r="C25" s="123"/>
      <x:c r="D25" s="122" t="str">
        <x:v>旧血净+普瑞</x:v>
      </x:c>
    </x:row>
    <x:row r="26">
      <x:c r="A26" s="122" t="str">
        <x:v>扩大后血净市值</x:v>
      </x:c>
      <x:c r="B26" s="123"/>
      <x:c r="C26" s="123" t="n">
        <x:f>(417.754+B5)*B6</x:f>
        <x:v>21582.33638778</x:v>
      </x:c>
      <x:c r="D26" s="122" t="str">
        <x:v>交易前股本+发行股数</x:v>
      </x:c>
    </x:row>
    <x:row r="27">
      <x:c r="A27" s="125" t="str">
        <x:v>交易后直接权益价值</x:v>
      </x:c>
      <x:c r="B27" s="126"/>
      <x:c r="C27" s="126" t="n">
        <x:f>C26*B10</x:f>
        <x:v>11082.529735125028</x:v>
      </x:c>
      <x:c r="D27" s="125" t="str">
        <x:v>扩大后市值×51.35%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正常化归母P/E、折价净现金与市场隐含</x:v>
      </x:c>
      <x:c r="B1" s="3" t="str">
        <x:v>正常化归母P/E、折价净现金与市场隐含</x:v>
      </x:c>
      <x:c r="C1" s="3" t="str">
        <x:v>正常化归母P/E、折价净现金与市场隐含</x:v>
      </x:c>
      <x:c r="D1" s="3" t="str">
        <x:v>正常化归母P/E、折价净现金与市场隐含</x:v>
      </x:c>
      <x:c r="E1" s="3" t="str">
        <x:v>正常化归母P/E、折价净现金与市场隐含</x:v>
      </x:c>
      <x:c r="F1" s="3" t="str">
        <x:v>正常化归母P/E、折价净现金与市场隐含</x:v>
      </x:c>
      <x:c r="G1" s="3" t="str">
        <x:v>正常化归母P/E、折价净现金与市场隐含</x:v>
      </x:c>
      <x:c r="H1" s="3" t="str">
        <x:v>正常化归母P/E、折价净现金与市场隐含</x:v>
      </x:c>
      <x:c r="I1" s="3" t="str">
        <x:v>正常化归母P/E、折价净现金与市场隐含</x:v>
      </x:c>
      <x:c r="J1" s="3" t="str">
        <x:v>正常化归母P/E、折价净现金与市场隐含</x:v>
      </x:c>
    </x:row>
    <x:row r="3">
      <x:c r="A3" s="19" t="str">
        <x:v>核心输入</x:v>
      </x:c>
      <x:c r="B3" s="20" t="str">
        <x:v>数值</x:v>
      </x:c>
      <x:c r="C3" s="21" t="str">
        <x:v>说明</x:v>
      </x:c>
    </x:row>
    <x:row r="4">
      <x:c r="A4" s="11" t="str">
        <x:v>参考股价</x:v>
      </x:c>
      <x:c r="B4" s="37" t="n">
        <x:f>'Assumptions'!B4</x:f>
        <x:v>3.23</x:v>
      </x:c>
      <x:c r="C4" s="11" t="str">
        <x:v>HKD/股</x:v>
      </x:c>
    </x:row>
    <x:row r="5">
      <x:c r="A5" s="14" t="str">
        <x:v>经济流通股</x:v>
      </x:c>
      <x:c r="B5" s="38" t="n">
        <x:f>'Assumptions'!B6</x:f>
        <x:v>4506.668324</x:v>
      </x:c>
      <x:c r="C5" s="14" t="str">
        <x:v>mn shares</x:v>
      </x:c>
    </x:row>
    <x:row r="6">
      <x:c r="A6" s="14" t="str">
        <x:v>参考市值</x:v>
      </x:c>
      <x:c r="B6" s="38" t="n">
        <x:f>B4*B5</x:f>
        <x:v>14556.53868652</x:v>
      </x:c>
      <x:c r="C6" s="14" t="str">
        <x:v>HKD mn</x:v>
      </x:c>
    </x:row>
    <x:row r="7">
      <x:c r="A7" s="14" t="str">
        <x:v>CNY/HKD</x:v>
      </x:c>
      <x:c r="B7" s="150" t="n">
        <x:f>'Assumptions'!B5</x:f>
        <x:v>1.1682</x:v>
      </x:c>
      <x:c r="C7" s="14" t="str">
        <x:v>HKD per RMB</x:v>
      </x:c>
    </x:row>
    <x:row r="8">
      <x:c r="A8" s="14" t="str">
        <x:v>TTM归母净利润</x:v>
      </x:c>
      <x:c r="B8" s="38" t="n">
        <x:f>'Historical'!D9-'Historical'!E9+'Historical'!F9</x:f>
        <x:v>1378.011</x:v>
      </x:c>
      <x:c r="C8" s="14" t="str">
        <x:v>RMB mn</x:v>
      </x:c>
    </x:row>
    <x:row r="9">
      <x:c r="A9" s="14" t="str">
        <x:v>TTM每股收益</x:v>
      </x:c>
      <x:c r="B9" s="209" t="n">
        <x:f>B8/B5*B7</x:f>
        <x:v>0.3572023353986677</x:v>
      </x:c>
      <x:c r="C9" s="14" t="str">
        <x:v>HKD/股</x:v>
      </x:c>
    </x:row>
    <x:row r="10">
      <x:c r="A10" s="14" t="str">
        <x:v>TTM归母P/E</x:v>
      </x:c>
      <x:c r="B10" s="40" t="n">
        <x:f>B4/B9</x:f>
        <x:v>9.042494071028539</x:v>
      </x:c>
      <x:c r="C10" s="14" t="str">
        <x:v>x</x:v>
      </x:c>
    </x:row>
    <x:row r="11">
      <x:c r="A11" s="16" t="str">
        <x:v>2025股息率</x:v>
      </x:c>
      <x:c r="B11" s="138" t="n">
        <x:f>'Assumptions'!B9*B7/B4</x:f>
        <x:v>0.05674630959752322</x:v>
      </x:c>
      <x:c r="C11" s="16" t="str">
        <x:v>%</x:v>
      </x:c>
    </x:row>
    <x:row r="14">
      <x:c r="A14" s="19" t="str">
        <x:v>情景</x:v>
      </x:c>
      <x:c r="B14" s="20" t="str">
        <x:v>正常化归母利润</x:v>
      </x:c>
      <x:c r="C14" s="20" t="str">
        <x:v>P/E</x:v>
      </x:c>
      <x:c r="D14" s="20" t="str">
        <x:v>经营权益价值</x:v>
      </x:c>
      <x:c r="E14" s="20" t="str">
        <x:v>净现金计入</x:v>
      </x:c>
      <x:c r="F14" s="20" t="str">
        <x:v>净现金价值</x:v>
      </x:c>
      <x:c r="G14" s="20" t="str">
        <x:v>总股权价值</x:v>
      </x:c>
      <x:c r="H14" s="20" t="str">
        <x:v>每股价值</x:v>
      </x:c>
      <x:c r="I14" s="20" t="str">
        <x:v>相对参考价</x:v>
      </x:c>
      <x:c r="J14" s="21" t="str">
        <x:v>隐含P/B</x:v>
      </x:c>
    </x:row>
    <x:row r="15">
      <x:c r="A15" s="11" t="str">
        <x:f>'Assumptions'!A15</x:f>
        <x:v>Bear</x:v>
      </x:c>
      <x:c r="B15" s="167" t="n">
        <x:f>'Assumptions'!B15</x:f>
        <x:v>1100</x:v>
      </x:c>
      <x:c r="C15" s="168" t="n">
        <x:f>'Assumptions'!C15</x:f>
        <x:v>7</x:v>
      </x:c>
      <x:c r="D15" s="114" t="n">
        <x:f>B15*C15</x:f>
        <x:v>7700</x:v>
      </x:c>
      <x:c r="E15" s="169" t="n">
        <x:f>'Assumptions'!D15</x:f>
        <x:v>0.4</x:v>
      </x:c>
      <x:c r="F15" s="114" t="n">
        <x:f>'Assumptions'!$B$8*E15</x:f>
        <x:v>1570.4628000000002</x:v>
      </x:c>
      <x:c r="G15" s="114" t="n">
        <x:f>D15+F15</x:f>
        <x:v>9270.462800000001</x:v>
      </x:c>
      <x:c r="H15" s="224" t="n">
        <x:f>G15/$B$5*$B$7</x:f>
        <x:v>2.4030511820199347</x:v>
      </x:c>
      <x:c r="I15" s="88" t="n">
        <x:f>H15/$B$4-1</x:f>
        <x:v>-0.2560213058761812</x:v>
      </x:c>
      <x:c r="J15" s="225" t="n">
        <x:f>H15/('Assumptions'!$B$7/'Assumptions'!$B$6*$B$7)</x:f>
        <x:v>0.38004671512546495</x:v>
      </x:c>
    </x:row>
    <x:row r="16">
      <x:c r="A16" s="106" t="str">
        <x:f>'Assumptions'!A16</x:f>
        <x:v>Base</x:v>
      </x:c>
      <x:c r="B16" s="171" t="n">
        <x:f>'Assumptions'!B16</x:f>
        <x:v>1650</x:v>
      </x:c>
      <x:c r="C16" s="172" t="n">
        <x:f>'Assumptions'!C16</x:f>
        <x:v>10</x:v>
      </x:c>
      <x:c r="D16" s="226" t="n">
        <x:f>B16*C16</x:f>
        <x:v>16500</x:v>
      </x:c>
      <x:c r="E16" s="173" t="n">
        <x:f>'Assumptions'!D16</x:f>
        <x:v>0.6</x:v>
      </x:c>
      <x:c r="F16" s="226" t="n">
        <x:f>'Assumptions'!$B$8*E16</x:f>
        <x:v>2355.6942</x:v>
      </x:c>
      <x:c r="G16" s="226" t="n">
        <x:f>D16+F16</x:f>
        <x:v>18855.694199999998</x:v>
      </x:c>
      <x:c r="H16" s="227" t="n">
        <x:f>G16/$B$5*$B$7</x:f>
        <x:v>4.887695384001371</x:v>
      </x:c>
      <x:c r="I16" s="108" t="n">
        <x:f>H16/$B$4-1</x:f>
        <x:v>0.5132183851397434</x:v>
      </x:c>
      <x:c r="J16" s="228" t="n">
        <x:f>H16/('Assumptions'!$B$7/'Assumptions'!$B$6*$B$7)</x:f>
        <x:v>0.7729975079691039</x:v>
      </x:c>
    </x:row>
    <x:row r="17">
      <x:c r="A17" s="16" t="str">
        <x:f>'Assumptions'!A17</x:f>
        <x:v>Bull</x:v>
      </x:c>
      <x:c r="B17" s="175" t="n">
        <x:f>'Assumptions'!B17</x:f>
        <x:v>2000</x:v>
      </x:c>
      <x:c r="C17" s="176" t="n">
        <x:f>'Assumptions'!C17</x:f>
        <x:v>13</x:v>
      </x:c>
      <x:c r="D17" s="115" t="n">
        <x:f>B17*C17</x:f>
        <x:v>26000</x:v>
      </x:c>
      <x:c r="E17" s="177" t="n">
        <x:f>'Assumptions'!D17</x:f>
        <x:v>0.8</x:v>
      </x:c>
      <x:c r="F17" s="115" t="n">
        <x:f>'Assumptions'!$B$8*E17</x:f>
        <x:v>3140.9256000000005</x:v>
      </x:c>
      <x:c r="G17" s="115" t="n">
        <x:f>D17+F17</x:f>
        <x:v>29140.925600000002</x:v>
      </x:c>
      <x:c r="H17" s="229" t="n">
        <x:f>G17/$B$5*$B$7</x:f>
        <x:v>7.553790702685844</x:v>
      </x:c>
      <x:c r="I17" s="110" t="n">
        <x:f>H17/$B$4-1</x:f>
        <x:v>1.3386348924723976</x:v>
      </x:c>
      <x:c r="J17" s="42" t="n">
        <x:f>H17/('Assumptions'!$B$7/'Assumptions'!$B$6*$B$7)</x:f>
        <x:v>1.194645109842366</x:v>
      </x:c>
    </x:row>
    <x:row r="20">
      <x:c r="A20" s="19" t="str">
        <x:v>当前价格隐含</x:v>
      </x:c>
      <x:c r="B20" s="20" t="str">
        <x:v>数值</x:v>
      </x:c>
      <x:c r="C20" s="20" t="str">
        <x:v>单位</x:v>
      </x:c>
      <x:c r="D20" s="20" t="str">
        <x:v>计算</x:v>
      </x:c>
      <x:c r="E20" s="20" t="str">
        <x:v>解读</x:v>
      </x:c>
      <x:c r="F20" s="21" t="str">
        <x:v>限制</x:v>
      </x:c>
    </x:row>
    <x:row r="21">
      <x:c r="A21" s="170" t="str">
        <x:v>当前P/B</x:v>
      </x:c>
      <x:c r="B21" s="240" t="n">
        <x:f>B4/('Assumptions'!B7/'Assumptions'!B6*B7)</x:f>
        <x:v>0.510830105925338</x:v>
      </x:c>
      <x:c r="C21" s="170" t="str">
        <x:v>x</x:v>
      </x:c>
      <x:c r="D21" s="170" t="str">
        <x:v>价格/BVPS</x:v>
      </x:c>
      <x:c r="E21" s="170" t="str">
        <x:v>显著低于账面</x:v>
      </x:c>
      <x:c r="F21" s="170" t="str">
        <x:v>账面含商誉、应收</x:v>
      </x:c>
    </x:row>
    <x:row r="22">
      <x:c r="A22" s="241" t="str">
        <x:v>净现金/股</x:v>
      </x:c>
      <x:c r="B22" s="242" t="n">
        <x:f>'Assumptions'!B8/'Assumptions'!B6*B7</x:f>
        <x:v>1.0177222457163457</x:v>
      </x:c>
      <x:c r="C22" s="241" t="str">
        <x:v>HKD/股</x:v>
      </x:c>
      <x:c r="D22" s="241" t="str">
        <x:v>保守净现金/股</x:v>
      </x:c>
      <x:c r="E22" s="241" t="str">
        <x:v>约占股价三成</x:v>
      </x:c>
      <x:c r="F22" s="241" t="str">
        <x:v>现金非全部可分配</x:v>
      </x:c>
    </x:row>
    <x:row r="23">
      <x:c r="A23" s="241" t="str">
        <x:v>扣60%净现金后经营价值</x:v>
      </x:c>
      <x:c r="B23" s="243" t="n">
        <x:f>B6/B7-'Assumptions'!B8*0.6</x:f>
        <x:v>10104.962097312105</x:v>
      </x:c>
      <x:c r="C23" s="241" t="str">
        <x:v>RMB mn</x:v>
      </x:c>
      <x:c r="D23" s="241" t="str">
        <x:v>市值换算-净现金折价</x:v>
      </x:c>
      <x:c r="E23" s="241" t="str">
        <x:v>隐含经营折价</x:v>
      </x:c>
      <x:c r="F23" s="241" t="str">
        <x:v>依赖汇率和现金口径</x:v>
      </x:c>
    </x:row>
    <x:row r="24">
      <x:c r="A24" s="241" t="str">
        <x:v>隐含Base正常化P/E</x:v>
      </x:c>
      <x:c r="B24" s="244" t="n">
        <x:f>B23/'Assumptions'!B16</x:f>
        <x:v>6.124219452916428</x:v>
      </x:c>
      <x:c r="C24" s="241" t="str">
        <x:v>x</x:v>
      </x:c>
      <x:c r="D24" s="241" t="str">
        <x:v>经营价值/Base利润</x:v>
      </x:c>
      <x:c r="E24" s="241" t="str">
        <x:v>约6倍</x:v>
      </x:c>
      <x:c r="F24" s="241" t="str">
        <x:v>非报表TTM P/E</x:v>
      </x:c>
    </x:row>
    <x:row r="25">
      <x:c r="A25" s="241" t="str">
        <x:v>2026E假设股息率</x:v>
      </x:c>
      <x:c r="B25" s="245" t="n">
        <x:f>('Assumptions'!B10+'Assumptions'!B11)*B7/B4</x:f>
        <x:v>0.05258708359133127</x:v>
      </x:c>
      <x:c r="C25" s="241" t="str">
        <x:v>%</x:v>
      </x:c>
      <x:c r="D25" s="241" t="str">
        <x:v>中期+假设末期</x:v>
      </x:c>
      <x:c r="E25" s="241" t="str">
        <x:v>现金回报尚可</x:v>
      </x:c>
      <x:c r="F25" s="241" t="str">
        <x:v>末期股息为假设</x:v>
      </x:c>
    </x:row>
    <x:row r="26">
      <x:c r="A26" s="178" t="str">
        <x:v>一年以上应收占贸易应收</x:v>
      </x:c>
      <x:c r="B26" s="246" t="n">
        <x:f>'Balance &amp; Cash'!C9/'Balance &amp; Cash'!C8</x:f>
        <x:v>0.14118466901037124</x:v>
      </x:c>
      <x:c r="C26" s="178" t="str">
        <x:v>%</x:v>
      </x:c>
      <x:c r="D26" s="178" t="str">
        <x:v>长账龄/贸易应收</x:v>
      </x:c>
      <x:c r="E26" s="178" t="str">
        <x:v>回款压力上升</x:v>
      </x:c>
      <x:c r="F26" s="178" t="str">
        <x:v>未等同信用损失</x:v>
      </x:c>
    </x:row>
    <x:row r="29">
      <x:c r="A29" s="19" t="str">
        <x:v>Base每股价值敏感性（HKD/股）：行=正常化归母利润，列=P/E；净现金计入60%</x:v>
      </x:c>
      <x:c r="B29" s="20" t="str">
        <x:v>Base每股价值敏感性（HKD/股）：行=正常化归母利润，列=P/E；净现金计入60%</x:v>
      </x:c>
      <x:c r="C29" s="20" t="str">
        <x:v>Base每股价值敏感性（HKD/股）：行=正常化归母利润，列=P/E；净现金计入60%</x:v>
      </x:c>
      <x:c r="D29" s="20" t="str">
        <x:v>Base每股价值敏感性（HKD/股）：行=正常化归母利润，列=P/E；净现金计入60%</x:v>
      </x:c>
      <x:c r="E29" s="20" t="str">
        <x:v>Base每股价值敏感性（HKD/股）：行=正常化归母利润，列=P/E；净现金计入60%</x:v>
      </x:c>
      <x:c r="F29" s="20" t="str">
        <x:v>Base每股价值敏感性（HKD/股）：行=正常化归母利润，列=P/E；净现金计入60%</x:v>
      </x:c>
      <x:c r="G29" s="21" t="str">
        <x:v>Base每股价值敏感性（HKD/股）：行=正常化归母利润，列=P/E；净现金计入60%</x:v>
      </x:c>
    </x:row>
    <x:row r="30">
      <x:c r="A30" s="48" t="str">
        <x:v>利润 / P/E</x:v>
      </x:c>
      <x:c r="B30" s="247" t="n">
        <x:v>8</x:v>
      </x:c>
      <x:c r="C30" s="247" t="n">
        <x:v>9</x:v>
      </x:c>
      <x:c r="D30" s="247" t="n">
        <x:v>10</x:v>
      </x:c>
      <x:c r="E30" s="247" t="n">
        <x:v>11</x:v>
      </x:c>
      <x:c r="F30" s="248" t="n">
        <x:v>12</x:v>
      </x:c>
    </x:row>
    <x:row r="31">
      <x:c r="A31" s="167" t="n">
        <x:v>1300</x:v>
      </x:c>
      <x:c r="B31" s="37" t="n">
        <x:f>(($A31*B$30)+'Assumptions'!$B$8*0.6)/$B$5*$B$7</x:f>
        <x:v>3.3064785098749145</x:v>
      </x:c>
      <x:c r="C31" s="37" t="n">
        <x:f>(($A31*C$30)+'Assumptions'!$B$8*0.6)/$B$5*$B$7</x:f>
        <x:v>3.6434591551805524</x:v>
      </x:c>
      <x:c r="D31" s="37" t="n">
        <x:f>(($A31*D$30)+'Assumptions'!$B$8*0.6)/$B$5*$B$7</x:f>
        <x:v>3.980439800486191</x:v>
      </x:c>
      <x:c r="E31" s="37" t="n">
        <x:f>(($A31*E$30)+'Assumptions'!$B$8*0.6)/$B$5*$B$7</x:f>
        <x:v>4.3174204457918295</x:v>
      </x:c>
      <x:c r="F31" s="37" t="n">
        <x:f>(($A31*F$30)+'Assumptions'!$B$8*0.6)/$B$5*$B$7</x:f>
        <x:v>4.654401091097467</x:v>
      </x:c>
    </x:row>
    <x:row r="32">
      <x:c r="A32" s="249" t="n">
        <x:v>1475</x:v>
      </x:c>
      <x:c r="B32" s="41" t="n">
        <x:f>(($A32*B$30)+'Assumptions'!$B$8*0.6)/$B$5*$B$7</x:f>
        <x:v>3.6693807432809864</x:v>
      </x:c>
      <x:c r="C32" s="41" t="n">
        <x:f>(($A32*C$30)+'Assumptions'!$B$8*0.6)/$B$5*$B$7</x:f>
        <x:v>4.051724167762384</x:v>
      </x:c>
      <x:c r="D32" s="41" t="n">
        <x:f>(($A32*D$30)+'Assumptions'!$B$8*0.6)/$B$5*$B$7</x:f>
        <x:v>4.434067592243781</x:v>
      </x:c>
      <x:c r="E32" s="41" t="n">
        <x:f>(($A32*E$30)+'Assumptions'!$B$8*0.6)/$B$5*$B$7</x:f>
        <x:v>4.816411016725178</x:v>
      </x:c>
      <x:c r="F32" s="41" t="n">
        <x:f>(($A32*F$30)+'Assumptions'!$B$8*0.6)/$B$5*$B$7</x:f>
        <x:v>5.198754441206575</x:v>
      </x:c>
    </x:row>
    <x:row r="33">
      <x:c r="A33" s="249" t="n">
        <x:v>1650</x:v>
      </x:c>
      <x:c r="B33" s="41" t="n">
        <x:f>(($A33*B$30)+'Assumptions'!$B$8*0.6)/$B$5*$B$7</x:f>
        <x:v>4.032282976687059</x:v>
      </x:c>
      <x:c r="C33" s="41" t="n">
        <x:f>(($A33*C$30)+'Assumptions'!$B$8*0.6)/$B$5*$B$7</x:f>
        <x:v>4.459989180344214</x:v>
      </x:c>
      <x:c r="D33" s="41" t="n">
        <x:f>(($A33*D$30)+'Assumptions'!$B$8*0.6)/$B$5*$B$7</x:f>
        <x:v>4.887695384001371</x:v>
      </x:c>
      <x:c r="E33" s="41" t="n">
        <x:f>(($A33*E$30)+'Assumptions'!$B$8*0.6)/$B$5*$B$7</x:f>
        <x:v>5.315401587658527</x:v>
      </x:c>
      <x:c r="F33" s="41" t="n">
        <x:f>(($A33*F$30)+'Assumptions'!$B$8*0.6)/$B$5*$B$7</x:f>
        <x:v>5.743107791315684</x:v>
      </x:c>
    </x:row>
    <x:row r="34">
      <x:c r="A34" s="249" t="n">
        <x:v>1825</x:v>
      </x:c>
      <x:c r="B34" s="41" t="n">
        <x:f>(($A34*B$30)+'Assumptions'!$B$8*0.6)/$B$5*$B$7</x:f>
        <x:v>4.39518521009313</x:v>
      </x:c>
      <x:c r="C34" s="41" t="n">
        <x:f>(($A34*C$30)+'Assumptions'!$B$8*0.6)/$B$5*$B$7</x:f>
        <x:v>4.868254192926046</x:v>
      </x:c>
      <x:c r="D34" s="41" t="n">
        <x:f>(($A34*D$30)+'Assumptions'!$B$8*0.6)/$B$5*$B$7</x:f>
        <x:v>5.34132317575896</x:v>
      </x:c>
      <x:c r="E34" s="41" t="n">
        <x:f>(($A34*E$30)+'Assumptions'!$B$8*0.6)/$B$5*$B$7</x:f>
        <x:v>5.814392158591876</x:v>
      </x:c>
      <x:c r="F34" s="41" t="n">
        <x:f>(($A34*F$30)+'Assumptions'!$B$8*0.6)/$B$5*$B$7</x:f>
        <x:v>6.287461141424791</x:v>
      </x:c>
    </x:row>
    <x:row r="35">
      <x:c r="A35" s="175" t="n">
        <x:v>2000</x:v>
      </x:c>
      <x:c r="B35" s="250" t="n">
        <x:f>(($A35*B$30)+'Assumptions'!$B$8*0.6)/$B$5*$B$7</x:f>
        <x:v>4.758087443499202</x:v>
      </x:c>
      <x:c r="C35" s="250" t="n">
        <x:f>(($A35*C$30)+'Assumptions'!$B$8*0.6)/$B$5*$B$7</x:f>
        <x:v>5.276519205507877</x:v>
      </x:c>
      <x:c r="D35" s="250" t="n">
        <x:f>(($A35*D$30)+'Assumptions'!$B$8*0.6)/$B$5*$B$7</x:f>
        <x:v>5.794950967516551</x:v>
      </x:c>
      <x:c r="E35" s="250" t="n">
        <x:f>(($A35*E$30)+'Assumptions'!$B$8*0.6)/$B$5*$B$7</x:f>
        <x:v>6.313382729525226</x:v>
      </x:c>
      <x:c r="F35" s="250" t="n">
        <x:f>(($A35*F$30)+'Assumptions'!$B$8*0.6)/$B$5*$B$7</x:f>
        <x:v>6.8318144915339</x:v>
      </x:c>
    </x:row>
  </x:sheetData>
  <x:mergeCells>
    <x:mergeCell ref="A1:J1"/>
    <x:mergeCell ref="A29:G29"/>
  </x:mergeCells>
  <x:conditionalFormatting sqref="B31:F3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IF(COUNTIF(F5:F19,"FAIL")=0,"OK","FAIL")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2026H1收入同比</x:v>
      </x:c>
      <x:c r="B5" s="251" t="n">
        <x:f>'Historical'!G5</x:f>
        <x:v>0.0308</x:v>
      </x:c>
      <x:c r="C5" s="251" t="n">
        <x:f>'Historical'!F4/'Historical'!E4-1</x:f>
        <x:v>0.030846104663903695</x:v>
      </x:c>
      <x:c r="D5" s="251" t="n">
        <x:f>B5-C5</x:f>
        <x:v>-0.00004610466390369411</x:v>
      </x:c>
      <x:c r="E5" s="251" t="n">
        <x:f>0.0001</x:f>
        <x:v>0.0001</x:v>
      </x:c>
      <x:c r="F5" s="11" t="str">
        <x:f>IF(ABS(D5)&lt;=E5,"OK","FAIL")</x:f>
        <x:v>OK</x:v>
      </x:c>
      <x:c r="G5" s="11" t="str">
        <x:v>H1同比</x:v>
      </x:c>
    </x:row>
    <x:row r="6">
      <x:c r="A6" s="14" t="str">
        <x:v>2026H1毛利率</x:v>
      </x:c>
      <x:c r="B6" s="150" t="n">
        <x:f>'Historical'!F8</x:f>
        <x:v>0.46293811745408925</x:v>
      </x:c>
      <x:c r="C6" s="150" t="n">
        <x:f>'Historical'!F7/'Historical'!F4</x:f>
        <x:v>0.46293811745408925</x:v>
      </x:c>
      <x:c r="D6" s="150" t="n">
        <x:f>B6-C6</x:f>
        <x:v>0</x:v>
      </x:c>
      <x:c r="E6" s="150" t="n">
        <x:f>0.0001</x:f>
        <x:v>0.0001</x:v>
      </x:c>
      <x:c r="F6" s="14" t="str">
        <x:f>IF(ABS(D6)&lt;=E6,"OK","FAIL")</x:f>
        <x:v>OK</x:v>
      </x:c>
      <x:c r="G6" s="14" t="str">
        <x:v>毛利/收入</x:v>
      </x:c>
    </x:row>
    <x:row r="7">
      <x:c r="A7" s="14" t="str">
        <x:v>2026H1简化FCF</x:v>
      </x:c>
      <x:c r="B7" s="150" t="n">
        <x:f>'Historical'!F15</x:f>
        <x:v>741.101</x:v>
      </x:c>
      <x:c r="C7" s="150" t="n">
        <x:f>'Historical'!F13-'Historical'!F14</x:f>
        <x:v>741.1010000000001</x:v>
      </x:c>
      <x:c r="D7" s="150" t="n">
        <x:f>B7-C7</x:f>
        <x:v>-1.1368683772161603e-13</x:v>
      </x:c>
      <x:c r="E7" s="150" t="n">
        <x:f>0.0001</x:f>
        <x:v>0.0001</x:v>
      </x:c>
      <x:c r="F7" s="14" t="str">
        <x:f>IF(ABS(D7)&lt;=E7,"OK","FAIL")</x:f>
        <x:v>OK</x:v>
      </x:c>
      <x:c r="G7" s="14" t="str">
        <x:v>CFO-资本开支</x:v>
      </x:c>
    </x:row>
    <x:row r="8">
      <x:c r="A8" s="14" t="str">
        <x:v>地区收入合计</x:v>
      </x:c>
      <x:c r="B8" s="150" t="n">
        <x:f>SUM('Segments'!B26:B29)</x:f>
        <x:v>6848.991</x:v>
      </x:c>
      <x:c r="C8" s="150" t="n">
        <x:f>'Historical'!F4</x:f>
        <x:v>6848.991</x:v>
      </x:c>
      <x:c r="D8" s="150" t="n">
        <x:f>B8-C8</x:f>
        <x:v>0</x:v>
      </x:c>
      <x:c r="E8" s="150" t="n">
        <x:f>0.1</x:f>
        <x:v>0.1</x:v>
      </x:c>
      <x:c r="F8" s="14" t="str">
        <x:f>IF(ABS(D8)&lt;=E8,"OK","FAIL")</x:f>
        <x:v>OK</x:v>
      </x:c>
      <x:c r="G8" s="14" t="str">
        <x:v>地区合计</x:v>
      </x:c>
    </x:row>
    <x:row r="9">
      <x:c r="A9" s="14" t="str">
        <x:v>2026H1分部收入合计</x:v>
      </x:c>
      <x:c r="B9" s="150" t="n">
        <x:f>SUM('Segments'!D17:D21)</x:f>
        <x:v>6847.642000000001</x:v>
      </x:c>
      <x:c r="C9" s="150" t="n">
        <x:f>'Historical'!F4</x:f>
        <x:v>6848.991</x:v>
      </x:c>
      <x:c r="D9" s="150" t="n">
        <x:f>B9-C9</x:f>
        <x:v>-1.3489999999992506</x:v>
      </x:c>
      <x:c r="E9" s="150" t="n">
        <x:f>2.0</x:f>
        <x:v>2</x:v>
      </x:c>
      <x:c r="F9" s="14" t="str">
        <x:f>IF(ABS(D9)&lt;=E9,"OK","FAIL")</x:f>
        <x:v>OK</x:v>
      </x:c>
      <x:c r="G9" s="14" t="str">
        <x:v>五个经营分部合计</x:v>
      </x:c>
    </x:row>
    <x:row r="10">
      <x:c r="A10" s="14" t="str">
        <x:v>现金及银行结余</x:v>
      </x:c>
      <x:c r="B10" s="150" t="n">
        <x:f>'Balance &amp; Cash'!B22</x:f>
        <x:v>7719.697</x:v>
      </x:c>
      <x:c r="C10" s="150" t="n">
        <x:f>'Balance &amp; Cash'!C4+'Balance &amp; Cash'!C5</x:f>
        <x:v>7719.697</x:v>
      </x:c>
      <x:c r="D10" s="150" t="n">
        <x:f>B10-C10</x:f>
        <x:v>0</x:v>
      </x:c>
      <x:c r="E10" s="150" t="n">
        <x:f>0.0001</x:f>
        <x:v>0.0001</x:v>
      </x:c>
      <x:c r="F10" s="14" t="str">
        <x:f>IF(ABS(D10)&lt;=E10,"OK","FAIL")</x:f>
        <x:v>OK</x:v>
      </x:c>
      <x:c r="G10" s="14" t="str">
        <x:v>银行现金+定存</x:v>
      </x:c>
    </x:row>
    <x:row r="11">
      <x:c r="A11" s="14" t="str">
        <x:v>保守净现金桥</x:v>
      </x:c>
      <x:c r="B11" s="150" t="n">
        <x:f>'Balance &amp; Cash'!B23</x:f>
        <x:v>3926.157</x:v>
      </x:c>
      <x:c r="C11" s="150" t="n">
        <x:f>'Balance &amp; Cash'!B22-'Balance &amp; Cash'!C13</x:f>
        <x:v>3926.157</x:v>
      </x:c>
      <x:c r="D11" s="150" t="n">
        <x:f>B11-C11</x:f>
        <x:v>0</x:v>
      </x:c>
      <x:c r="E11" s="150" t="n">
        <x:f>0.0001</x:f>
        <x:v>0.0001</x:v>
      </x:c>
      <x:c r="F11" s="14" t="str">
        <x:f>IF(ABS(D11)&lt;=E11,"OK","FAIL")</x:f>
        <x:v>OK</x:v>
      </x:c>
      <x:c r="G11" s="14" t="str">
        <x:v>减计息借款</x:v>
      </x:c>
    </x:row>
    <x:row r="12">
      <x:c r="A12" s="14" t="str">
        <x:v>流动比率</x:v>
      </x:c>
      <x:c r="B12" s="150" t="n">
        <x:f>'Balance &amp; Cash'!B25</x:f>
        <x:v>3.0897502031837547</x:v>
      </x:c>
      <x:c r="C12" s="150" t="n">
        <x:f>'Balance &amp; Cash'!C15/'Balance &amp; Cash'!C16</x:f>
        <x:v>3.0897502031837547</x:v>
      </x:c>
      <x:c r="D12" s="150" t="n">
        <x:f>B12-C12</x:f>
        <x:v>0</x:v>
      </x:c>
      <x:c r="E12" s="150" t="n">
        <x:f>0.0001</x:f>
        <x:v>0.0001</x:v>
      </x:c>
      <x:c r="F12" s="14" t="str">
        <x:f>IF(ABS(D12)&lt;=E12,"OK","FAIL")</x:f>
        <x:v>OK</x:v>
      </x:c>
      <x:c r="G12" s="14" t="str">
        <x:v>流动资产/流动负债</x:v>
      </x:c>
    </x:row>
    <x:row r="13">
      <x:c r="A13" s="14" t="str">
        <x:v>关联方应收占比</x:v>
      </x:c>
      <x:c r="B13" s="150" t="n">
        <x:f>'Balance &amp; Cash'!G6</x:f>
        <x:v>0.5522718433720992</x:v>
      </x:c>
      <x:c r="C13" s="150" t="n">
        <x:f>'Balance &amp; Cash'!G5/'Balance &amp; Cash'!G4</x:f>
        <x:v>0.5522718433720992</x:v>
      </x:c>
      <x:c r="D13" s="150" t="n">
        <x:f>B13-C13</x:f>
        <x:v>0</x:v>
      </x:c>
      <x:c r="E13" s="150" t="n">
        <x:f>0.0001</x:f>
        <x:v>0.0001</x:v>
      </x:c>
      <x:c r="F13" s="14" t="str">
        <x:f>IF(ABS(D13)&lt;=E13,"OK","FAIL")</x:f>
        <x:v>OK</x:v>
      </x:c>
      <x:c r="G13" s="14" t="str">
        <x:v>同系附属公司应收/贸易应收</x:v>
      </x:c>
    </x:row>
    <x:row r="14">
      <x:c r="A14" s="14" t="str">
        <x:v>TTM归母利润</x:v>
      </x:c>
      <x:c r="B14" s="150" t="n">
        <x:f>'Valuation'!B8</x:f>
        <x:v>1378.011</x:v>
      </x:c>
      <x:c r="C14" s="150" t="n">
        <x:f>'Historical'!D9-'Historical'!E9+'Historical'!F9</x:f>
        <x:v>1378.011</x:v>
      </x:c>
      <x:c r="D14" s="150" t="n">
        <x:f>B14-C14</x:f>
        <x:v>0</x:v>
      </x:c>
      <x:c r="E14" s="150" t="n">
        <x:f>0.0001</x:f>
        <x:v>0.0001</x:v>
      </x:c>
      <x:c r="F14" s="14" t="str">
        <x:f>IF(ABS(D14)&lt;=E14,"OK","FAIL")</x:f>
        <x:v>OK</x:v>
      </x:c>
      <x:c r="G14" s="14" t="str">
        <x:v>2025A-H1+H1</x:v>
      </x:c>
    </x:row>
    <x:row r="15">
      <x:c r="A15" s="14" t="str">
        <x:v>参考市值</x:v>
      </x:c>
      <x:c r="B15" s="150" t="n">
        <x:f>'Valuation'!B6</x:f>
        <x:v>14556.53868652</x:v>
      </x:c>
      <x:c r="C15" s="150" t="n">
        <x:f>'Valuation'!B4*'Valuation'!B5</x:f>
        <x:v>14556.53868652</x:v>
      </x:c>
      <x:c r="D15" s="150" t="n">
        <x:f>B15-C15</x:f>
        <x:v>0</x:v>
      </x:c>
      <x:c r="E15" s="150" t="n">
        <x:f>0.0001</x:f>
        <x:v>0.0001</x:v>
      </x:c>
      <x:c r="F15" s="14" t="str">
        <x:f>IF(ABS(D15)&lt;=E15,"OK","FAIL")</x:f>
        <x:v>OK</x:v>
      </x:c>
      <x:c r="G15" s="14" t="str">
        <x:v>股价×股数</x:v>
      </x:c>
    </x:row>
    <x:row r="16">
      <x:c r="A16" s="14" t="str">
        <x:v>Base估值桥</x:v>
      </x:c>
      <x:c r="B16" s="150" t="n">
        <x:f>'Valuation'!H16</x:f>
        <x:v>4.887695384001371</x:v>
      </x:c>
      <x:c r="C16" s="150" t="n">
        <x:f>('Valuation'!B16*'Valuation'!C16+'Assumptions'!B8*'Valuation'!E16)/'Valuation'!B5*'Valuation'!B7</x:f>
        <x:v>4.887695384001371</x:v>
      </x:c>
      <x:c r="D16" s="150" t="n">
        <x:f>B16-C16</x:f>
        <x:v>0</x:v>
      </x:c>
      <x:c r="E16" s="150" t="n">
        <x:f>0.0001</x:f>
        <x:v>0.0001</x:v>
      </x:c>
      <x:c r="F16" s="14" t="str">
        <x:f>IF(ABS(D16)&lt;=E16,"OK","FAIL")</x:f>
        <x:v>OK</x:v>
      </x:c>
      <x:c r="G16" s="14" t="str">
        <x:v>利润×P/E+折价净现金</x:v>
      </x:c>
    </x:row>
    <x:row r="17">
      <x:c r="A17" s="14" t="str">
        <x:v>Base相对价格</x:v>
      </x:c>
      <x:c r="B17" s="150" t="n">
        <x:f>'Valuation'!I16</x:f>
        <x:v>0.5132183851397434</x:v>
      </x:c>
      <x:c r="C17" s="150" t="n">
        <x:f>'Valuation'!H16/'Valuation'!B4-1</x:f>
        <x:v>0.5132183851397434</x:v>
      </x:c>
      <x:c r="D17" s="150" t="n">
        <x:f>B17-C17</x:f>
        <x:v>0</x:v>
      </x:c>
      <x:c r="E17" s="150" t="n">
        <x:f>0.0001</x:f>
        <x:v>0.0001</x:v>
      </x:c>
      <x:c r="F17" s="14" t="str">
        <x:f>IF(ABS(D17)&lt;=E17,"OK","FAIL")</x:f>
        <x:v>OK</x:v>
      </x:c>
      <x:c r="G17" s="14" t="str">
        <x:v>目标价/股价-1</x:v>
      </x:c>
    </x:row>
    <x:row r="18">
      <x:c r="A18" s="14" t="str">
        <x:v>Base P/B</x:v>
      </x:c>
      <x:c r="B18" s="150" t="n">
        <x:f>'Valuation'!J16</x:f>
        <x:v>0.7729975079691039</x:v>
      </x:c>
      <x:c r="C18" s="150" t="n">
        <x:f>'Valuation'!H16/('Assumptions'!B7/'Assumptions'!B6*'Valuation'!B7)</x:f>
        <x:v>0.7729975079691039</x:v>
      </x:c>
      <x:c r="D18" s="150" t="n">
        <x:f>B18-C18</x:f>
        <x:v>0</x:v>
      </x:c>
      <x:c r="E18" s="150" t="n">
        <x:f>0.0001</x:f>
        <x:v>0.0001</x:v>
      </x:c>
      <x:c r="F18" s="14" t="str">
        <x:f>IF(ABS(D18)&lt;=E18,"OK","FAIL")</x:f>
        <x:v>OK</x:v>
      </x:c>
      <x:c r="G18" s="14" t="str">
        <x:v>目标价/BVPS(HKD)</x:v>
      </x:c>
    </x:row>
    <x:row r="19">
      <x:c r="A19" s="16" t="str">
        <x:v>情景价值递增</x:v>
      </x:c>
      <x:c r="B19" s="252" t="n">
        <x:f>'Valuation'!H17-'Valuation'!H15</x:f>
        <x:v>5.150739520665909</x:v>
      </x:c>
      <x:c r="C19" s="252" t="n">
        <x:f>0</x:f>
        <x:v>0</x:v>
      </x:c>
      <x:c r="D19" s="252" t="n">
        <x:f>B19-C19</x:f>
        <x:v>5.150739520665909</x:v>
      </x:c>
      <x:c r="E19" s="252" t="n">
        <x:f>0</x:f>
        <x:v>0</x:v>
      </x:c>
      <x:c r="F19" s="16" t="str">
        <x:f>IF(B19&gt;C19,"OK","FAIL")</x:f>
        <x:v>OK</x:v>
      </x:c>
      <x:c r="G19" s="16" t="str">
        <x:v>Bull必须高于Bear</x:v>
      </x:c>
    </x:row>
  </x:sheetData>
  <x:mergeCells>
    <x:mergeCell ref="A1:G1"/>
    <x:mergeCell ref="A2:E2"/>
  </x:mergeCells>
  <x:conditionalFormatting sqref="F2:F19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9" hidden="0" customWidth="1"/>
    <x:col min="3" max="3" width="19" hidden="0" customWidth="1"/>
    <x:col min="4" max="4" width="17" hidden="0" customWidth="1"/>
    <x:col min="5" max="5" width="18" hidden="0" customWidth="1"/>
    <x:col min="6" max="6" width="30" hidden="0" customWidth="1"/>
    <x:col min="7" max="7" width="78" hidden="0" customWidth="1"/>
    <x:col min="8" max="8" width="36" hidden="0" customWidth="1"/>
  </x:cols>
  <x:sheetData>
    <x:row r="1" ht="30" customHeight="1">
      <x:c r="A1" s="3" t="str">
        <x:v>来源与假设审计索引</x:v>
      </x:c>
      <x:c r="B1" s="3" t="str">
        <x:v>来源与假设审计索引</x:v>
      </x:c>
      <x:c r="C1" s="3" t="str">
        <x:v>来源与假设审计索引</x:v>
      </x:c>
      <x:c r="D1" s="3" t="str">
        <x:v>来源与假设审计索引</x:v>
      </x:c>
      <x:c r="E1" s="3" t="str">
        <x:v>来源与假设审计索引</x:v>
      </x:c>
      <x:c r="F1" s="3" t="str">
        <x:v>来源与假设审计索引</x:v>
      </x:c>
      <x:c r="G1" s="3" t="str">
        <x:v>来源与假设审计索引</x:v>
      </x:c>
      <x:c r="H1" s="3" t="str">
        <x:v>来源与假设审计索引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170" t="str">
        <x:v>2026H1财务、分部、应收、股息</x:v>
      </x:c>
      <x:c r="C4" s="258"/>
      <x:c r="D4" s="170"/>
      <x:c r="E4" s="170" t="str">
        <x:v>2026H1</x:v>
      </x:c>
      <x:c r="F4" s="170" t="str">
        <x:v>2026年中期业绩公告</x:v>
      </x:c>
      <x:c r="G4" s="170" t="str">
        <x:v>https://www1.hkexnews.hk/listedco/listconews/sehk/2026/0825/2026082500466.pdf</x:v>
      </x:c>
      <x:c r="H4" s="170" t="str">
        <x:v>一级；未经审计</x:v>
      </x:c>
    </x:row>
    <x:row r="5" ht="45" customHeight="1">
      <x:c r="A5" s="14" t="str">
        <x:v>S2</x:v>
      </x:c>
      <x:c r="B5" s="241" t="str">
        <x:v>2023—2025财务与应收</x:v>
      </x:c>
      <x:c r="C5" s="259"/>
      <x:c r="D5" s="241"/>
      <x:c r="E5" s="241" t="str">
        <x:v>FY2025</x:v>
      </x:c>
      <x:c r="F5" s="241" t="str">
        <x:v>2025年年度报告</x:v>
      </x:c>
      <x:c r="G5" s="241" t="str">
        <x:v>https://www1.hkexnews.hk/listedco/listconews/sehk/2026/0428/2026042803345.pdf</x:v>
      </x:c>
      <x:c r="H5" s="241" t="str">
        <x:v>一级；经审计</x:v>
      </x:c>
    </x:row>
    <x:row r="6" ht="45" customHeight="1">
      <x:c r="A6" s="14" t="str">
        <x:v>S3</x:v>
      </x:c>
      <x:c r="B6" s="241" t="str">
        <x:v>2024历史财务</x:v>
      </x:c>
      <x:c r="C6" s="259"/>
      <x:c r="D6" s="241"/>
      <x:c r="E6" s="241" t="str">
        <x:v>FY2024</x:v>
      </x:c>
      <x:c r="F6" s="241" t="str">
        <x:v>2024年年度报告</x:v>
      </x:c>
      <x:c r="G6" s="241" t="str">
        <x:v>https://www1.hkexnews.hk/listedco/listconews/sehk/2025/0429/2025042901365.pdf</x:v>
      </x:c>
      <x:c r="H6" s="241" t="str">
        <x:v>一级；经审计</x:v>
      </x:c>
    </x:row>
    <x:row r="7" ht="45" customHeight="1">
      <x:c r="A7" s="14" t="str">
        <x:v>S4</x:v>
      </x:c>
      <x:c r="B7" s="241" t="str">
        <x:v>普瑞交易结构、估值、承诺</x:v>
      </x:c>
      <x:c r="C7" s="259"/>
      <x:c r="D7" s="241"/>
      <x:c r="E7" s="241" t="str">
        <x:v>重大交易</x:v>
      </x:c>
      <x:c r="F7" s="241" t="str">
        <x:v>2026年交易通函</x:v>
      </x:c>
      <x:c r="G7" s="241" t="str">
        <x:v>https://www1.hkexnews.hk/listedco/listconews/sehk/2026/0126/2026012600602.pdf</x:v>
      </x:c>
      <x:c r="H7" s="241" t="str">
        <x:v>一级</x:v>
      </x:c>
    </x:row>
    <x:row r="8" ht="45" customHeight="1">
      <x:c r="A8" s="14" t="str">
        <x:v>S5</x:v>
      </x:c>
      <x:c r="B8" s="241" t="str">
        <x:v>重组审批</x:v>
      </x:c>
      <x:c r="C8" s="259"/>
      <x:c r="D8" s="241"/>
      <x:c r="E8" s="241" t="str">
        <x:v>2026-09-01</x:v>
      </x:c>
      <x:c r="F8" s="241" t="str">
        <x:v>证监会批准公告</x:v>
      </x:c>
      <x:c r="G8" s="241" t="str">
        <x:v>https://paper.cnstock.com/html/2026-09/01/content_2263837.htm</x:v>
      </x:c>
      <x:c r="H8" s="241" t="str">
        <x:v>一级披露法定媒体镜像</x:v>
      </x:c>
    </x:row>
    <x:row r="9" ht="45" customHeight="1">
      <x:c r="A9" s="14" t="str">
        <x:v>S6</x:v>
      </x:c>
      <x:c r="B9" s="241" t="str">
        <x:v>H股与库存股</x:v>
      </x:c>
      <x:c r="C9" s="259"/>
      <x:c r="D9" s="241"/>
      <x:c r="E9" s="241" t="str">
        <x:v>2026-09-04</x:v>
      </x:c>
      <x:c r="F9" s="241" t="str">
        <x:v>翌日披露报表</x:v>
      </x:c>
      <x:c r="G9" s="241" t="str">
        <x:v>https://www1.hkexnews.hk/listedco/listconews/sehk/2026/0904/2026090401665.pdf</x:v>
      </x:c>
      <x:c r="H9" s="241" t="str">
        <x:v>一级</x:v>
      </x:c>
    </x:row>
    <x:row r="10" ht="45" customHeight="1">
      <x:c r="A10" s="14" t="str">
        <x:v>S7</x:v>
      </x:c>
      <x:c r="B10" s="241" t="str">
        <x:v>威高血净H1财务</x:v>
      </x:c>
      <x:c r="C10" s="259"/>
      <x:c r="D10" s="241"/>
      <x:c r="E10" s="241" t="str">
        <x:v>2026H1</x:v>
      </x:c>
      <x:c r="F10" s="241" t="str">
        <x:v>威高血净半年度报告</x:v>
      </x:c>
      <x:c r="G10" s="241" t="str">
        <x:v>https://money.finance.sina.com.cn/corp/view/vCB_AllBulletinDetail.php?id=12533914&amp;stockid=603014</x:v>
      </x:c>
      <x:c r="H10" s="241" t="str">
        <x:v>一级披露镜像</x:v>
      </x:c>
    </x:row>
    <x:row r="11" ht="45" customHeight="1">
      <x:c r="A11" s="14" t="str">
        <x:v>M1</x:v>
      </x:c>
      <x:c r="B11" s="241" t="str">
        <x:v>参考股价</x:v>
      </x:c>
      <x:c r="C11" s="259" t="n">
        <x:v>3.23</x:v>
      </x:c>
      <x:c r="D11" s="241" t="str">
        <x:v>HKD/股</x:v>
      </x:c>
      <x:c r="E11" s="241" t="str">
        <x:v>2026-09-07</x:v>
      </x:c>
      <x:c r="F11" s="241" t="str">
        <x:v>Investing历史行情</x:v>
      </x:c>
      <x:c r="G11" s="241" t="str">
        <x:v>https://cn.investing.com/equities/weigao-group-historical-data</x:v>
      </x:c>
      <x:c r="H11" s="241" t="str">
        <x:v>二级市场数据</x:v>
      </x:c>
    </x:row>
    <x:row r="12" ht="45" customHeight="1">
      <x:c r="A12" s="14" t="str">
        <x:v>M2</x:v>
      </x:c>
      <x:c r="B12" s="241" t="str">
        <x:v>CNY/HKD</x:v>
      </x:c>
      <x:c r="C12" s="259" t="n">
        <x:v>1.1682</x:v>
      </x:c>
      <x:c r="D12" s="241" t="str">
        <x:v>HKD per RMB</x:v>
      </x:c>
      <x:c r="E12" s="241" t="str">
        <x:v>2026-09-07</x:v>
      </x:c>
      <x:c r="F12" s="241" t="str">
        <x:v>Exchange-Rates.org</x:v>
      </x:c>
      <x:c r="G12" s="241" t="str">
        <x:v>https://www.exchange-rates.org/converter/cny-hkd</x:v>
      </x:c>
      <x:c r="H12" s="241" t="str">
        <x:v>二级市场数据</x:v>
      </x:c>
    </x:row>
    <x:row r="13" ht="45" customHeight="1">
      <x:c r="A13" s="14" t="str">
        <x:v>M3</x:v>
      </x:c>
      <x:c r="B13" s="241" t="str">
        <x:v>9月7日回购</x:v>
      </x:c>
      <x:c r="C13" s="259" t="n">
        <x:v>0.18</x:v>
      </x:c>
      <x:c r="D13" s="241" t="str">
        <x:v>mn shares</x:v>
      </x:c>
      <x:c r="E13" s="241" t="str">
        <x:v>2026-09-07</x:v>
      </x:c>
      <x:c r="F13" s="241" t="str">
        <x:v>回购公告摘要</x:v>
      </x:c>
      <x:c r="G13" s="241" t="str">
        <x:v>https://finance.sina.com.cn/stock/aigc/hkgg/2026-09-07/doc-iniqyvrw6411395.shtml</x:v>
      </x:c>
      <x:c r="H13" s="241" t="str">
        <x:v>二级公告摘要</x:v>
      </x:c>
    </x:row>
    <x:row r="14" ht="45" customHeight="1">
      <x:c r="A14" s="14" t="str">
        <x:v>A1</x:v>
      </x:c>
      <x:c r="B14" s="241" t="str">
        <x:v>Bear正常化归母利润</x:v>
      </x:c>
      <x:c r="C14" s="259" t="n">
        <x:v>1100</x:v>
      </x:c>
      <x:c r="D14" s="241" t="str">
        <x:v>RMB mn</x:v>
      </x:c>
      <x:c r="E14" s="241" t="str">
        <x:v>估值</x:v>
      </x:c>
      <x:c r="F14" s="241" t="str">
        <x:v>分析假设</x:v>
      </x:c>
      <x:c r="G14" s="241" t="str"/>
      <x:c r="H14" s="241" t="str">
        <x:v>集采、应收和介入压力</x:v>
      </x:c>
    </x:row>
    <x:row r="15" ht="45" customHeight="1">
      <x:c r="A15" s="14" t="str">
        <x:v>A2</x:v>
      </x:c>
      <x:c r="B15" s="241" t="str">
        <x:v>Base正常化归母利润</x:v>
      </x:c>
      <x:c r="C15" s="259" t="n">
        <x:v>1650</x:v>
      </x:c>
      <x:c r="D15" s="241" t="str">
        <x:v>RMB mn</x:v>
      </x:c>
      <x:c r="E15" s="241" t="str">
        <x:v>估值</x:v>
      </x:c>
      <x:c r="F15" s="241" t="str">
        <x:v>分析假设</x:v>
      </x:c>
      <x:c r="G15" s="241" t="str"/>
      <x:c r="H15" s="241" t="str">
        <x:v>接近2025A，假设利润稳定</x:v>
      </x:c>
    </x:row>
    <x:row r="16" ht="45" customHeight="1">
      <x:c r="A16" s="14" t="str">
        <x:v>A3</x:v>
      </x:c>
      <x:c r="B16" s="241" t="str">
        <x:v>Bull正常化归母利润</x:v>
      </x:c>
      <x:c r="C16" s="259" t="n">
        <x:v>2000</x:v>
      </x:c>
      <x:c r="D16" s="241" t="str">
        <x:v>RMB mn</x:v>
      </x:c>
      <x:c r="E16" s="241" t="str">
        <x:v>估值</x:v>
      </x:c>
      <x:c r="F16" s="241" t="str">
        <x:v>分析假设</x:v>
      </x:c>
      <x:c r="G16" s="241" t="str"/>
      <x:c r="H16" s="241" t="str">
        <x:v>接近2023—2024归母</x:v>
      </x:c>
    </x:row>
    <x:row r="17" ht="45" customHeight="1">
      <x:c r="A17" s="14" t="str">
        <x:v>A4</x:v>
      </x:c>
      <x:c r="B17" s="241" t="str">
        <x:v>Bear/Base/Bull P/E</x:v>
      </x:c>
      <x:c r="C17" s="259" t="str">
        <x:v>7 / 10 / 13</x:v>
      </x:c>
      <x:c r="D17" s="241" t="str">
        <x:v>x</x:v>
      </x:c>
      <x:c r="E17" s="241" t="str">
        <x:v>估值</x:v>
      </x:c>
      <x:c r="F17" s="241" t="str">
        <x:v>分析假设</x:v>
      </x:c>
      <x:c r="G17" s="241" t="str"/>
      <x:c r="H17" s="241" t="str">
        <x:v>结构折价到修复溢价</x:v>
      </x:c>
    </x:row>
    <x:row r="18" ht="45" customHeight="1">
      <x:c r="A18" s="14" t="str">
        <x:v>A5</x:v>
      </x:c>
      <x:c r="B18" s="241" t="str">
        <x:v>净现金计入比例</x:v>
      </x:c>
      <x:c r="C18" s="259" t="str">
        <x:v>40% / 60% / 80%</x:v>
      </x:c>
      <x:c r="D18" s="241" t="str">
        <x:v>比例</x:v>
      </x:c>
      <x:c r="E18" s="241" t="str">
        <x:v>估值</x:v>
      </x:c>
      <x:c r="F18" s="241" t="str">
        <x:v>分析假设</x:v>
      </x:c>
      <x:c r="G18" s="241" t="str"/>
      <x:c r="H18" s="241" t="str">
        <x:v>可分配性与资本开支折价</x:v>
      </x:c>
    </x:row>
    <x:row r="19" ht="45" customHeight="1">
      <x:c r="A19" s="14" t="str">
        <x:v>R1</x:v>
      </x:c>
      <x:c r="B19" s="241" t="str">
        <x:v>简化FCF</x:v>
      </x:c>
      <x:c r="C19" s="259"/>
      <x:c r="D19" s="241"/>
      <x:c r="E19" s="241" t="str">
        <x:v>研究口径</x:v>
      </x:c>
      <x:c r="F19" s="241" t="str">
        <x:v>CFO-资本开支</x:v>
      </x:c>
      <x:c r="G19" s="241" t="str"/>
      <x:c r="H19" s="241" t="str">
        <x:v>未扣利息、并购和基金出资</x:v>
      </x:c>
    </x:row>
    <x:row r="20" ht="45" customHeight="1">
      <x:c r="A20" s="16" t="str">
        <x:v>R2</x:v>
      </x:c>
      <x:c r="B20" s="178" t="str">
        <x:v>重组状态</x:v>
      </x:c>
      <x:c r="C20" s="260"/>
      <x:c r="D20" s="178"/>
      <x:c r="E20" s="178" t="str">
        <x:v>截止日</x:v>
      </x:c>
      <x:c r="F20" s="178" t="str">
        <x:v>批准但未完成</x:v>
      </x:c>
      <x:c r="G20" s="178" t="str"/>
      <x:c r="H20" s="178" t="str">
        <x:v>不作已并表处理</x:v>
      </x:c>
    </x:row>
  </x:sheetData>
  <x:mergeCells>
    <x:mergeCell ref="A1:H1"/>
  </x:mergeCells>
  <x:pageMargins left="0.7" right="0.7" top="0.75" bottom="0.75" header="0.3" footer="0.3"/>
</x:worksheet>
</file>
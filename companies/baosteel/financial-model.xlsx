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34d2a4a71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199a99f863f4618"/>
    <x:sheet xmlns:r="http://schemas.openxmlformats.org/officeDocument/2006/relationships" name="Historical" sheetId="2" r:id="R9a01a721fb1a48e9"/>
    <x:sheet xmlns:r="http://schemas.openxmlformats.org/officeDocument/2006/relationships" name="Operations" sheetId="3" r:id="Rb2c08f200eb14730"/>
    <x:sheet xmlns:r="http://schemas.openxmlformats.org/officeDocument/2006/relationships" name="Balance &amp; Cash" sheetId="4" r:id="R9417dfe5e0774602"/>
    <x:sheet xmlns:r="http://schemas.openxmlformats.org/officeDocument/2006/relationships" name="Assumptions" sheetId="5" r:id="R2af3f36f355f4ea9"/>
    <x:sheet xmlns:r="http://schemas.openxmlformats.org/officeDocument/2006/relationships" name="Valuation" sheetId="6" r:id="Rb2d8de69f13f48bd"/>
    <x:sheet xmlns:r="http://schemas.openxmlformats.org/officeDocument/2006/relationships" name="Checks" sheetId="7" r:id="R7c19e467b7674745"/>
    <x:sheet xmlns:r="http://schemas.openxmlformats.org/officeDocument/2006/relationships" name="Sources Audit" sheetId="8" r:id="Rf4c735aa515246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6">
    <x:numFmt numFmtId="200" formatCode="yyyy-mm-dd"/>
    <x:numFmt numFmtId="201" formatCode="&quot;RMB &quot;0.00"/>
    <x:numFmt numFmtId="202" formatCode="0.000&quot; bn shares&quot;"/>
    <x:numFmt numFmtId="203" formatCode="0.0&quot; mn&quot;"/>
    <x:numFmt numFmtId="204" formatCode="0.00x"/>
    <x:numFmt numFmtId="205" formatCode="0.0%"/>
    <x:numFmt numFmtId="206" formatCode="0.00%"/>
    <x:numFmt numFmtId="207" formatCode="0.0%;[Red](0.0%);-"/>
    <x:numFmt numFmtId="208" formatCode="0.0&quot; mn&quot;;[Red](0.0&quot; mn&quot;);-"/>
    <x:numFmt numFmtId="209" formatCode="0.0"/>
    <x:numFmt numFmtId="210" formatCode="0.000"/>
    <x:numFmt numFmtId="211" formatCode="0.000&quot; mn shares&quot;"/>
    <x:numFmt numFmtId="212" formatCode="0&quot; mn&quot;"/>
    <x:numFmt numFmtId="213" formatCode="0%"/>
    <x:numFmt numFmtId="214" formatCode="&quot;RMB &quot;0.000"/>
    <x:numFmt numFmtId="215" formatCode="0.0000"/>
  </x:numFmts>
  <x:fonts count="14">
    <x:font>
      <x:sz val="11"/>
      <x:name val="Carlito"/>
    </x:font>
    <x:font>
      <x:b/>
      <x:sz val="16"/>
      <x:color rgb="FF17365D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b/>
      <x:sz val="11"/>
      <x:color rgb="FF00800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i/>
      <x:sz val="11"/>
      <x:name val="Carlito"/>
    </x:font>
    <x:font>
      <x:i/>
      <x:sz val="11"/>
      <x:color rgb="FF008000"/>
      <x:name val="Carlito"/>
    </x:font>
    <x:font>
      <x:i/>
      <x:sz val="11"/>
      <x:color rgb="FF000000"/>
      <x:name val="Carlito"/>
    </x:font>
    <x:font>
      <x:b/>
      <x:sz val="11"/>
      <x:color rgb="FF0000FF"/>
      <x:name val="Carlito"/>
    </x:font>
    <x:font>
      <x:sz val="11"/>
      <x:color rgb="FF0563C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FCE4D6"/>
      </x:patternFill>
    </x:fill>
  </x:fills>
  <x:borders count="11">
    <x:border/>
    <x:border>
      <x:bottom style="medium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</x:borders>
  <x:cellStyleXfs count="1">
    <x:xf numFmtId="0" fontId="0" fillId="0" borderId="0"/>
  </x:cellStyleXfs>
  <x:cellXfs count="24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3" fillId="0" borderId="2" xfId="0" applyNumberFormat="1" applyFont="1" applyFill="1" applyBorder="1"/>
    <x:xf numFmtId="0" fontId="4" fillId="0" borderId="2" xfId="0" applyNumberFormat="1" applyFont="1" applyFill="1" applyBorder="1"/>
    <x:xf numFmtId="0" fontId="3" fillId="0" borderId="3" xfId="0" applyNumberFormat="1" applyFont="1" applyFill="1" applyBorder="1"/>
    <x:xf numFmtId="200" fontId="4" fillId="0" borderId="3" xfId="0" applyNumberFormat="1" applyFont="1" applyFill="1" applyBorder="1"/>
    <x:xf numFmtId="0" fontId="4" fillId="0" borderId="3" xfId="0" applyNumberFormat="1" applyFont="1" applyFill="1" applyBorder="1"/>
    <x:xf numFmtId="0" fontId="3" fillId="0" borderId="4" xfId="0" applyNumberFormat="1" applyFont="1" applyFill="1" applyBorder="1"/>
    <x:xf numFmtId="0" fontId="4" fillId="0" borderId="4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5" xfId="0" applyNumberFormat="1" applyFont="1" applyFill="1" applyBorder="1"/>
    <x:xf numFmtId="0" fontId="5" fillId="2" borderId="6" xfId="0" applyNumberFormat="1" applyFont="1" applyFill="1" applyBorder="1"/>
    <x:xf numFmtId="0" fontId="5" fillId="2" borderId="7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206" fontId="6" fillId="0" borderId="0" xfId="0" applyNumberFormat="1" applyFont="1" applyFill="1" applyBorder="1"/>
    <x:xf numFmtId="207" fontId="6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4" fontId="3" fillId="0" borderId="0" xfId="0" applyNumberFormat="1" applyFont="1" applyFill="1" applyBorder="1"/>
    <x:xf numFmtId="205" fontId="3" fillId="0" borderId="0" xfId="0" applyNumberFormat="1" applyFont="1" applyFill="1" applyBorder="1"/>
    <x:xf numFmtId="206" fontId="3" fillId="0" borderId="0" xfId="0" applyNumberFormat="1" applyFont="1" applyFill="1" applyBorder="1"/>
    <x:xf numFmtId="207" fontId="3" fillId="0" borderId="0" xfId="0" applyNumberFormat="1" applyFont="1" applyFill="1" applyBorder="1"/>
    <x:xf numFmtId="201" fontId="3" fillId="0" borderId="2" xfId="0" applyNumberFormat="1" applyFont="1" applyFill="1" applyBorder="1"/>
    <x:xf numFmtId="202" fontId="3" fillId="0" borderId="3" xfId="0" applyNumberFormat="1" applyFont="1" applyFill="1" applyBorder="1"/>
    <x:xf numFmtId="203" fontId="3" fillId="0" borderId="3" xfId="0" applyNumberFormat="1" applyFont="1" applyFill="1" applyBorder="1"/>
    <x:xf numFmtId="204" fontId="3" fillId="0" borderId="3" xfId="0" applyNumberFormat="1" applyFont="1" applyFill="1" applyBorder="1"/>
    <x:xf numFmtId="205" fontId="3" fillId="0" borderId="3" xfId="0" applyNumberFormat="1" applyFont="1" applyFill="1" applyBorder="1"/>
    <x:xf numFmtId="206" fontId="3" fillId="0" borderId="3" xfId="0" applyNumberFormat="1" applyFont="1" applyFill="1" applyBorder="1"/>
    <x:xf numFmtId="201" fontId="3" fillId="0" borderId="3" xfId="0" applyNumberFormat="1" applyFont="1" applyFill="1" applyBorder="1"/>
    <x:xf numFmtId="207" fontId="3" fillId="0" borderId="3" xfId="0" applyNumberFormat="1" applyFont="1" applyFill="1" applyBorder="1"/>
    <x:xf numFmtId="207" fontId="3" fillId="0" borderId="4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208" fontId="0" fillId="0" borderId="0" xfId="0" applyNumberFormat="1" applyFont="1" applyFill="1" applyBorder="1"/>
    <x:xf numFmtId="208" fontId="7" fillId="0" borderId="0" xfId="0" applyNumberFormat="1" applyFont="1" applyFill="1" applyBorder="1"/>
    <x:xf numFmtId="207" fontId="7" fillId="0" borderId="0" xfId="0" applyNumberFormat="1" applyFont="1" applyFill="1" applyBorder="1"/>
    <x:xf numFmtId="201" fontId="7" fillId="0" borderId="0" xfId="0" applyNumberFormat="1" applyFont="1" applyFill="1" applyBorder="1"/>
    <x:xf numFmtId="203" fontId="7" fillId="0" borderId="0" xfId="0" applyNumberFormat="1" applyFont="1" applyFill="1" applyBorder="1"/>
    <x:xf numFmtId="208" fontId="8" fillId="0" borderId="0" xfId="0" applyNumberFormat="1" applyFont="1" applyFill="1" applyBorder="1"/>
    <x:xf numFmtId="207" fontId="8" fillId="0" borderId="0" xfId="0" applyNumberFormat="1" applyFont="1" applyFill="1" applyBorder="1"/>
    <x:xf numFmtId="205" fontId="8" fillId="0" borderId="0" xfId="0" applyNumberFormat="1" applyFont="1" applyFill="1" applyBorder="1"/>
    <x:xf numFmtId="201" fontId="8" fillId="0" borderId="0" xfId="0" applyNumberFormat="1" applyFont="1" applyFill="1" applyBorder="1"/>
    <x:xf numFmtId="203" fontId="8" fillId="0" borderId="0" xfId="0" applyNumberFormat="1" applyFont="1" applyFill="1" applyBorder="1"/>
    <x:xf numFmtId="0" fontId="8" fillId="0" borderId="0" xfId="0" applyNumberFormat="1" applyFont="1" applyFill="1" applyBorder="1"/>
    <x:xf numFmtId="0" fontId="0" fillId="5" borderId="0" xfId="0" applyNumberFormat="1" applyFont="1" applyFill="1" applyBorder="1"/>
    <x:xf numFmtId="208" fontId="0" fillId="5" borderId="0" xfId="0" applyNumberFormat="1" applyFont="1" applyFill="1" applyBorder="1"/>
    <x:xf numFmtId="208" fontId="8" fillId="5" borderId="0" xfId="0" applyNumberFormat="1" applyFont="1" applyFill="1" applyBorder="1"/>
    <x:xf numFmtId="205" fontId="0" fillId="5" borderId="0" xfId="0" applyNumberFormat="1" applyFont="1" applyFill="1" applyBorder="1"/>
    <x:xf numFmtId="205" fontId="8" fillId="5" borderId="0" xfId="0" applyNumberFormat="1" applyFont="1" applyFill="1" applyBorder="1"/>
    <x:xf numFmtId="208" fontId="0" fillId="3" borderId="0" xfId="0" applyNumberFormat="1" applyFont="1" applyFill="1" applyBorder="1"/>
    <x:xf numFmtId="208" fontId="8" fillId="3" borderId="0" xfId="0" applyNumberFormat="1" applyFont="1" applyFill="1" applyBorder="1"/>
    <x:xf numFmtId="205" fontId="0" fillId="3" borderId="0" xfId="0" applyNumberFormat="1" applyFont="1" applyFill="1" applyBorder="1"/>
    <x:xf numFmtId="205" fontId="8" fillId="3" borderId="0" xfId="0" applyNumberFormat="1" applyFont="1" applyFill="1" applyBorder="1"/>
    <x:xf numFmtId="0" fontId="8" fillId="5" borderId="0" xfId="0" applyNumberFormat="1" applyFont="1" applyFill="1" applyBorder="1"/>
    <x:xf numFmtId="0" fontId="9" fillId="5" borderId="0" xfId="0" applyNumberFormat="1" applyFont="1" applyFill="1" applyBorder="1"/>
    <x:xf numFmtId="0" fontId="10" fillId="5" borderId="0" xfId="0" applyNumberFormat="1" applyFont="1" applyFill="1" applyBorder="1"/>
    <x:xf numFmtId="208" fontId="4" fillId="0" borderId="0" xfId="0" applyNumberFormat="1" applyFont="1" applyFill="1" applyBorder="1"/>
    <x:xf numFmtId="207" fontId="4" fillId="0" borderId="0" xfId="0" applyNumberFormat="1" applyFont="1" applyFill="1" applyBorder="1"/>
    <x:xf numFmtId="0" fontId="4" fillId="5" borderId="0" xfId="0" applyNumberFormat="1" applyFont="1" applyFill="1" applyBorder="1"/>
    <x:xf numFmtId="208" fontId="4" fillId="5" borderId="0" xfId="0" applyNumberFormat="1" applyFont="1" applyFill="1" applyBorder="1"/>
    <x:xf numFmtId="205" fontId="4" fillId="5" borderId="0" xfId="0" applyNumberFormat="1" applyFont="1" applyFill="1" applyBorder="1"/>
    <x:xf numFmtId="0" fontId="4" fillId="3" borderId="0" xfId="0" applyNumberFormat="1" applyFont="1" applyFill="1" applyBorder="1"/>
    <x:xf numFmtId="208" fontId="4" fillId="3" borderId="0" xfId="0" applyNumberFormat="1" applyFont="1" applyFill="1" applyBorder="1"/>
    <x:xf numFmtId="205" fontId="4" fillId="3" borderId="0" xfId="0" applyNumberFormat="1" applyFont="1" applyFill="1" applyBorder="1"/>
    <x:xf numFmtId="201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11" fillId="5" borderId="0" xfId="0" applyNumberFormat="1" applyFont="1" applyFill="1" applyBorder="1"/>
    <x:xf numFmtId="208" fontId="4" fillId="0" borderId="2" xfId="0" applyNumberFormat="1" applyFont="1" applyFill="1" applyBorder="1"/>
    <x:xf numFmtId="207" fontId="4" fillId="0" borderId="3" xfId="0" applyNumberFormat="1" applyFont="1" applyFill="1" applyBorder="1"/>
    <x:xf numFmtId="208" fontId="4" fillId="0" borderId="3" xfId="0" applyNumberFormat="1" applyFont="1" applyFill="1" applyBorder="1"/>
    <x:xf numFmtId="0" fontId="4" fillId="5" borderId="3" xfId="0" applyNumberFormat="1" applyFont="1" applyFill="1" applyBorder="1"/>
    <x:xf numFmtId="208" fontId="4" fillId="5" borderId="3" xfId="0" applyNumberFormat="1" applyFont="1" applyFill="1" applyBorder="1"/>
    <x:xf numFmtId="205" fontId="4" fillId="5" borderId="3" xfId="0" applyNumberFormat="1" applyFont="1" applyFill="1" applyBorder="1"/>
    <x:xf numFmtId="0" fontId="4" fillId="3" borderId="3" xfId="0" applyNumberFormat="1" applyFont="1" applyFill="1" applyBorder="1"/>
    <x:xf numFmtId="208" fontId="4" fillId="3" borderId="3" xfId="0" applyNumberFormat="1" applyFont="1" applyFill="1" applyBorder="1"/>
    <x:xf numFmtId="205" fontId="4" fillId="3" borderId="3" xfId="0" applyNumberFormat="1" applyFont="1" applyFill="1" applyBorder="1"/>
    <x:xf numFmtId="201" fontId="4" fillId="0" borderId="3" xfId="0" applyNumberFormat="1" applyFont="1" applyFill="1" applyBorder="1"/>
    <x:xf numFmtId="203" fontId="4" fillId="0" borderId="3" xfId="0" applyNumberFormat="1" applyFont="1" applyFill="1" applyBorder="1"/>
    <x:xf numFmtId="0" fontId="11" fillId="5" borderId="4" xfId="0" applyNumberFormat="1" applyFont="1" applyFill="1" applyBorder="1"/>
    <x:xf numFmtId="0" fontId="7" fillId="0" borderId="0" xfId="0" applyNumberFormat="1" applyFont="1" applyFill="1" applyBorder="1"/>
    <x:xf numFmtId="209" fontId="7" fillId="0" borderId="0" xfId="0" applyNumberFormat="1" applyFont="1" applyFill="1" applyBorder="1"/>
    <x:xf numFmtId="210" fontId="7" fillId="0" borderId="0" xfId="0" applyNumberFormat="1" applyFont="1" applyFill="1" applyBorder="1"/>
    <x:xf numFmtId="210" fontId="4" fillId="0" borderId="0" xfId="0" applyNumberFormat="1" applyFont="1" applyFill="1" applyBorder="1"/>
    <x:xf numFmtId="205" fontId="4" fillId="0" borderId="0" xfId="0" applyNumberFormat="1" applyFont="1" applyFill="1" applyBorder="1"/>
    <x:xf numFmtId="209" fontId="4" fillId="0" borderId="0" xfId="0" applyNumberFormat="1" applyFont="1" applyFill="1" applyBorder="1"/>
    <x:xf numFmtId="209" fontId="4" fillId="0" borderId="2" xfId="0" applyNumberFormat="1" applyFont="1" applyFill="1" applyBorder="1"/>
    <x:xf numFmtId="207" fontId="4" fillId="0" borderId="2" xfId="0" applyNumberFormat="1" applyFont="1" applyFill="1" applyBorder="1"/>
    <x:xf numFmtId="209" fontId="4" fillId="0" borderId="3" xfId="0" applyNumberFormat="1" applyFont="1" applyFill="1" applyBorder="1"/>
    <x:xf numFmtId="210" fontId="4" fillId="0" borderId="3" xfId="0" applyNumberFormat="1" applyFont="1" applyFill="1" applyBorder="1"/>
    <x:xf numFmtId="205" fontId="4" fillId="0" borderId="3" xfId="0" applyNumberFormat="1" applyFont="1" applyFill="1" applyBorder="1"/>
    <x:xf numFmtId="210" fontId="4" fillId="0" borderId="4" xfId="0" applyNumberFormat="1" applyFont="1" applyFill="1" applyBorder="1"/>
    <x:xf numFmtId="207" fontId="4" fillId="0" borderId="4" xfId="0" applyNumberFormat="1" applyFont="1" applyFill="1" applyBorder="1"/>
    <x:xf numFmtId="203" fontId="7" fillId="3" borderId="0" xfId="0" applyNumberFormat="1" applyFont="1" applyFill="1" applyBorder="1"/>
    <x:xf numFmtId="203" fontId="0" fillId="3" borderId="0" xfId="0" applyNumberFormat="1" applyFont="1" applyFill="1" applyBorder="1"/>
    <x:xf numFmtId="207" fontId="7" fillId="3" borderId="0" xfId="0" applyNumberFormat="1" applyFont="1" applyFill="1" applyBorder="1"/>
    <x:xf numFmtId="0" fontId="2" fillId="3" borderId="0" xfId="0" applyNumberFormat="1" applyFont="1" applyFill="1" applyBorder="1"/>
    <x:xf numFmtId="203" fontId="12" fillId="3" borderId="0" xfId="0" applyNumberFormat="1" applyFont="1" applyFill="1" applyBorder="1"/>
    <x:xf numFmtId="203" fontId="2" fillId="3" borderId="0" xfId="0" applyNumberFormat="1" applyFont="1" applyFill="1" applyBorder="1"/>
    <x:xf numFmtId="207" fontId="12" fillId="3" borderId="0" xfId="0" applyNumberFormat="1" applyFont="1" applyFill="1" applyBorder="1"/>
    <x:xf numFmtId="0" fontId="3" fillId="3" borderId="0" xfId="0" applyNumberFormat="1" applyFont="1" applyFill="1" applyBorder="1"/>
    <x:xf numFmtId="203" fontId="3" fillId="3" borderId="0" xfId="0" applyNumberFormat="1" applyFont="1" applyFill="1" applyBorder="1"/>
    <x:xf numFmtId="207" fontId="3" fillId="3" borderId="0" xfId="0" applyNumberFormat="1" applyFont="1" applyFill="1" applyBorder="1"/>
    <x:xf numFmtId="203" fontId="4" fillId="0" borderId="2" xfId="0" applyNumberFormat="1" applyFont="1" applyFill="1" applyBorder="1"/>
    <x:xf numFmtId="0" fontId="3" fillId="3" borderId="4" xfId="0" applyNumberFormat="1" applyFont="1" applyFill="1" applyBorder="1"/>
    <x:xf numFmtId="203" fontId="3" fillId="3" borderId="4" xfId="0" applyNumberFormat="1" applyFont="1" applyFill="1" applyBorder="1"/>
    <x:xf numFmtId="207" fontId="3" fillId="3" borderId="4" xfId="0" applyNumberFormat="1" applyFont="1" applyFill="1" applyBorder="1"/>
    <x:xf numFmtId="0" fontId="0" fillId="6" borderId="0" xfId="0" applyNumberFormat="1" applyFont="1" applyFill="1" applyBorder="1"/>
    <x:xf numFmtId="208" fontId="7" fillId="6" borderId="0" xfId="0" applyNumberFormat="1" applyFont="1" applyFill="1" applyBorder="1"/>
    <x:xf numFmtId="208" fontId="0" fillId="6" borderId="0" xfId="0" applyNumberFormat="1" applyFont="1" applyFill="1" applyBorder="1"/>
    <x:xf numFmtId="207" fontId="7" fillId="6" borderId="0" xfId="0" applyNumberFormat="1" applyFont="1" applyFill="1" applyBorder="1"/>
    <x:xf numFmtId="0" fontId="4" fillId="6" borderId="0" xfId="0" applyNumberFormat="1" applyFont="1" applyFill="1" applyBorder="1"/>
    <x:xf numFmtId="208" fontId="4" fillId="6" borderId="0" xfId="0" applyNumberFormat="1" applyFont="1" applyFill="1" applyBorder="1"/>
    <x:xf numFmtId="207" fontId="4" fillId="6" borderId="0" xfId="0" applyNumberFormat="1" applyFont="1" applyFill="1" applyBorder="1"/>
    <x:xf numFmtId="0" fontId="4" fillId="6" borderId="2" xfId="0" applyNumberFormat="1" applyFont="1" applyFill="1" applyBorder="1"/>
    <x:xf numFmtId="208" fontId="4" fillId="6" borderId="2" xfId="0" applyNumberFormat="1" applyFont="1" applyFill="1" applyBorder="1"/>
    <x:xf numFmtId="207" fontId="4" fillId="6" borderId="2" xfId="0" applyNumberFormat="1" applyFont="1" applyFill="1" applyBorder="1"/>
    <x:xf numFmtId="208" fontId="4" fillId="0" borderId="4" xfId="0" applyNumberFormat="1" applyFont="1" applyFill="1" applyBorder="1"/>
    <x:xf numFmtId="203" fontId="7" fillId="6" borderId="0" xfId="0" applyNumberFormat="1" applyFont="1" applyFill="1" applyBorder="1"/>
    <x:xf numFmtId="207" fontId="0" fillId="6" borderId="0" xfId="0" applyNumberFormat="1" applyFont="1" applyFill="1" applyBorder="1"/>
    <x:xf numFmtId="203" fontId="7" fillId="5" borderId="0" xfId="0" applyNumberFormat="1" applyFont="1" applyFill="1" applyBorder="1"/>
    <x:xf numFmtId="207" fontId="0" fillId="5" borderId="0" xfId="0" applyNumberFormat="1" applyFont="1" applyFill="1" applyBorder="1"/>
    <x:xf numFmtId="203" fontId="4" fillId="6" borderId="0" xfId="0" applyNumberFormat="1" applyFont="1" applyFill="1" applyBorder="1"/>
    <x:xf numFmtId="203" fontId="4" fillId="5" borderId="0" xfId="0" applyNumberFormat="1" applyFont="1" applyFill="1" applyBorder="1"/>
    <x:xf numFmtId="207" fontId="4" fillId="5" borderId="0" xfId="0" applyNumberFormat="1" applyFont="1" applyFill="1" applyBorder="1"/>
    <x:xf numFmtId="0" fontId="4" fillId="6" borderId="3" xfId="0" applyNumberFormat="1" applyFont="1" applyFill="1" applyBorder="1"/>
    <x:xf numFmtId="203" fontId="4" fillId="6" borderId="3" xfId="0" applyNumberFormat="1" applyFont="1" applyFill="1" applyBorder="1"/>
    <x:xf numFmtId="207" fontId="4" fillId="6" borderId="3" xfId="0" applyNumberFormat="1" applyFont="1" applyFill="1" applyBorder="1"/>
    <x:xf numFmtId="203" fontId="4" fillId="5" borderId="3" xfId="0" applyNumberFormat="1" applyFont="1" applyFill="1" applyBorder="1"/>
    <x:xf numFmtId="207" fontId="4" fillId="5" borderId="3" xfId="0" applyNumberFormat="1" applyFont="1" applyFill="1" applyBorder="1"/>
    <x:xf numFmtId="0" fontId="4" fillId="5" borderId="4" xfId="0" applyNumberFormat="1" applyFont="1" applyFill="1" applyBorder="1"/>
    <x:xf numFmtId="203" fontId="4" fillId="5" borderId="4" xfId="0" applyNumberFormat="1" applyFont="1" applyFill="1" applyBorder="1"/>
    <x:xf numFmtId="207" fontId="4" fillId="5" borderId="4" xfId="0" applyNumberFormat="1" applyFont="1" applyFill="1" applyBorder="1"/>
    <x:xf numFmtId="203" fontId="0" fillId="6" borderId="0" xfId="0" applyNumberFormat="1" applyFont="1" applyFill="1" applyBorder="1"/>
    <x:xf numFmtId="206" fontId="0" fillId="6" borderId="0" xfId="0" applyNumberFormat="1" applyFont="1" applyFill="1" applyBorder="1"/>
    <x:xf numFmtId="205" fontId="0" fillId="6" borderId="0" xfId="0" applyNumberFormat="1" applyFont="1" applyFill="1" applyBorder="1"/>
    <x:xf numFmtId="204" fontId="4" fillId="0" borderId="0" xfId="0" applyNumberFormat="1" applyFont="1" applyFill="1" applyBorder="1"/>
    <x:xf numFmtId="206" fontId="4" fillId="6" borderId="0" xfId="0" applyNumberFormat="1" applyFont="1" applyFill="1" applyBorder="1"/>
    <x:xf numFmtId="205" fontId="4" fillId="6" borderId="0" xfId="0" applyNumberFormat="1" applyFont="1" applyFill="1" applyBorder="1"/>
    <x:xf numFmtId="204" fontId="4" fillId="0" borderId="2" xfId="0" applyNumberFormat="1" applyFont="1" applyFill="1" applyBorder="1"/>
    <x:xf numFmtId="206" fontId="4" fillId="6" borderId="3" xfId="0" applyNumberFormat="1" applyFont="1" applyFill="1" applyBorder="1"/>
    <x:xf numFmtId="205" fontId="4" fillId="6" borderId="3" xfId="0" applyNumberFormat="1" applyFont="1" applyFill="1" applyBorder="1"/>
    <x:xf numFmtId="205" fontId="4" fillId="0" borderId="4" xfId="0" applyNumberFormat="1" applyFont="1" applyFill="1" applyBorder="1"/>
    <x:xf numFmtId="211" fontId="7" fillId="0" borderId="0" xfId="0" applyNumberFormat="1" applyFont="1" applyFill="1" applyBorder="1"/>
    <x:xf numFmtId="211" fontId="4" fillId="0" borderId="0" xfId="0" applyNumberFormat="1" applyFont="1" applyFill="1" applyBorder="1"/>
    <x:xf numFmtId="201" fontId="4" fillId="0" borderId="2" xfId="0" applyNumberFormat="1" applyFont="1" applyFill="1" applyBorder="1"/>
    <x:xf numFmtId="211" fontId="4" fillId="0" borderId="3" xfId="0" applyNumberFormat="1" applyFont="1" applyFill="1" applyBorder="1"/>
    <x:xf numFmtId="201" fontId="4" fillId="0" borderId="4" xfId="0" applyNumberFormat="1" applyFont="1" applyFill="1" applyBorder="1"/>
    <x:xf numFmtId="212" fontId="7" fillId="0" borderId="0" xfId="0" applyNumberFormat="1" applyFont="1" applyFill="1" applyBorder="1"/>
    <x:xf numFmtId="204" fontId="7" fillId="0" borderId="0" xfId="0" applyNumberFormat="1" applyFont="1" applyFill="1" applyBorder="1"/>
    <x:xf numFmtId="21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4" fontId="7" fillId="5" borderId="0" xfId="0" applyNumberFormat="1" applyFont="1" applyFill="1" applyBorder="1"/>
    <x:xf numFmtId="213" fontId="0" fillId="5" borderId="0" xfId="0" applyNumberFormat="1" applyFont="1" applyFill="1" applyBorder="1"/>
    <x:xf numFmtId="212" fontId="4" fillId="0" borderId="0" xfId="0" applyNumberFormat="1" applyFont="1" applyFill="1" applyBorder="1"/>
    <x:xf numFmtId="213" fontId="4" fillId="0" borderId="0" xfId="0" applyNumberFormat="1" applyFont="1" applyFill="1" applyBorder="1"/>
    <x:xf numFmtId="204" fontId="4" fillId="5" borderId="0" xfId="0" applyNumberFormat="1" applyFont="1" applyFill="1" applyBorder="1"/>
    <x:xf numFmtId="213" fontId="4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12" fontId="4" fillId="0" borderId="2" xfId="0" applyNumberFormat="1" applyFont="1" applyFill="1" applyBorder="1"/>
    <x:xf numFmtId="213" fontId="4" fillId="0" borderId="2" xfId="0" applyNumberFormat="1" applyFont="1" applyFill="1" applyBorder="1"/>
    <x:xf numFmtId="204" fontId="4" fillId="5" borderId="3" xfId="0" applyNumberFormat="1" applyFont="1" applyFill="1" applyBorder="1"/>
    <x:xf numFmtId="213" fontId="4" fillId="5" borderId="3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top" wrapText="1"/>
    </x:xf>
    <x:xf numFmtId="214" fontId="0" fillId="0" borderId="0" xfId="0" applyNumberFormat="1" applyFont="1" applyFill="1" applyBorder="1"/>
    <x:xf numFmtId="214" fontId="8" fillId="0" borderId="0" xfId="0" applyNumberFormat="1" applyFont="1" applyFill="1" applyBorder="1"/>
    <x:xf numFmtId="204" fontId="8" fillId="0" borderId="0" xfId="0" applyNumberFormat="1" applyFont="1" applyFill="1" applyBorder="1"/>
    <x:xf numFmtId="214" fontId="4" fillId="0" borderId="0" xfId="0" applyNumberFormat="1" applyFont="1" applyFill="1" applyBorder="1"/>
    <x:xf numFmtId="214" fontId="4" fillId="0" borderId="3" xfId="0" applyNumberFormat="1" applyFont="1" applyFill="1" applyBorder="1"/>
    <x:xf numFmtId="204" fontId="4" fillId="0" borderId="3" xfId="0" applyNumberFormat="1" applyFont="1" applyFill="1" applyBorder="1"/>
    <x:xf numFmtId="212" fontId="0" fillId="0" borderId="0" xfId="0" applyNumberFormat="1" applyFont="1" applyFill="1" applyBorder="1"/>
    <x:xf numFmtId="212" fontId="0" fillId="3" borderId="0" xfId="0" applyNumberFormat="1" applyFont="1" applyFill="1" applyBorder="1"/>
    <x:xf numFmtId="204" fontId="0" fillId="3" borderId="0" xfId="0" applyNumberFormat="1" applyFont="1" applyFill="1" applyBorder="1"/>
    <x:xf numFmtId="201" fontId="0" fillId="3" borderId="0" xfId="0" applyNumberFormat="1" applyFont="1" applyFill="1" applyBorder="1"/>
    <x:xf numFmtId="213" fontId="0" fillId="3" borderId="0" xfId="0" applyNumberFormat="1" applyFont="1" applyFill="1" applyBorder="1"/>
    <x:xf numFmtId="207" fontId="0" fillId="3" borderId="0" xfId="0" applyNumberFormat="1" applyFont="1" applyFill="1" applyBorder="1"/>
    <x:xf numFmtId="212" fontId="8" fillId="0" borderId="0" xfId="0" applyNumberFormat="1" applyFont="1" applyFill="1" applyBorder="1"/>
    <x:xf numFmtId="212" fontId="8" fillId="3" borderId="0" xfId="0" applyNumberFormat="1" applyFont="1" applyFill="1" applyBorder="1"/>
    <x:xf numFmtId="204" fontId="8" fillId="3" borderId="0" xfId="0" applyNumberFormat="1" applyFont="1" applyFill="1" applyBorder="1"/>
    <x:xf numFmtId="213" fontId="8" fillId="0" borderId="0" xfId="0" applyNumberFormat="1" applyFont="1" applyFill="1" applyBorder="1"/>
    <x:xf numFmtId="213" fontId="8" fillId="3" borderId="0" xfId="0" applyNumberFormat="1" applyFont="1" applyFill="1" applyBorder="1"/>
    <x:xf numFmtId="201" fontId="2" fillId="0" borderId="0" xfId="0" applyNumberFormat="1" applyFont="1" applyFill="1" applyBorder="1"/>
    <x:xf numFmtId="201" fontId="2" fillId="3" borderId="0" xfId="0" applyNumberFormat="1" applyFont="1" applyFill="1" applyBorder="1"/>
    <x:xf numFmtId="212" fontId="4" fillId="3" borderId="0" xfId="0" applyNumberFormat="1" applyFont="1" applyFill="1" applyBorder="1"/>
    <x:xf numFmtId="204" fontId="4" fillId="3" borderId="0" xfId="0" applyNumberFormat="1" applyFont="1" applyFill="1" applyBorder="1"/>
    <x:xf numFmtId="201" fontId="4" fillId="3" borderId="0" xfId="0" applyNumberFormat="1" applyFont="1" applyFill="1" applyBorder="1"/>
    <x:xf numFmtId="213" fontId="4" fillId="3" borderId="0" xfId="0" applyNumberFormat="1" applyFont="1" applyFill="1" applyBorder="1"/>
    <x:xf numFmtId="201" fontId="3" fillId="3" borderId="0" xfId="0" applyNumberFormat="1" applyFont="1" applyFill="1" applyBorder="1"/>
    <x:xf numFmtId="207" fontId="4" fillId="3" borderId="0" xfId="0" applyNumberFormat="1" applyFont="1" applyFill="1" applyBorder="1"/>
    <x:xf numFmtId="212" fontId="4" fillId="3" borderId="3" xfId="0" applyNumberFormat="1" applyFont="1" applyFill="1" applyBorder="1"/>
    <x:xf numFmtId="204" fontId="4" fillId="3" borderId="3" xfId="0" applyNumberFormat="1" applyFont="1" applyFill="1" applyBorder="1"/>
    <x:xf numFmtId="201" fontId="4" fillId="3" borderId="3" xfId="0" applyNumberFormat="1" applyFont="1" applyFill="1" applyBorder="1"/>
    <x:xf numFmtId="213" fontId="4" fillId="3" borderId="3" xfId="0" applyNumberFormat="1" applyFont="1" applyFill="1" applyBorder="1"/>
    <x:xf numFmtId="201" fontId="3" fillId="3" borderId="3" xfId="0" applyNumberFormat="1" applyFont="1" applyFill="1" applyBorder="1"/>
    <x:xf numFmtId="207" fontId="4" fillId="3" borderId="3" xfId="0" applyNumberFormat="1" applyFont="1" applyFill="1" applyBorder="1"/>
    <x:xf numFmtId="212" fontId="4" fillId="0" borderId="4" xfId="0" applyNumberFormat="1" applyFont="1" applyFill="1" applyBorder="1"/>
    <x:xf numFmtId="204" fontId="4" fillId="0" borderId="4" xfId="0" applyNumberFormat="1" applyFont="1" applyFill="1" applyBorder="1"/>
    <x:xf numFmtId="213" fontId="4" fillId="0" borderId="4" xfId="0" applyNumberFormat="1" applyFont="1" applyFill="1" applyBorder="1"/>
    <x:xf numFmtId="201" fontId="3" fillId="0" borderId="4" xfId="0" applyNumberFormat="1" applyFont="1" applyFill="1" applyBorder="1"/>
    <x:xf numFmtId="204" fontId="3" fillId="4" borderId="9" xfId="0" applyNumberFormat="1" applyFont="1" applyFill="1" applyBorder="1"/>
    <x:xf numFmtId="204" fontId="3" fillId="4" borderId="10" xfId="0" applyNumberFormat="1" applyFont="1" applyFill="1" applyBorder="1"/>
    <x:xf numFmtId="212" fontId="4" fillId="0" borderId="3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215" fontId="0" fillId="0" borderId="0" xfId="0" applyNumberFormat="1" applyFont="1" applyFill="1" applyBorder="1"/>
    <x:xf numFmtId="215" fontId="4" fillId="0" borderId="0" xfId="0" applyNumberFormat="1" applyFont="1" applyFill="1" applyBorder="1"/>
    <x:xf numFmtId="215" fontId="4" fillId="0" borderId="2" xfId="0" applyNumberFormat="1" applyFont="1" applyFill="1" applyBorder="1"/>
    <x:xf numFmtId="215" fontId="4" fillId="0" borderId="3" xfId="0" applyNumberFormat="1" applyFont="1" applyFill="1" applyBorder="1"/>
    <x:xf numFmtId="215" fontId="4" fillId="0" borderId="4" xfId="0" applyNumberFormat="1" applyFont="1" applyFill="1" applyBorder="1"/>
    <x:xf numFmtId="210" fontId="0" fillId="0" borderId="0" xfId="0" applyNumberFormat="1" applyFont="1" applyFill="1" applyBorder="1"/>
    <x:xf numFmtId="0" fontId="13" fillId="0" borderId="0" xfId="0" applyNumberFormat="1" applyFont="1" applyFill="1" applyBorder="1"/>
    <x:xf numFmtId="210" fontId="0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210" fontId="4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21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210" fontId="4" fillId="0" borderId="3" xfId="0" applyNumberFormat="1" applyFont="1" applyFill="1" applyBorder="1" applyAlignment="1">
      <x:alignment wrapText="1"/>
    </x:xf>
    <x:xf numFmtId="210" fontId="4" fillId="0" borderId="4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852c0608148ae" /><Relationship Type="http://schemas.openxmlformats.org/officeDocument/2006/relationships/theme" Target="/xl/theme/theme1.xml" Id="R7097ab98f27c455e" /><Relationship Type="http://schemas.openxmlformats.org/officeDocument/2006/relationships/sharedStrings" Target="/xl/sharedStrings.xml" Id="R85ed4992768f45b1" /><Relationship Type="http://schemas.openxmlformats.org/officeDocument/2006/relationships/worksheet" Target="/xl/worksheets/sheet1.xml" Id="Rc199a99f863f4618" /><Relationship Type="http://schemas.openxmlformats.org/officeDocument/2006/relationships/worksheet" Target="/xl/worksheets/sheet2.xml" Id="R9a01a721fb1a48e9" /><Relationship Type="http://schemas.openxmlformats.org/officeDocument/2006/relationships/worksheet" Target="/xl/worksheets/sheet3.xml" Id="Rb2c08f200eb14730" /><Relationship Type="http://schemas.openxmlformats.org/officeDocument/2006/relationships/worksheet" Target="/xl/worksheets/sheet4.xml" Id="R9417dfe5e0774602" /><Relationship Type="http://schemas.openxmlformats.org/officeDocument/2006/relationships/worksheet" Target="/xl/worksheets/sheet5.xml" Id="R2af3f36f355f4ea9" /><Relationship Type="http://schemas.openxmlformats.org/officeDocument/2006/relationships/worksheet" Target="/xl/worksheets/sheet6.xml" Id="Rb2d8de69f13f48bd" /><Relationship Type="http://schemas.openxmlformats.org/officeDocument/2006/relationships/worksheet" Target="/xl/worksheets/sheet7.xml" Id="R7c19e467b7674745" /><Relationship Type="http://schemas.openxmlformats.org/officeDocument/2006/relationships/worksheet" Target="/xl/worksheets/sheet8.xml" Id="Rf4c735aa515246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968479e325d4fb8" /><Relationship Type="http://schemas.openxmlformats.org/officeDocument/2006/relationships/chart" Target="/xl/drawings/charts/chart2.xml" Id="Rb1a3474ba3fd476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情景价值与参考价格（元/股）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情景价值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'Valuation'!$A$15:$A$17</c:f>
              <c:strCache>
                <c:ptCount val="0"/>
              </c:strCache>
            </c:strRef>
          </c:cat>
          <c:val>
            <c:numRef>
              <c:f>'Valuation'!$H$15:$H$17</c:f>
              <c:numCache>
                <c:formatCode>"RMB "0.0</c:formatCode>
                <c:ptCount val="0"/>
              </c:numCache>
            </c:numRef>
          </c:val>
        </c:ser>
        <c:ser>
          <c:idx val="1"/>
          <c:order val="1"/>
          <c:tx>
            <c:v>参考价格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'Valuation'!$A$15:$A$17</c:f>
              <c:strCache>
                <c:ptCount val="0"/>
              </c:strCache>
            </c:strRef>
          </c:cat>
          <c:val>
            <c:numRef>
              <c:f>'Cover'!$J$3:$J$5</c:f>
              <c:numCache>
                <c:formatCode>"RMB "0.0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MB &quot;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归母利润与简化FCF（RMB mn）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归母净利润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'Historical'!$B$3:$D$3</c:f>
              <c:strCache>
                <c:ptCount val="0"/>
              </c:strCache>
            </c:strRef>
          </c:cat>
          <c:val>
            <c:numRef>
              <c:f>'Historical'!$B$9:$D$9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简化FCF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'Historical'!$B$3:$D$3</c:f>
              <c:strCache>
                <c:ptCount val="0"/>
              </c:strCache>
            </c:strRef>
          </c:cat>
          <c:val>
            <c:numRef>
              <c:f>'Historical'!$B$14:$D$14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70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68479e325d4fb8"/>
        </a:graphicData>
      </a:graphic>
    </xdr:graphicFrame>
    <xdr:clientData/>
  </xdr:twoCellAnchor>
  <xdr:twoCellAnchor>
    <xdr:from>
      <xdr:col>3</xdr:col>
      <xdr:colOff>0</xdr:colOff>
      <xdr:row>15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a3474ba3fd476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da64bd4c9d54d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3" t="str">
        <x:v>宝钢股份（600019.SH）基本面与情景估值模型</x:v>
      </x:c>
      <x:c r="B1" s="3" t="str">
        <x:v>宝钢股份（600019.SH）基本面与情景估值模型</x:v>
      </x:c>
      <x:c r="C1" s="3" t="str">
        <x:v>宝钢股份（600019.SH）基本面与情景估值模型</x:v>
      </x:c>
      <x:c r="D1" s="3" t="str">
        <x:v>宝钢股份（600019.SH）基本面与情景估值模型</x:v>
      </x:c>
      <x:c r="E1" s="3" t="str">
        <x:v>宝钢股份（600019.SH）基本面与情景估值模型</x:v>
      </x:c>
      <x:c r="F1" s="3" t="str">
        <x:v>宝钢股份（600019.SH）基本面与情景估值模型</x:v>
      </x:c>
      <x:c r="G1" s="3" t="str">
        <x:v>宝钢股份（600019.SH）基本面与情景估值模型</x:v>
      </x:c>
      <x:c r="H1" s="3" t="str">
        <x:v>宝钢股份（600019.SH）基本面与情景估值模型</x:v>
      </x:c>
    </x:row>
    <x:row r="2">
      <x:c r="J2" t="str">
        <x:v>参考价格</x:v>
      </x:c>
    </x:row>
    <x:row r="3">
      <x:c r="A3" s="9" t="str">
        <x:v>公司</x:v>
      </x:c>
      <x:c r="B3" s="10" t="str">
        <x:v>宝山钢铁股份有限公司</x:v>
      </x:c>
      <x:c r="J3" t="n">
        <x:f>'Assumptions'!B4</x:f>
        <x:v>5.75</x:v>
      </x:c>
    </x:row>
    <x:row r="4">
      <x:c r="A4" s="11" t="str">
        <x:v>价格基准</x:v>
      </x:c>
      <x:c r="B4" s="12" t="n">
        <x:v>46272</x:v>
      </x:c>
      <x:c r="J4" t="n">
        <x:f>'Assumptions'!B4</x:f>
        <x:v>5.75</x:v>
      </x:c>
    </x:row>
    <x:row r="5">
      <x:c r="A5" s="11" t="str">
        <x:v>资料截止</x:v>
      </x:c>
      <x:c r="B5" s="13" t="str">
        <x:v>2026-09-08</x:v>
      </x:c>
      <x:c r="J5" t="n">
        <x:f>'Assumptions'!B4</x:f>
        <x:v>5.75</x:v>
      </x:c>
    </x:row>
    <x:row r="6">
      <x:c r="A6" s="11" t="str">
        <x:v>报告货币</x:v>
      </x:c>
      <x:c r="B6" s="13" t="str">
        <x:v>人民币百万元；每股价值为人民币</x:v>
      </x:c>
    </x:row>
    <x:row r="7">
      <x:c r="A7" s="11" t="str">
        <x:v>模型版本</x:v>
      </x:c>
      <x:c r="B7" s="13" t="str">
        <x:v>首次建档 / 2026H1 v1.0</x:v>
      </x:c>
    </x:row>
    <x:row r="8">
      <x:c r="A8" s="11" t="str">
        <x:v>估值框架</x:v>
      </x:c>
      <x:c r="B8" s="13" t="str">
        <x:v>60% P/B + 40%正常化归母P/E</x:v>
      </x:c>
    </x:row>
    <x:row r="9">
      <x:c r="A9" s="11" t="str">
        <x:v>模型状态</x:v>
      </x:c>
      <x:c r="B9" s="13" t="str">
        <x:v>动态模型；检查见Checks</x:v>
      </x:c>
    </x:row>
    <x:row r="10">
      <x:c r="A10" s="11" t="str">
        <x:v>当前判断</x:v>
      </x:c>
      <x:c r="B10" s="13" t="str">
        <x:v>中性观察</x:v>
      </x:c>
    </x:row>
    <x:row r="11">
      <x:c r="A11" s="11" t="str">
        <x:v>最重要变量</x:v>
      </x:c>
      <x:c r="B11" s="13" t="str">
        <x:v>钢价—原料价差、高端品毛利、联营投资回报、FCF与分红</x:v>
      </x:c>
    </x:row>
    <x:row r="12">
      <x:c r="A12" s="14" t="str">
        <x:v>用途</x:v>
      </x:c>
      <x:c r="B12" s="15" t="str">
        <x:v>研究与情景分析；不构成个性化投资建议</x:v>
      </x:c>
    </x:row>
    <x:row r="14">
      <x:c r="A14" s="18" t="str">
        <x:v>关键输出</x:v>
      </x:c>
      <x:c r="B14" s="19" t="str">
        <x:v>数值</x:v>
      </x:c>
      <x:c r="C14" s="20" t="str">
        <x:v>说明</x:v>
      </x:c>
    </x:row>
    <x:row r="15">
      <x:c r="A15" s="10" t="str">
        <x:v>参考股价</x:v>
      </x:c>
      <x:c r="B15" s="42" t="n">
        <x:f>'Assumptions'!B4</x:f>
        <x:v>5.75</x:v>
      </x:c>
      <x:c r="C15" s="10" t="str">
        <x:v>2026-09-07收盘</x:v>
      </x:c>
    </x:row>
    <x:row r="16">
      <x:c r="A16" s="13" t="str">
        <x:v>经济股本</x:v>
      </x:c>
      <x:c r="B16" s="43" t="n">
        <x:f>'Assumptions'!B5</x:f>
        <x:v>21745.301092</x:v>
      </x:c>
      <x:c r="C16" s="13" t="str">
        <x:v>2026年7月末分红基数</x:v>
      </x:c>
    </x:row>
    <x:row r="17">
      <x:c r="A17" s="13" t="str">
        <x:v>参考市值</x:v>
      </x:c>
      <x:c r="B17" s="44" t="n">
        <x:f>'Assumptions'!B6</x:f>
        <x:v>125035.48127900001</x:v>
      </x:c>
      <x:c r="C17" s="13" t="str">
        <x:v>股价×经济股本</x:v>
      </x:c>
    </x:row>
    <x:row r="18">
      <x:c r="A18" s="13" t="str">
        <x:v>TTM归母净利润</x:v>
      </x:c>
      <x:c r="B18" s="44" t="n">
        <x:f>'Valuation'!B8</x:f>
        <x:v>10038.091999999999</x:v>
      </x:c>
      <x:c r="C18" s="13" t="str">
        <x:v>2025A-2025H1+2026H1</x:v>
      </x:c>
    </x:row>
    <x:row r="19">
      <x:c r="A19" s="13" t="str">
        <x:v>TTM P/E</x:v>
      </x:c>
      <x:c r="B19" s="45" t="n">
        <x:f>'Valuation'!B10</x:f>
        <x:v>12.456100350445086</x:v>
      </x:c>
      <x:c r="C19" s="13" t="str">
        <x:v>静态参考</x:v>
      </x:c>
    </x:row>
    <x:row r="20">
      <x:c r="A20" s="13" t="str">
        <x:v>当前P/B</x:v>
      </x:c>
      <x:c r="B20" s="45" t="n">
        <x:f>'Valuation'!B11</x:f>
        <x:v>0.6063118583140349</x:v>
      </x:c>
      <x:c r="C20" s="13" t="str">
        <x:v>按2026H1归母权益</x:v>
      </x:c>
    </x:row>
    <x:row r="21">
      <x:c r="A21" s="13" t="str">
        <x:v>2026H1钢铁制造毛利率</x:v>
      </x:c>
      <x:c r="B21" s="46" t="n">
        <x:f>'Operations'!E26</x:f>
        <x:v>0.049</x:v>
      </x:c>
      <x:c r="C21" s="13" t="str">
        <x:v>同比下降1.0ppt</x:v>
      </x:c>
    </x:row>
    <x:row r="22">
      <x:c r="A22" s="13" t="str">
        <x:v>2026H1简化FCF</x:v>
      </x:c>
      <x:c r="B22" s="44" t="n">
        <x:f>'Historical'!F14</x:f>
        <x:v>5630.997000000001</x:v>
      </x:c>
      <x:c r="C22" s="13" t="str">
        <x:v>CFO-资本开支</x:v>
      </x:c>
    </x:row>
    <x:row r="23">
      <x:c r="A23" s="13" t="str">
        <x:v>联营重点投资账面价值</x:v>
      </x:c>
      <x:c r="B23" s="44" t="n">
        <x:f>'Balance &amp; Cash'!B27</x:f>
        <x:v>19746.966</x:v>
      </x:c>
      <x:c r="C23" s="13" t="str">
        <x:v>马钢有限+山钢日照</x:v>
      </x:c>
    </x:row>
    <x:row r="24">
      <x:c r="A24" s="13" t="str">
        <x:v>联营重点投资H1收益率</x:v>
      </x:c>
      <x:c r="B24" s="47" t="n">
        <x:f>'Balance &amp; Cash'!B29</x:f>
        <x:v>0.0035269215534173707</x:v>
      </x:c>
      <x:c r="C24" s="13" t="str">
        <x:v>两项权益法收益/账面价值</x:v>
      </x:c>
    </x:row>
    <x:row r="25">
      <x:c r="A25" s="13" t="str">
        <x:v>Bear价值</x:v>
      </x:c>
      <x:c r="B25" s="48" t="n">
        <x:f>'Valuation'!H15</x:f>
        <x:v>3.5906710806007363</x:v>
      </x:c>
      <x:c r="C25" s="13" t="str">
        <x:v>价差恶化、低回报延续</x:v>
      </x:c>
    </x:row>
    <x:row r="26">
      <x:c r="A26" s="13" t="str">
        <x:v>Base价值</x:v>
      </x:c>
      <x:c r="B26" s="48" t="n">
        <x:f>'Valuation'!H16</x:f>
        <x:v>6.2088669569938</x:v>
      </x:c>
      <x:c r="C26" s="13" t="str">
        <x:v>中周期盈利与资产折价</x:v>
      </x:c>
    </x:row>
    <x:row r="27">
      <x:c r="A27" s="13" t="str">
        <x:v>Bull价值</x:v>
      </x:c>
      <x:c r="B27" s="48" t="n">
        <x:f>'Valuation'!H17</x:f>
        <x:v>9.553044573681454</x:v>
      </x:c>
      <x:c r="C27" s="13" t="str">
        <x:v>高端品和行业纪律改善</x:v>
      </x:c>
    </x:row>
    <x:row r="28">
      <x:c r="A28" s="13" t="str">
        <x:v>Base相对参考价</x:v>
      </x:c>
      <x:c r="B28" s="49" t="n">
        <x:f>'Valuation'!I16</x:f>
        <x:v>0.07980294904239993</x:v>
      </x:c>
      <x:c r="C28" s="13" t="str">
        <x:v>情景结果，不是收益保证</x:v>
      </x:c>
    </x:row>
    <x:row r="29">
      <x:c r="A29" s="15" t="str">
        <x:v>2025历史股息率</x:v>
      </x:c>
      <x:c r="B29" s="50" t="n">
        <x:f>'Valuation'!B12</x:f>
        <x:v>0.05217391304347826</x:v>
      </x:c>
      <x:c r="C29" s="15" t="str">
        <x:v>0.30元/股</x:v>
      </x:c>
    </x:row>
    <x:row r="31">
      <x:c r="A31" s="18" t="str">
        <x:v>研究结论</x:v>
      </x:c>
      <x:c r="B31" s="19" t="str">
        <x:v>研究结论</x:v>
      </x:c>
      <x:c r="C31" s="19" t="str">
        <x:v>研究结论</x:v>
      </x:c>
      <x:c r="D31" s="19" t="str">
        <x:v>研究结论</x:v>
      </x:c>
      <x:c r="E31" s="19" t="str">
        <x:v>研究结论</x:v>
      </x:c>
      <x:c r="F31" s="19" t="str">
        <x:v>研究结论</x:v>
      </x:c>
      <x:c r="G31" s="19" t="str">
        <x:v>研究结论</x:v>
      </x:c>
      <x:c r="H31" s="20" t="str">
        <x:v>研究结论</x:v>
      </x:c>
    </x:row>
    <x:row r="32">
      <x:c r="A32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B32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C32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D32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E32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F32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G32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H32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</x:row>
    <x:row r="33">
      <x:c r="A33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B33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C33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D33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E33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F33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G33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H33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</x:row>
    <x:row r="34">
      <x:c r="A34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B34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C34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D34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E34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F34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G34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H34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</x:row>
    <x:row r="35">
      <x:c r="A35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B35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C35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D35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E35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F35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G35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H35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</x:row>
    <x:row r="36">
      <x:c r="A36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B36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C36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D36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E36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F36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G36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H36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</x:row>
    <x:row r="37">
      <x:c r="A37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B37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C37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D37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E37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F37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G37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H37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</x:row>
    <x:row r="38">
      <x:c r="A38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B38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C38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D38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E38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F38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G38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H38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</x:row>
    <x:row r="39">
      <x:c r="A39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B39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C39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D39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E39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F39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G39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  <x:c r="H39" s="53" t="str">
        <x:v>宝钢是国内钢企中产品结构、成本和现金流较好的标的。现价约0.61倍P/B，2025年股息率约5.2%，但2026H1钢铁制造毛利率降至4.9%，购销价差承压；马钢有限与山钢日照合计账面价值约197.47亿元，上半年权益法收益合计仅约0.70亿元。模型采用60% P/B+40%正常化P/E，Bear/Base/Bull为3.59/6.21/9.55元。Base较5.75元仅高8.0%，结论中性观察：有股息保护，但价差与资本配置不足以提供厚安全边际。</x:v>
      </x:c>
    </x:row>
  </x:sheetData>
  <x:mergeCells>
    <x:mergeCell ref="A1:H1"/>
    <x:mergeCell ref="A31:H31"/>
    <x:mergeCell ref="A32:H39"/>
  </x:mergeCells>
  <x:pageMargins left="0.7" right="0.7" top="0.75" bottom="0.75" header="0.3" footer="0.3"/>
  <x:drawing xmlns:r="http://schemas.openxmlformats.org/officeDocument/2006/relationships" r:id="Rfda64bd4c9d54d0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3" t="str">
        <x:v>历史财务、现金流与利润质量</x:v>
      </x:c>
      <x:c r="B1" s="3" t="str">
        <x:v>历史财务、现金流与利润质量</x:v>
      </x:c>
      <x:c r="C1" s="3" t="str">
        <x:v>历史财务、现金流与利润质量</x:v>
      </x:c>
      <x:c r="D1" s="3" t="str">
        <x:v>历史财务、现金流与利润质量</x:v>
      </x:c>
      <x:c r="E1" s="3" t="str">
        <x:v>历史财务、现金流与利润质量</x:v>
      </x:c>
      <x:c r="F1" s="3" t="str">
        <x:v>历史财务、现金流与利润质量</x:v>
      </x:c>
      <x:c r="G1" s="3" t="str">
        <x:v>历史财务、现金流与利润质量</x:v>
      </x:c>
    </x:row>
    <x:row r="3">
      <x:c r="A3" s="56" t="str">
        <x:v>指标（RMB mn，除注明外）</x:v>
      </x:c>
      <x:c r="B3" s="57" t="str">
        <x:v>2023A</x:v>
      </x:c>
      <x:c r="C3" s="57" t="str">
        <x:v>2024A</x:v>
      </x:c>
      <x:c r="D3" s="57" t="str">
        <x:v>2025A</x:v>
      </x:c>
      <x:c r="E3" s="57" t="str">
        <x:v>2025H1</x:v>
      </x:c>
      <x:c r="F3" s="57" t="str">
        <x:v>2026H1</x:v>
      </x:c>
      <x:c r="G3" s="58" t="str">
        <x:v>TTM/同比</x:v>
      </x:c>
    </x:row>
    <x:row r="4">
      <x:c r="A4" s="10" t="str">
        <x:v>营业收入</x:v>
      </x:c>
      <x:c r="B4" s="93" t="n">
        <x:v>344500</x:v>
      </x:c>
      <x:c r="C4" s="93" t="n">
        <x:v>322115.846</x:v>
      </x:c>
      <x:c r="D4" s="93" t="n">
        <x:v>317507.794</x:v>
      </x:c>
      <x:c r="E4" s="93" t="n">
        <x:v>151372.399</x:v>
      </x:c>
      <x:c r="F4" s="93" t="n">
        <x:v>160731.484</x:v>
      </x:c>
      <x:c r="G4" s="93" t="n">
        <x:f>D4-E4+F4</x:f>
        <x:v>326866.87899999996</x:v>
      </x:c>
    </x:row>
    <x:row r="5">
      <x:c r="A5" s="13" t="str">
        <x:v>营业收入同比</x:v>
      </x:c>
      <x:c r="B5" s="94"/>
      <x:c r="C5" s="94" t="n">
        <x:v>-0.065</x:v>
      </x:c>
      <x:c r="D5" s="94" t="n">
        <x:v>-0.0143</x:v>
      </x:c>
      <x:c r="E5" s="94"/>
      <x:c r="F5" s="94" t="n">
        <x:v>0.0618</x:v>
      </x:c>
      <x:c r="G5" s="94" t="n">
        <x:f>F4/E4-1</x:f>
        <x:v>0.0618282134776762</x:v>
      </x:c>
    </x:row>
    <x:row r="6">
      <x:c r="A6" s="13" t="str">
        <x:v>营业成本</x:v>
      </x:c>
      <x:c r="B6" s="95"/>
      <x:c r="C6" s="95" t="n">
        <x:v>304546.361</x:v>
      </x:c>
      <x:c r="D6" s="95" t="n">
        <x:v>294522.776</x:v>
      </x:c>
      <x:c r="E6" s="95" t="n">
        <x:v>140958.037</x:v>
      </x:c>
      <x:c r="F6" s="95" t="n">
        <x:v>151101.559</x:v>
      </x:c>
      <x:c r="G6" s="95"/>
    </x:row>
    <x:row r="7">
      <x:c r="A7" s="96" t="str">
        <x:v>毛利</x:v>
      </x:c>
      <x:c r="B7" s="97"/>
      <x:c r="C7" s="97" t="n">
        <x:f>C4-C6</x:f>
        <x:v>17569.485000000044</x:v>
      </x:c>
      <x:c r="D7" s="97" t="n">
        <x:f>D4-D6</x:f>
        <x:v>22985.017999999982</x:v>
      </x:c>
      <x:c r="E7" s="97" t="n">
        <x:f>E4-E6</x:f>
        <x:v>10414.361999999994</x:v>
      </x:c>
      <x:c r="F7" s="97" t="n">
        <x:f>F4-F6</x:f>
        <x:v>9629.924999999988</x:v>
      </x:c>
      <x:c r="G7" s="97"/>
    </x:row>
    <x:row r="8">
      <x:c r="A8" s="96" t="str">
        <x:v>毛利率</x:v>
      </x:c>
      <x:c r="B8" s="98"/>
      <x:c r="C8" s="98" t="n">
        <x:f>C7/C4</x:f>
        <x:v>0.05454399470928246</x:v>
      </x:c>
      <x:c r="D8" s="98" t="n">
        <x:f>D7/D4</x:f>
        <x:v>0.07239198039969999</x:v>
      </x:c>
      <x:c r="E8" s="98" t="n">
        <x:f>E7/E4</x:f>
        <x:v>0.06879960989453562</x:v>
      </x:c>
      <x:c r="F8" s="98" t="n">
        <x:f>F7/F4</x:f>
        <x:v>0.059913121936956595</x:v>
      </x:c>
      <x:c r="G8" s="98"/>
    </x:row>
    <x:row r="9">
      <x:c r="A9" s="13" t="str">
        <x:v>归母净利润</x:v>
      </x:c>
      <x:c r="B9" s="95" t="n">
        <x:v>11943.5</x:v>
      </x:c>
      <x:c r="C9" s="95" t="n">
        <x:v>7361.926</x:v>
      </x:c>
      <x:c r="D9" s="95" t="n">
        <x:v>10345.622</x:v>
      </x:c>
      <x:c r="E9" s="95" t="n">
        <x:v>4878.899</x:v>
      </x:c>
      <x:c r="F9" s="95" t="n">
        <x:v>4571.369</x:v>
      </x:c>
      <x:c r="G9" s="95" t="n">
        <x:f>D9-E9+F9</x:f>
        <x:v>10038.091999999999</x:v>
      </x:c>
    </x:row>
    <x:row r="10">
      <x:c r="A10" s="13" t="str">
        <x:v>归母同比</x:v>
      </x:c>
      <x:c r="B10" s="94"/>
      <x:c r="C10" s="94" t="n">
        <x:v>-0.3836</x:v>
      </x:c>
      <x:c r="D10" s="94" t="n">
        <x:v>0.4053</x:v>
      </x:c>
      <x:c r="E10" s="94"/>
      <x:c r="F10" s="94" t="n">
        <x:v>-0.063</x:v>
      </x:c>
      <x:c r="G10" s="94" t="n">
        <x:f>F9/E9-1</x:f>
        <x:v>-0.06303266372187677</x:v>
      </x:c>
    </x:row>
    <x:row r="11">
      <x:c r="A11" s="13" t="str">
        <x:v>扣非归母净利润</x:v>
      </x:c>
      <x:c r="B11" s="95" t="n">
        <x:v>10453</x:v>
      </x:c>
      <x:c r="C11" s="95" t="n">
        <x:v>6841</x:v>
      </x:c>
      <x:c r="D11" s="95" t="n">
        <x:v>9903</x:v>
      </x:c>
      <x:c r="E11" s="95" t="n">
        <x:v>4739</x:v>
      </x:c>
      <x:c r="F11" s="95" t="n">
        <x:v>4532</x:v>
      </x:c>
      <x:c r="G11" s="95" t="n">
        <x:f>D11-E11+F11</x:f>
        <x:v>9696</x:v>
      </x:c>
    </x:row>
    <x:row r="12">
      <x:c r="A12" s="13" t="str">
        <x:v>经营现金流</x:v>
      </x:c>
      <x:c r="B12" s="95" t="n">
        <x:v>25302</x:v>
      </x:c>
      <x:c r="C12" s="95" t="n">
        <x:v>27735.927</x:v>
      </x:c>
      <x:c r="D12" s="95" t="n">
        <x:v>33597.183</x:v>
      </x:c>
      <x:c r="E12" s="95" t="n">
        <x:v>16646.964</x:v>
      </x:c>
      <x:c r="F12" s="95" t="n">
        <x:v>14814.897</x:v>
      </x:c>
      <x:c r="G12" s="95" t="n">
        <x:f>D12-E12+F12</x:f>
        <x:v>31765.115999999998</x:v>
      </x:c>
    </x:row>
    <x:row r="13">
      <x:c r="A13" s="13" t="str">
        <x:v>资本开支</x:v>
      </x:c>
      <x:c r="B13" s="95"/>
      <x:c r="C13" s="95" t="n">
        <x:v>19336.4</x:v>
      </x:c>
      <x:c r="D13" s="95" t="n">
        <x:v>18507</x:v>
      </x:c>
      <x:c r="E13" s="95" t="n">
        <x:v>10063.6</x:v>
      </x:c>
      <x:c r="F13" s="95" t="n">
        <x:v>9183.9</x:v>
      </x:c>
      <x:c r="G13" s="95"/>
    </x:row>
    <x:row r="14">
      <x:c r="A14" s="99" t="str">
        <x:v>简化自由现金流</x:v>
      </x:c>
      <x:c r="B14" s="100"/>
      <x:c r="C14" s="100" t="n">
        <x:f>C12-C13</x:f>
        <x:v>8399.526999999998</x:v>
      </x:c>
      <x:c r="D14" s="100" t="n">
        <x:f>D12-D13</x:f>
        <x:v>15090.182999999997</x:v>
      </x:c>
      <x:c r="E14" s="100" t="n">
        <x:f>E12-E13</x:f>
        <x:v>6583.364</x:v>
      </x:c>
      <x:c r="F14" s="100" t="n">
        <x:f>F12-F13</x:f>
        <x:v>5630.997000000001</x:v>
      </x:c>
      <x:c r="G14" s="100"/>
    </x:row>
    <x:row r="15">
      <x:c r="A15" s="99" t="str">
        <x:v>CFO/归母净利润</x:v>
      </x:c>
      <x:c r="B15" s="101" t="n">
        <x:f>B12/B9</x:f>
        <x:v>2.1184744840289698</x:v>
      </x:c>
      <x:c r="C15" s="101" t="n">
        <x:f>C12/C9</x:f>
        <x:v>3.7674824495655073</x:v>
      </x:c>
      <x:c r="D15" s="101" t="n">
        <x:f>D12/D9</x:f>
        <x:v>3.2474783053160072</x:v>
      </x:c>
      <x:c r="E15" s="101" t="n">
        <x:f>E12/E9</x:f>
        <x:v>3.412032919722257</x:v>
      </x:c>
      <x:c r="F15" s="101" t="n">
        <x:f>F12/F9</x:f>
        <x:v>3.240800950437386</x:v>
      </x:c>
      <x:c r="G15" s="101"/>
    </x:row>
    <x:row r="16">
      <x:c r="A16" s="99" t="str">
        <x:v>简化FCF/收入</x:v>
      </x:c>
      <x:c r="B16" s="101"/>
      <x:c r="C16" s="101" t="n">
        <x:f>C14/C4</x:f>
        <x:v>0.02607610617206332</x:v>
      </x:c>
      <x:c r="D16" s="101" t="n">
        <x:f>D14/D4</x:f>
        <x:v>0.04752696873954533</x:v>
      </x:c>
      <x:c r="E16" s="101" t="n">
        <x:f>E14/E4</x:f>
        <x:v>0.043491178335622466</x:v>
      </x:c>
      <x:c r="F16" s="101" t="n">
        <x:f>F14/F4</x:f>
        <x:v>0.03503356567030764</x:v>
      </x:c>
      <x:c r="G16" s="101"/>
    </x:row>
    <x:row r="17">
      <x:c r="A17" s="13" t="str">
        <x:v>每股收益</x:v>
      </x:c>
      <x:c r="B17" s="102" t="n">
        <x:v>0.54</x:v>
      </x:c>
      <x:c r="C17" s="102" t="n">
        <x:v>0.34</x:v>
      </x:c>
      <x:c r="D17" s="102" t="n">
        <x:v>0.48</x:v>
      </x:c>
      <x:c r="E17" s="102" t="n">
        <x:v>0.23</x:v>
      </x:c>
      <x:c r="F17" s="102" t="n">
        <x:v>0.21</x:v>
      </x:c>
      <x:c r="G17" s="102" t="n">
        <x:f>G9/'Assumptions'!B5</x:f>
        <x:v>0.46162120071508084</x:v>
      </x:c>
    </x:row>
    <x:row r="18">
      <x:c r="A18" s="13" t="str">
        <x:v>每股现金股利</x:v>
      </x:c>
      <x:c r="B18" s="102" t="n">
        <x:v>0.31</x:v>
      </x:c>
      <x:c r="C18" s="102" t="n">
        <x:v>0.2</x:v>
      </x:c>
      <x:c r="D18" s="102" t="n">
        <x:v>0.3</x:v>
      </x:c>
      <x:c r="E18" s="102" t="n">
        <x:v>0.12</x:v>
      </x:c>
      <x:c r="F18" s="102" t="n">
        <x:v>0.13</x:v>
      </x:c>
      <x:c r="G18" s="102"/>
    </x:row>
    <x:row r="19">
      <x:c r="A19" s="13" t="str">
        <x:v>归母净资产</x:v>
      </x:c>
      <x:c r="B19" s="103" t="n">
        <x:v>200325</x:v>
      </x:c>
      <x:c r="C19" s="103" t="n">
        <x:v>200547.8</x:v>
      </x:c>
      <x:c r="D19" s="103" t="n">
        <x:v>206165.305</x:v>
      </x:c>
      <x:c r="E19" s="103"/>
      <x:c r="F19" s="103" t="n">
        <x:v>206223.051</x:v>
      </x:c>
      <x:c r="G19" s="103"/>
    </x:row>
    <x:row r="20">
      <x:c r="A20" s="104" t="str">
        <x:v>资料口径</x:v>
      </x:c>
      <x:c r="B20" s="104" t="str">
        <x:v>经审计年报</x:v>
      </x:c>
      <x:c r="C20" s="104" t="str">
        <x:v>经审计年报</x:v>
      </x:c>
      <x:c r="D20" s="104" t="str">
        <x:v>经审计年报</x:v>
      </x:c>
      <x:c r="E20" s="104" t="str">
        <x:v>未经审计</x:v>
      </x:c>
      <x:c r="F20" s="104" t="str">
        <x:v>未经审计</x:v>
      </x:c>
      <x:c r="G20" s="104" t="str">
        <x:v>TTM/同比研究计算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2" hidden="0" customWidth="1"/>
    <x:col min="9" max="9" width="25" hidden="0" customWidth="1"/>
    <x:col min="10" max="10" width="17" hidden="0" customWidth="1"/>
  </x:cols>
  <x:sheetData>
    <x:row r="1" ht="30" customHeight="1">
      <x:c r="A1" s="3" t="str">
        <x:v>行业价差、产品量价与分部毛利</x:v>
      </x:c>
      <x:c r="B1" s="3" t="str">
        <x:v>行业价差、产品量价与分部毛利</x:v>
      </x:c>
      <x:c r="C1" s="3" t="str">
        <x:v>行业价差、产品量价与分部毛利</x:v>
      </x:c>
      <x:c r="D1" s="3" t="str">
        <x:v>行业价差、产品量价与分部毛利</x:v>
      </x:c>
      <x:c r="E1" s="3" t="str">
        <x:v>行业价差、产品量价与分部毛利</x:v>
      </x:c>
      <x:c r="F1" s="3" t="str">
        <x:v>行业价差、产品量价与分部毛利</x:v>
      </x:c>
      <x:c r="G1" s="3" t="str">
        <x:v>行业价差、产品量价与分部毛利</x:v>
      </x:c>
      <x:c r="H1" s="3" t="str">
        <x:v>行业价差、产品量价与分部毛利</x:v>
      </x:c>
      <x:c r="I1" s="3" t="str">
        <x:v>行业价差、产品量价与分部毛利</x:v>
      </x:c>
      <x:c r="J1" s="3" t="str">
        <x:v>行业价差、产品量价与分部毛利</x:v>
      </x:c>
    </x:row>
    <x:row r="3">
      <x:c r="A3" s="18" t="str">
        <x:v>行业/经营指标</x:v>
      </x:c>
      <x:c r="B3" s="19" t="str">
        <x:v>2025H1</x:v>
      </x:c>
      <x:c r="C3" s="19" t="str">
        <x:v>2026H1</x:v>
      </x:c>
      <x:c r="D3" s="19" t="str">
        <x:v>同比/变化</x:v>
      </x:c>
      <x:c r="E3" s="19" t="str">
        <x:v>单位</x:v>
      </x:c>
      <x:c r="F3" s="20" t="str">
        <x:v>判断</x:v>
      </x:c>
      <x:c r="I3" s="18" t="str">
        <x:v>2026H1产销</x:v>
      </x:c>
      <x:c r="J3" s="20" t="str">
        <x:v>数值</x:v>
      </x:c>
    </x:row>
    <x:row r="4">
      <x:c r="A4" s="10" t="str">
        <x:v>普氏62%铁矿石指数</x:v>
      </x:c>
      <x:c r="B4" s="111" t="n">
        <x:v>100.7</x:v>
      </x:c>
      <x:c r="C4" s="111" t="n">
        <x:v>107.6</x:v>
      </x:c>
      <x:c r="D4" s="112" t="n">
        <x:v>0.069</x:v>
      </x:c>
      <x:c r="E4" s="10" t="str">
        <x:v>USD/dmt</x:v>
      </x:c>
      <x:c r="F4" s="10" t="str">
        <x:v>原料逆风</x:v>
      </x:c>
      <x:c r="I4" s="10" t="str">
        <x:v>产铁（mn t）</x:v>
      </x:c>
      <x:c r="J4" s="10" t="n">
        <x:v>23.765</x:v>
      </x:c>
    </x:row>
    <x:row r="5">
      <x:c r="A5" s="13" t="str">
        <x:v>吕梁焦煤价格</x:v>
      </x:c>
      <x:c r="B5" s="113" t="n">
        <x:v>1218</x:v>
      </x:c>
      <x:c r="C5" s="113" t="n">
        <x:v>1499.3</x:v>
      </x:c>
      <x:c r="D5" s="94" t="n">
        <x:v>0.231</x:v>
      </x:c>
      <x:c r="E5" s="13" t="str">
        <x:v>RMB/t</x:v>
      </x:c>
      <x:c r="F5" s="13" t="str">
        <x:v>成本逆风</x:v>
      </x:c>
      <x:c r="I5" s="13" t="str">
        <x:v>产钢（mn t）</x:v>
      </x:c>
      <x:c r="J5" s="13" t="n">
        <x:v>25.537</x:v>
      </x:c>
    </x:row>
    <x:row r="6">
      <x:c r="A6" s="13" t="str">
        <x:v>中国钢材价格指数</x:v>
      </x:c>
      <x:c r="B6" s="113" t="n">
        <x:v>93.7</x:v>
      </x:c>
      <x:c r="C6" s="113" t="n">
        <x:v>92.5</x:v>
      </x:c>
      <x:c r="D6" s="94" t="n">
        <x:v>-0.013</x:v>
      </x:c>
      <x:c r="E6" s="13" t="str">
        <x:v>index</x:v>
      </x:c>
      <x:c r="F6" s="13" t="str">
        <x:v>钢价偏弱</x:v>
      </x:c>
      <x:c r="I6" s="13" t="str">
        <x:v>板带销量（mn t）</x:v>
      </x:c>
      <x:c r="J6" s="13" t="n">
        <x:v>22.28</x:v>
      </x:c>
    </x:row>
    <x:row r="7">
      <x:c r="A7" s="13" t="str">
        <x:v>中国粗钢产量</x:v>
      </x:c>
      <x:c r="B7" s="113" t="n">
        <x:v>515.5</x:v>
      </x:c>
      <x:c r="C7" s="113" t="n">
        <x:v>500</x:v>
      </x:c>
      <x:c r="D7" s="94" t="n">
        <x:v>-0.03</x:v>
      </x:c>
      <x:c r="E7" s="13" t="str">
        <x:v>mn tonnes</x:v>
      </x:c>
      <x:c r="F7" s="13" t="str">
        <x:v>供给收缩有限</x:v>
      </x:c>
      <x:c r="I7" s="13" t="str">
        <x:v>板带均价（RMB/t）</x:v>
      </x:c>
      <x:c r="J7" s="13" t="n">
        <x:v>4154</x:v>
      </x:c>
    </x:row>
    <x:row r="8">
      <x:c r="A8" s="13" t="str">
        <x:v>商品坯材销量</x:v>
      </x:c>
      <x:c r="B8" s="114"/>
      <x:c r="C8" s="114" t="n">
        <x:v>25.682</x:v>
      </x:c>
      <x:c r="D8" s="94"/>
      <x:c r="E8" s="13" t="str">
        <x:v>mn tonnes</x:v>
      </x:c>
      <x:c r="F8" s="13" t="str">
        <x:v>总量稳定</x:v>
      </x:c>
      <x:c r="I8" s="13" t="str">
        <x:v>钢管销量（mn t）</x:v>
      </x:c>
      <x:c r="J8" s="13" t="n">
        <x:v>1</x:v>
      </x:c>
    </x:row>
    <x:row r="9">
      <x:c r="A9" s="13" t="str">
        <x:v>平均售价</x:v>
      </x:c>
      <x:c r="B9" s="114"/>
      <x:c r="C9" s="114" t="n">
        <x:v>4193</x:v>
      </x:c>
      <x:c r="D9" s="94"/>
      <x:c r="E9" s="13" t="str">
        <x:v>RMB/t</x:v>
      </x:c>
      <x:c r="F9" s="13" t="str">
        <x:v>正式经营数据口径</x:v>
      </x:c>
      <x:c r="I9" s="15" t="str">
        <x:v>钢管均价（RMB/t）</x:v>
      </x:c>
      <x:c r="J9" s="15" t="n">
        <x:v>6399</x:v>
      </x:c>
    </x:row>
    <x:row r="10">
      <x:c r="A10" s="13" t="str">
        <x:v>2+2+N高端品销量</x:v>
      </x:c>
      <x:c r="B10" s="114" t="n">
        <x:v>16.589</x:v>
      </x:c>
      <x:c r="C10" s="114" t="n">
        <x:v>17.667</x:v>
      </x:c>
      <x:c r="D10" s="94" t="n">
        <x:v>0.065</x:v>
      </x:c>
      <x:c r="E10" s="13" t="str">
        <x:v>mn tonnes</x:v>
      </x:c>
      <x:c r="F10" s="13" t="str">
        <x:v>结构改善</x:v>
      </x:c>
    </x:row>
    <x:row r="11">
      <x:c r="A11" s="13" t="str">
        <x:v>高端品销量占比</x:v>
      </x:c>
      <x:c r="B11" s="114"/>
      <x:c r="C11" s="115" t="n">
        <x:f>C10/C8</x:f>
        <x:v>0.6879137138852115</x:v>
      </x:c>
      <x:c r="D11" s="94"/>
      <x:c r="E11" s="13" t="str">
        <x:v>%</x:v>
      </x:c>
      <x:c r="F11" s="13" t="str">
        <x:v>研究计算</x:v>
      </x:c>
    </x:row>
    <x:row r="12">
      <x:c r="A12" s="15" t="str">
        <x:v>出口接单</x:v>
      </x:c>
      <x:c r="B12" s="116" t="n">
        <x:v>3.32</x:v>
      </x:c>
      <x:c r="C12" s="116" t="n">
        <x:v>4.143</x:v>
      </x:c>
      <x:c r="D12" s="117" t="n">
        <x:v>0.248</x:v>
      </x:c>
      <x:c r="E12" s="15" t="str">
        <x:v>mn tonnes</x:v>
      </x:c>
      <x:c r="F12" s="15" t="str">
        <x:v>海外对冲内需</x:v>
      </x:c>
    </x:row>
    <x:row r="15">
      <x:c r="A15" s="18" t="str">
        <x:v>产品（2026H1）</x:v>
      </x:c>
      <x:c r="B15" s="19" t="str">
        <x:v>收入</x:v>
      </x:c>
      <x:c r="C15" s="19" t="str">
        <x:v>成本</x:v>
      </x:c>
      <x:c r="D15" s="19" t="str">
        <x:v>毛利</x:v>
      </x:c>
      <x:c r="E15" s="19" t="str">
        <x:v>毛利率</x:v>
      </x:c>
      <x:c r="F15" s="19" t="str">
        <x:v>毛利率同比</x:v>
      </x:c>
      <x:c r="G15" s="20" t="str">
        <x:v>收入同比</x:v>
      </x:c>
    </x:row>
    <x:row r="16">
      <x:c r="A16" s="10" t="str">
        <x:v>冷轧</x:v>
      </x:c>
      <x:c r="B16" s="128" t="n">
        <x:v>55972</x:v>
      </x:c>
      <x:c r="C16" s="128" t="n">
        <x:v>53235</x:v>
      </x:c>
      <x:c r="D16" s="128" t="n">
        <x:f>B16-C16</x:f>
        <x:v>2737</x:v>
      </x:c>
      <x:c r="E16" s="112" t="n">
        <x:v>0.049</x:v>
      </x:c>
      <x:c r="F16" s="112" t="n">
        <x:v>-0.027</x:v>
      </x:c>
      <x:c r="G16" s="112" t="n">
        <x:v>-0.001</x:v>
      </x:c>
    </x:row>
    <x:row r="17">
      <x:c r="A17" s="13" t="str">
        <x:v>热轧</x:v>
      </x:c>
      <x:c r="B17" s="103" t="n">
        <x:v>28548</x:v>
      </x:c>
      <x:c r="C17" s="103" t="n">
        <x:v>26639</x:v>
      </x:c>
      <x:c r="D17" s="103" t="n">
        <x:f>B17-C17</x:f>
        <x:v>1909</x:v>
      </x:c>
      <x:c r="E17" s="94" t="n">
        <x:v>0.067</x:v>
      </x:c>
      <x:c r="F17" s="94" t="n">
        <x:v>0.015</x:v>
      </x:c>
      <x:c r="G17" s="94" t="n">
        <x:v>-0.084</x:v>
      </x:c>
    </x:row>
    <x:row r="18">
      <x:c r="A18" s="13" t="str">
        <x:v>钢管</x:v>
      </x:c>
      <x:c r="B18" s="103" t="n">
        <x:v>6376</x:v>
      </x:c>
      <x:c r="C18" s="103" t="n">
        <x:v>6041</x:v>
      </x:c>
      <x:c r="D18" s="103" t="n">
        <x:f>B18-C18</x:f>
        <x:v>335</x:v>
      </x:c>
      <x:c r="E18" s="94" t="n">
        <x:v>0.053</x:v>
      </x:c>
      <x:c r="F18" s="94" t="n">
        <x:v>0.015</x:v>
      </x:c>
      <x:c r="G18" s="94" t="n">
        <x:v>0.013</x:v>
      </x:c>
    </x:row>
    <x:row r="19">
      <x:c r="A19" s="13" t="str">
        <x:v>长材</x:v>
      </x:c>
      <x:c r="B19" s="103" t="n">
        <x:v>6239</x:v>
      </x:c>
      <x:c r="C19" s="103" t="n">
        <x:v>6037</x:v>
      </x:c>
      <x:c r="D19" s="103" t="n">
        <x:f>B19-C19</x:f>
        <x:v>202</x:v>
      </x:c>
      <x:c r="E19" s="94" t="n">
        <x:v>0.032</x:v>
      </x:c>
      <x:c r="F19" s="94" t="n">
        <x:v>0.03</x:v>
      </x:c>
      <x:c r="G19" s="94" t="n">
        <x:v>0.27</x:v>
      </x:c>
    </x:row>
    <x:row r="20">
      <x:c r="A20" s="13" t="str">
        <x:v>厚板</x:v>
      </x:c>
      <x:c r="B20" s="103" t="n">
        <x:v>8038</x:v>
      </x:c>
      <x:c r="C20" s="103" t="n">
        <x:v>7899</x:v>
      </x:c>
      <x:c r="D20" s="103" t="n">
        <x:f>B20-C20</x:f>
        <x:v>139</x:v>
      </x:c>
      <x:c r="E20" s="94" t="n">
        <x:v>0.017</x:v>
      </x:c>
      <x:c r="F20" s="94" t="n">
        <x:v>-0.058</x:v>
      </x:c>
      <x:c r="G20" s="94" t="n">
        <x:v>-0.017</x:v>
      </x:c>
    </x:row>
    <x:row r="21">
      <x:c r="A21" s="13" t="str">
        <x:v>其他钢铁</x:v>
      </x:c>
      <x:c r="B21" s="103" t="n">
        <x:v>2505</x:v>
      </x:c>
      <x:c r="C21" s="103" t="n">
        <x:v>2323</x:v>
      </x:c>
      <x:c r="D21" s="103" t="n">
        <x:f>B21-C21</x:f>
        <x:v>182</x:v>
      </x:c>
      <x:c r="E21" s="94" t="n">
        <x:v>0.073</x:v>
      </x:c>
      <x:c r="F21" s="94" t="n">
        <x:v>0.026</x:v>
      </x:c>
      <x:c r="G21" s="94" t="n">
        <x:v>0.211</x:v>
      </x:c>
    </x:row>
    <x:row r="22">
      <x:c r="A22" s="129" t="str">
        <x:v>合计</x:v>
      </x:c>
      <x:c r="B22" s="130" t="n">
        <x:v>107678</x:v>
      </x:c>
      <x:c r="C22" s="130" t="n">
        <x:v>102173</x:v>
      </x:c>
      <x:c r="D22" s="130" t="n">
        <x:f>B22-C22</x:f>
        <x:v>5505</x:v>
      </x:c>
      <x:c r="E22" s="131" t="n">
        <x:v>0.051</x:v>
      </x:c>
      <x:c r="F22" s="131" t="n">
        <x:v>-0.012</x:v>
      </x:c>
      <x:c r="G22" s="131" t="n">
        <x:v>-0.009</x:v>
      </x:c>
    </x:row>
    <x:row r="25">
      <x:c r="A25" s="18" t="str">
        <x:v>业务分部（2026H1）</x:v>
      </x:c>
      <x:c r="B25" s="19" t="str">
        <x:v>收入</x:v>
      </x:c>
      <x:c r="C25" s="19" t="str">
        <x:v>成本</x:v>
      </x:c>
      <x:c r="D25" s="19" t="str">
        <x:v>毛利</x:v>
      </x:c>
      <x:c r="E25" s="19" t="str">
        <x:v>毛利率</x:v>
      </x:c>
      <x:c r="F25" s="19" t="str">
        <x:v>收入同比</x:v>
      </x:c>
      <x:c r="G25" s="19" t="str">
        <x:v>毛利率同比</x:v>
      </x:c>
      <x:c r="H25" s="20" t="str">
        <x:v>口径</x:v>
      </x:c>
    </x:row>
    <x:row r="26">
      <x:c r="A26" s="139" t="str">
        <x:v>钢铁制造</x:v>
      </x:c>
      <x:c r="B26" s="140" t="n">
        <x:v>114875</x:v>
      </x:c>
      <x:c r="C26" s="140" t="n">
        <x:v>109218</x:v>
      </x:c>
      <x:c r="D26" s="140" t="n">
        <x:f>B26-C26</x:f>
        <x:v>5657</x:v>
      </x:c>
      <x:c r="E26" s="141" t="n">
        <x:v>0.049</x:v>
      </x:c>
      <x:c r="F26" s="141" t="n">
        <x:v>-0.018</x:v>
      </x:c>
      <x:c r="G26" s="141" t="n">
        <x:v>-0.01</x:v>
      </x:c>
      <x:c r="H26" s="139" t="str">
        <x:v>含内部交易</x:v>
      </x:c>
    </x:row>
    <x:row r="27">
      <x:c r="A27" s="13" t="str">
        <x:v>加工配送</x:v>
      </x:c>
      <x:c r="B27" s="95" t="n">
        <x:v>138549</x:v>
      </x:c>
      <x:c r="C27" s="95" t="n">
        <x:v>136699</x:v>
      </x:c>
      <x:c r="D27" s="95" t="n">
        <x:f>B27-C27</x:f>
        <x:v>1850</x:v>
      </x:c>
      <x:c r="E27" s="94" t="n">
        <x:v>0.013</x:v>
      </x:c>
      <x:c r="F27" s="94" t="n">
        <x:v>-0.094</x:v>
      </x:c>
      <x:c r="G27" s="94" t="n">
        <x:v>0.002</x:v>
      </x:c>
      <x:c r="H27" s="13" t="str">
        <x:v>含内部交易</x:v>
      </x:c>
    </x:row>
    <x:row r="28">
      <x:c r="A28" s="13" t="str">
        <x:v>其他</x:v>
      </x:c>
      <x:c r="B28" s="95" t="n">
        <x:v>11807</x:v>
      </x:c>
      <x:c r="C28" s="95" t="n">
        <x:v>9702</x:v>
      </x:c>
      <x:c r="D28" s="95" t="n">
        <x:f>B28-C28</x:f>
        <x:v>2105</x:v>
      </x:c>
      <x:c r="E28" s="94" t="n">
        <x:v>0.178</x:v>
      </x:c>
      <x:c r="F28" s="94" t="n">
        <x:v>0.156</x:v>
      </x:c>
      <x:c r="G28" s="94" t="n">
        <x:v>-0.006</x:v>
      </x:c>
      <x:c r="H28" s="13" t="str">
        <x:v>含内部交易</x:v>
      </x:c>
    </x:row>
    <x:row r="29">
      <x:c r="A29" s="15" t="str">
        <x:v>分部间抵销</x:v>
      </x:c>
      <x:c r="B29" s="142" t="n">
        <x:v>-104500</x:v>
      </x:c>
      <x:c r="C29" s="142" t="n">
        <x:v>-104518</x:v>
      </x:c>
      <x:c r="D29" s="142" t="n">
        <x:f>B29-C29</x:f>
        <x:v>18</x:v>
      </x:c>
      <x:c r="E29" s="117"/>
      <x:c r="F29" s="117"/>
      <x:c r="G29" s="117"/>
      <x:c r="H29" s="15" t="str">
        <x:v>合并抵销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37" hidden="0" customWidth="1"/>
    <x:col min="5" max="5" width="3" hidden="0" customWidth="1"/>
    <x:col min="6" max="6" width="34" hidden="0" customWidth="1"/>
    <x:col min="7" max="7" width="31" hidden="0" customWidth="1"/>
  </x:cols>
  <x:sheetData>
    <x:row r="1" ht="30" customHeight="1">
      <x:c r="A1" s="3" t="str">
        <x:v>资产负债、现金流与资本配置</x:v>
      </x:c>
      <x:c r="B1" s="3" t="str">
        <x:v>资产负债、现金流与资本配置</x:v>
      </x:c>
      <x:c r="C1" s="3" t="str">
        <x:v>资产负债、现金流与资本配置</x:v>
      </x:c>
      <x:c r="D1" s="3" t="str">
        <x:v>资产负债、现金流与资本配置</x:v>
      </x:c>
      <x:c r="E1" s="3" t="str">
        <x:v>资产负债、现金流与资本配置</x:v>
      </x:c>
      <x:c r="F1" s="3" t="str">
        <x:v>资产负债、现金流与资本配置</x:v>
      </x:c>
      <x:c r="G1" s="3" t="str">
        <x:v>资产负债、现金流与资本配置</x:v>
      </x:c>
    </x:row>
    <x:row r="3">
      <x:c r="A3" s="18" t="str">
        <x:v>资产负债表（RMB mn）</x:v>
      </x:c>
      <x:c r="B3" s="19" t="str">
        <x:v>2025-12-31</x:v>
      </x:c>
      <x:c r="C3" s="19" t="str">
        <x:v>2026-06-30</x:v>
      </x:c>
      <x:c r="D3" s="20" t="str">
        <x:v>变化</x:v>
      </x:c>
      <x:c r="F3" s="18" t="str">
        <x:v>现金流质量</x:v>
      </x:c>
      <x:c r="G3" s="20" t="str">
        <x:v>数值/判断</x:v>
      </x:c>
    </x:row>
    <x:row r="4">
      <x:c r="A4" s="10" t="str">
        <x:v>货币资金</x:v>
      </x:c>
      <x:c r="B4" s="128" t="n">
        <x:v>19158.392</x:v>
      </x:c>
      <x:c r="C4" s="128" t="n">
        <x:v>23257.79</x:v>
      </x:c>
      <x:c r="D4" s="112" t="n">
        <x:f>C4/B4-1</x:f>
        <x:v>0.21397401201520472</x:v>
      </x:c>
      <x:c r="F4" s="10" t="str">
        <x:v>2025经营现金流</x:v>
      </x:c>
      <x:c r="G4" s="93" t="n">
        <x:v>33597.183</x:v>
      </x:c>
    </x:row>
    <x:row r="5">
      <x:c r="A5" s="13" t="str">
        <x:v>应收账款</x:v>
      </x:c>
      <x:c r="B5" s="103" t="n">
        <x:v>13804.4</x:v>
      </x:c>
      <x:c r="C5" s="103" t="n">
        <x:v>14376.3</x:v>
      </x:c>
      <x:c r="D5" s="94" t="n">
        <x:f>C5/B5-1</x:f>
        <x:v>0.041428819796586636</x:v>
      </x:c>
      <x:c r="F5" s="13" t="str">
        <x:v>2025资本开支</x:v>
      </x:c>
      <x:c r="G5" s="95" t="n">
        <x:v>18507</x:v>
      </x:c>
    </x:row>
    <x:row r="6">
      <x:c r="A6" s="13" t="str">
        <x:v>应收款项融资</x:v>
      </x:c>
      <x:c r="B6" s="103" t="n">
        <x:v>10995</x:v>
      </x:c>
      <x:c r="C6" s="103" t="n">
        <x:v>9039.4</x:v>
      </x:c>
      <x:c r="D6" s="94" t="n">
        <x:f>C6/B6-1</x:f>
        <x:v>-0.17786266484765811</x:v>
      </x:c>
      <x:c r="F6" s="99" t="str">
        <x:v>2025简化FCF</x:v>
      </x:c>
      <x:c r="G6" s="100" t="n">
        <x:f>G4-G5</x:f>
        <x:v>15090.182999999997</x:v>
      </x:c>
    </x:row>
    <x:row r="7">
      <x:c r="A7" s="13" t="str">
        <x:v>存货</x:v>
      </x:c>
      <x:c r="B7" s="103" t="n">
        <x:v>37211.8</x:v>
      </x:c>
      <x:c r="C7" s="103" t="n">
        <x:v>40393.6</x:v>
      </x:c>
      <x:c r="D7" s="94" t="n">
        <x:f>C7/B7-1</x:f>
        <x:v>0.0855051354677816</x:v>
      </x:c>
      <x:c r="F7" s="13" t="str">
        <x:v>2025应付项目贡献</x:v>
      </x:c>
      <x:c r="G7" s="95" t="n">
        <x:v>3644.6</x:v>
      </x:c>
    </x:row>
    <x:row r="8">
      <x:c r="A8" s="150" t="str">
        <x:v>流动资产</x:v>
      </x:c>
      <x:c r="B8" s="151" t="n">
        <x:v>118390.292</x:v>
      </x:c>
      <x:c r="C8" s="151" t="n">
        <x:v>124382.556</x:v>
      </x:c>
      <x:c r="D8" s="152" t="n">
        <x:f>C8/B8-1</x:f>
        <x:v>0.050614487883854586</x:v>
      </x:c>
      <x:c r="F8" s="13" t="str">
        <x:v>应付项目同比改善</x:v>
      </x:c>
      <x:c r="G8" s="95" t="n">
        <x:v>14769.6</x:v>
      </x:c>
    </x:row>
    <x:row r="9">
      <x:c r="A9" s="13" t="str">
        <x:v>固定资产</x:v>
      </x:c>
      <x:c r="B9" s="103" t="n">
        <x:v>146969.6</x:v>
      </x:c>
      <x:c r="C9" s="103" t="n">
        <x:v>151395.8</x:v>
      </x:c>
      <x:c r="D9" s="94" t="n">
        <x:f>C9/B9-1</x:f>
        <x:v>0.03011643224176952</x:v>
      </x:c>
      <x:c r="F9" s="13" t="str">
        <x:v>2026H1经营现金流</x:v>
      </x:c>
      <x:c r="G9" s="95" t="n">
        <x:v>14814.897</x:v>
      </x:c>
    </x:row>
    <x:row r="10">
      <x:c r="A10" s="13" t="str">
        <x:v>在建工程</x:v>
      </x:c>
      <x:c r="B10" s="103" t="n">
        <x:v>13701.3</x:v>
      </x:c>
      <x:c r="C10" s="103" t="n">
        <x:v>10344.3</x:v>
      </x:c>
      <x:c r="D10" s="94" t="n">
        <x:f>C10/B10-1</x:f>
        <x:v>-0.2450132469181756</x:v>
      </x:c>
      <x:c r="F10" s="13" t="str">
        <x:v>2026H1资本开支</x:v>
      </x:c>
      <x:c r="G10" s="95" t="n">
        <x:v>9183.9</x:v>
      </x:c>
    </x:row>
    <x:row r="11">
      <x:c r="A11" s="13" t="str">
        <x:v>长期股权投资</x:v>
      </x:c>
      <x:c r="B11" s="103" t="n">
        <x:v>53767.529</x:v>
      </x:c>
      <x:c r="C11" s="103" t="n">
        <x:v>53762.5</x:v>
      </x:c>
      <x:c r="D11" s="94" t="n">
        <x:f>C11/B11-1</x:f>
        <x:v>-0.00009353228786102008</x:v>
      </x:c>
      <x:c r="F11" s="99" t="str">
        <x:v>2026H1简化FCF</x:v>
      </x:c>
      <x:c r="G11" s="100" t="n">
        <x:f>G9-G10</x:f>
        <x:v>5630.997000000001</x:v>
      </x:c>
    </x:row>
    <x:row r="12">
      <x:c r="A12" s="13" t="str">
        <x:v>总资产</x:v>
      </x:c>
      <x:c r="B12" s="103" t="n">
        <x:v>363020.038</x:v>
      </x:c>
      <x:c r="C12" s="103" t="n">
        <x:v>369837.249</x:v>
      </x:c>
      <x:c r="D12" s="94" t="n">
        <x:f>C12/B12-1</x:f>
        <x:v>0.01877915896201854</x:v>
      </x:c>
      <x:c r="F12" s="13" t="str">
        <x:v>2026H1存货占款</x:v>
      </x:c>
      <x:c r="G12" s="95" t="n">
        <x:v>-2910.6</x:v>
      </x:c>
    </x:row>
    <x:row r="13">
      <x:c r="A13" s="13" t="str">
        <x:v>短期借款</x:v>
      </x:c>
      <x:c r="B13" s="103" t="n">
        <x:v>5251.507</x:v>
      </x:c>
      <x:c r="C13" s="103" t="n">
        <x:v>6826.613</x:v>
      </x:c>
      <x:c r="D13" s="94" t="n">
        <x:f>C13/B13-1</x:f>
        <x:v>0.2999340951083185</x:v>
      </x:c>
      <x:c r="F13" s="15" t="str">
        <x:v>2026H1应付项目贡献</x:v>
      </x:c>
      <x:c r="G13" s="142" t="n">
        <x:v>3251.5</x:v>
      </x:c>
    </x:row>
    <x:row r="14">
      <x:c r="A14" s="13" t="str">
        <x:v>一年内到期非流动负债</x:v>
      </x:c>
      <x:c r="B14" s="103" t="n">
        <x:v>21903.017</x:v>
      </x:c>
      <x:c r="C14" s="103" t="n">
        <x:v>22448.731</x:v>
      </x:c>
      <x:c r="D14" s="94" t="n">
        <x:f>C14/B14-1</x:f>
        <x:v>0.02491501513239025</x:v>
      </x:c>
    </x:row>
    <x:row r="15">
      <x:c r="A15" s="13" t="str">
        <x:v>长期借款</x:v>
      </x:c>
      <x:c r="B15" s="103" t="n">
        <x:v>4841.078</x:v>
      </x:c>
      <x:c r="C15" s="103" t="n">
        <x:v>4615.549</x:v>
      </x:c>
      <x:c r="D15" s="94" t="n">
        <x:f>C15/B15-1</x:f>
        <x:v>-0.04658652473684588</x:v>
      </x:c>
    </x:row>
    <x:row r="16">
      <x:c r="A16" s="13" t="str">
        <x:v>应付债券</x:v>
      </x:c>
      <x:c r="B16" s="103" t="n">
        <x:v>5000</x:v>
      </x:c>
      <x:c r="C16" s="103" t="n">
        <x:v>0</x:v>
      </x:c>
      <x:c r="D16" s="94" t="n">
        <x:f>C16/B16-1</x:f>
        <x:v>-1</x:v>
      </x:c>
      <x:c r="F16" s="18" t="str">
        <x:v>资本配置</x:v>
      </x:c>
      <x:c r="G16" s="20" t="str">
        <x:v>RMB mn/判断</x:v>
      </x:c>
    </x:row>
    <x:row r="17">
      <x:c r="A17" s="13" t="str">
        <x:v>租赁负债</x:v>
      </x:c>
      <x:c r="B17" s="103" t="n">
        <x:v>5341.716</x:v>
      </x:c>
      <x:c r="C17" s="103" t="n">
        <x:v>5087.695</x:v>
      </x:c>
      <x:c r="D17" s="94" t="n">
        <x:f>C17/B17-1</x:f>
        <x:v>-0.047554194195273736</x:v>
      </x:c>
      <x:c r="F17" s="10" t="str">
        <x:v>2025股权投资支出</x:v>
      </x:c>
      <x:c r="G17" s="128" t="n">
        <x:v>11520</x:v>
      </x:c>
    </x:row>
    <x:row r="18">
      <x:c r="A18" s="13" t="str">
        <x:v>长期应付款</x:v>
      </x:c>
      <x:c r="B18" s="103" t="n">
        <x:v>312.455</x:v>
      </x:c>
      <x:c r="C18" s="103" t="n">
        <x:v>2024.21</x:v>
      </x:c>
      <x:c r="D18" s="94" t="n">
        <x:f>C18/B18-1</x:f>
        <x:v>5.478404890304204</x:v>
      </x:c>
      <x:c r="F18" s="150" t="str">
        <x:v>马钢有限累计投入</x:v>
      </x:c>
      <x:c r="G18" s="151" t="n">
        <x:v>9000</x:v>
      </x:c>
    </x:row>
    <x:row r="19">
      <x:c r="A19" s="96" t="str">
        <x:v>流动负债</x:v>
      </x:c>
      <x:c r="B19" s="153" t="n">
        <x:v>119638.588</x:v>
      </x:c>
      <x:c r="C19" s="153" t="n">
        <x:v>130254.794</x:v>
      </x:c>
      <x:c r="D19" s="154" t="n">
        <x:f>C19/B19-1</x:f>
        <x:v>0.0887356343590413</x:v>
      </x:c>
      <x:c r="F19" s="150" t="str">
        <x:v>马钢有限H1权益收益</x:v>
      </x:c>
      <x:c r="G19" s="151" t="n">
        <x:v>14.203</x:v>
      </x:c>
    </x:row>
    <x:row r="20">
      <x:c r="A20" s="155" t="str">
        <x:v>归母权益</x:v>
      </x:c>
      <x:c r="B20" s="156" t="n">
        <x:v>206165.305</x:v>
      </x:c>
      <x:c r="C20" s="156" t="n">
        <x:v>206223.051</x:v>
      </x:c>
      <x:c r="D20" s="157" t="n">
        <x:f>C20/B20-1</x:f>
        <x:v>0.00028009562520714404</x:v>
      </x:c>
      <x:c r="F20" s="150" t="str">
        <x:v>山钢日照期末账面</x:v>
      </x:c>
      <x:c r="G20" s="151" t="n">
        <x:v>10876.458</x:v>
      </x:c>
    </x:row>
    <x:row r="21">
      <x:c r="F21" s="150" t="str">
        <x:v>山钢日照H1权益收益</x:v>
      </x:c>
      <x:c r="G21" s="151" t="n">
        <x:v>55.443</x:v>
      </x:c>
    </x:row>
    <x:row r="22">
      <x:c r="F22" s="13" t="str">
        <x:v>2026H1中期分红</x:v>
      </x:c>
      <x:c r="G22" s="103" t="n">
        <x:v>2826.889</x:v>
      </x:c>
    </x:row>
    <x:row r="23">
      <x:c r="A23" s="18" t="str">
        <x:v>研究计算</x:v>
      </x:c>
      <x:c r="B23" s="19" t="str">
        <x:v>数值</x:v>
      </x:c>
      <x:c r="C23" s="19" t="str">
        <x:v>单位</x:v>
      </x:c>
      <x:c r="D23" s="20" t="str">
        <x:v>说明</x:v>
      </x:c>
      <x:c r="F23" s="13" t="str">
        <x:v>2025每股分红</x:v>
      </x:c>
      <x:c r="G23" s="13" t="str">
        <x:v>RMB 0.30</x:v>
      </x:c>
    </x:row>
    <x:row r="24">
      <x:c r="A24" s="10" t="str">
        <x:v>流动比率</x:v>
      </x:c>
      <x:c r="B24" s="164" t="n">
        <x:f>C8/C19</x:f>
        <x:v>0.9549172984757859</x:v>
      </x:c>
      <x:c r="C24" s="10" t="str">
        <x:v>x</x:v>
      </x:c>
      <x:c r="D24" s="10" t="str">
        <x:v>流动资产/流动负债</x:v>
      </x:c>
      <x:c r="F24" s="15" t="str">
        <x:v>核心问题</x:v>
      </x:c>
      <x:c r="G24" s="15" t="str">
        <x:v>分红与低回报整合投资并存</x:v>
      </x:c>
    </x:row>
    <x:row r="25">
      <x:c r="A25" s="13" t="str">
        <x:v>每股净资产</x:v>
      </x:c>
      <x:c r="B25" s="102" t="n">
        <x:f>C20/'Assumptions'!B5</x:f>
        <x:v>9.483568432900134</x:v>
      </x:c>
      <x:c r="C25" s="13" t="str">
        <x:v>RMB/股</x:v>
      </x:c>
      <x:c r="D25" s="13" t="str">
        <x:v>归母权益/经济股本</x:v>
      </x:c>
    </x:row>
    <x:row r="26">
      <x:c r="A26" s="150" t="str">
        <x:v>广义净债务</x:v>
      </x:c>
      <x:c r="B26" s="151" t="n">
        <x:f>C13+C14+C15+C16+C17+C18-C4</x:f>
        <x:v>17745.008</x:v>
      </x:c>
      <x:c r="C26" s="150" t="str">
        <x:v>RMB mn</x:v>
      </x:c>
      <x:c r="D26" s="150" t="str">
        <x:v>含租赁与长期应付款；不用于直接加回</x:v>
      </x:c>
    </x:row>
    <x:row r="27">
      <x:c r="A27" s="150" t="str">
        <x:v>重点联营投资账面价值</x:v>
      </x:c>
      <x:c r="B27" s="151" t="n">
        <x:f>10876.458+8870.508</x:f>
        <x:v>19746.966</x:v>
      </x:c>
      <x:c r="C27" s="150" t="str">
        <x:v>RMB mn</x:v>
      </x:c>
      <x:c r="D27" s="150" t="str">
        <x:v>2026H1期末</x:v>
      </x:c>
    </x:row>
    <x:row r="28">
      <x:c r="A28" s="150" t="str">
        <x:v>马钢有限+山钢日照H1收益</x:v>
      </x:c>
      <x:c r="B28" s="151" t="n">
        <x:f>55.443+14.203</x:f>
        <x:v>69.646</x:v>
      </x:c>
      <x:c r="C28" s="150" t="str">
        <x:v>RMB mn</x:v>
      </x:c>
      <x:c r="D28" s="150" t="str">
        <x:v>权益法收益</x:v>
      </x:c>
    </x:row>
    <x:row r="29">
      <x:c r="A29" s="150" t="str">
        <x:v>重点联营投资H1收益率</x:v>
      </x:c>
      <x:c r="B29" s="165" t="n">
        <x:f>B28/B27</x:f>
        <x:v>0.0035269215534173707</x:v>
      </x:c>
      <x:c r="C29" s="150" t="str">
        <x:v>%</x:v>
      </x:c>
      <x:c r="D29" s="150" t="str">
        <x:v>半年度，未年化</x:v>
      </x:c>
    </x:row>
    <x:row r="30">
      <x:c r="A30" s="150" t="str">
        <x:v>宝武财务公司存款/现金</x:v>
      </x:c>
      <x:c r="B30" s="166" t="n">
        <x:f>11027.096/C4</x:f>
        <x:v>0.4741248416122082</x:v>
      </x:c>
      <x:c r="C30" s="150" t="str">
        <x:v>%</x:v>
      </x:c>
      <x:c r="D30" s="150" t="str">
        <x:v>关联资金集中度</x:v>
      </x:c>
    </x:row>
    <x:row r="31">
      <x:c r="A31" s="15" t="str">
        <x:v>2026H1资本开支/收入</x:v>
      </x:c>
      <x:c r="B31" s="167" t="n">
        <x:f>'Historical'!F13/'Historical'!F4</x:f>
        <x:v>0.05713815222411559</x:v>
      </x:c>
      <x:c r="C31" s="15" t="str">
        <x:v>%</x:v>
      </x:c>
      <x:c r="D31" s="15" t="str">
        <x:v>购建长期资产现金/收入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41" hidden="0" customWidth="1"/>
  </x:cols>
  <x:sheetData>
    <x:row r="1" ht="30" customHeight="1">
      <x:c r="A1" s="3" t="str">
        <x:v>市场、股本与估值假设</x:v>
      </x:c>
      <x:c r="B1" s="3" t="str">
        <x:v>市场、股本与估值假设</x:v>
      </x:c>
      <x:c r="C1" s="3" t="str">
        <x:v>市场、股本与估值假设</x:v>
      </x:c>
      <x:c r="D1" s="3" t="str">
        <x:v>市场、股本与估值假设</x:v>
      </x:c>
      <x:c r="E1" s="3" t="str">
        <x:v>市场、股本与估值假设</x:v>
      </x:c>
      <x:c r="F1" s="3" t="str">
        <x:v>市场、股本与估值假设</x:v>
      </x:c>
      <x:c r="G1" s="3" t="str">
        <x:v>市场、股本与估值假设</x:v>
      </x:c>
    </x:row>
    <x:row r="3">
      <x:c r="A3" s="18" t="str">
        <x:v>市场/资本输入</x:v>
      </x:c>
      <x:c r="B3" s="19" t="str">
        <x:v>数值</x:v>
      </x:c>
      <x:c r="C3" s="19" t="str">
        <x:v>单位</x:v>
      </x:c>
      <x:c r="D3" s="20" t="str">
        <x:v>来源/说明</x:v>
      </x:c>
    </x:row>
    <x:row r="4">
      <x:c r="A4" s="10" t="str">
        <x:v>参考股价</x:v>
      </x:c>
      <x:c r="B4" s="170" t="n">
        <x:v>5.75</x:v>
      </x:c>
      <x:c r="C4" s="10" t="str">
        <x:v>RMB/股</x:v>
      </x:c>
      <x:c r="D4" s="10" t="str">
        <x:v>2026-09-07收盘，M1</x:v>
      </x:c>
    </x:row>
    <x:row r="5">
      <x:c r="A5" s="13" t="str">
        <x:v>经济股本</x:v>
      </x:c>
      <x:c r="B5" s="171" t="n">
        <x:v>21745.301092</x:v>
      </x:c>
      <x:c r="C5" s="13" t="str">
        <x:v>mn shares</x:v>
      </x:c>
      <x:c r="D5" s="13" t="str">
        <x:v>2026年7月末分红基数，S1</x:v>
      </x:c>
    </x:row>
    <x:row r="6">
      <x:c r="A6" s="13" t="str">
        <x:v>参考市值</x:v>
      </x:c>
      <x:c r="B6" s="103" t="n">
        <x:f>B4*B5</x:f>
        <x:v>125035.48127900001</x:v>
      </x:c>
      <x:c r="C6" s="13" t="str">
        <x:v>RMB mn</x:v>
      </x:c>
      <x:c r="D6" s="13" t="str">
        <x:v>股价×经济股本</x:v>
      </x:c>
    </x:row>
    <x:row r="7">
      <x:c r="A7" s="13" t="str">
        <x:v>2026H1归母权益</x:v>
      </x:c>
      <x:c r="B7" s="103" t="n">
        <x:v>206223.051</x:v>
      </x:c>
      <x:c r="C7" s="13" t="str">
        <x:v>RMB mn</x:v>
      </x:c>
      <x:c r="D7" s="13" t="str">
        <x:v>S1</x:v>
      </x:c>
    </x:row>
    <x:row r="8">
      <x:c r="A8" s="13" t="str">
        <x:v>每股净资产</x:v>
      </x:c>
      <x:c r="B8" s="102" t="n">
        <x:f>B7/B5</x:f>
        <x:v>9.483568432900134</x:v>
      </x:c>
      <x:c r="C8" s="13" t="str">
        <x:v>RMB/股</x:v>
      </x:c>
      <x:c r="D8" s="13" t="str">
        <x:v>归母权益/经济股本</x:v>
      </x:c>
    </x:row>
    <x:row r="9">
      <x:c r="A9" s="13" t="str">
        <x:v>2025每股分红</x:v>
      </x:c>
      <x:c r="B9" s="102" t="n">
        <x:v>0.3</x:v>
      </x:c>
      <x:c r="C9" s="13" t="str">
        <x:v>RMB/股</x:v>
      </x:c>
      <x:c r="D9" s="13" t="str">
        <x:v>S2</x:v>
      </x:c>
    </x:row>
    <x:row r="10">
      <x:c r="A10" s="15" t="str">
        <x:v>2024—2026每股分红下限</x:v>
      </x:c>
      <x:c r="B10" s="172" t="n">
        <x:v>0.2</x:v>
      </x:c>
      <x:c r="C10" s="15" t="str">
        <x:v>RMB/股</x:v>
      </x:c>
      <x:c r="D10" s="15" t="str">
        <x:v>S4</x:v>
      </x:c>
    </x:row>
    <x:row r="13">
      <x:c r="A13" s="18" t="str">
        <x:v>情景</x:v>
      </x:c>
      <x:c r="B13" s="19" t="str">
        <x:v>Bear</x:v>
      </x:c>
      <x:c r="C13" s="19" t="str">
        <x:v>Base</x:v>
      </x:c>
      <x:c r="D13" s="19" t="str">
        <x:v>Bull</x:v>
      </x:c>
      <x:c r="E13" s="19" t="str">
        <x:v>单位</x:v>
      </x:c>
      <x:c r="F13" s="19" t="str">
        <x:v>估值权重</x:v>
      </x:c>
      <x:c r="G13" s="20" t="str">
        <x:v>情景定义</x:v>
      </x:c>
    </x:row>
    <x:row r="14">
      <x:c r="A14" s="10" t="str">
        <x:v>正常化归母净利润</x:v>
      </x:c>
      <x:c r="B14" s="184" t="n">
        <x:v>7000</x:v>
      </x:c>
      <x:c r="C14" s="184" t="n">
        <x:v>11000</x:v>
      </x:c>
      <x:c r="D14" s="184" t="n">
        <x:v>15000</x:v>
      </x:c>
      <x:c r="E14" s="10" t="str">
        <x:v>RMB mn</x:v>
      </x:c>
      <x:c r="F14" s="185" t="n">
        <x:v>0.4</x:v>
      </x:c>
      <x:c r="G14" s="10" t="str">
        <x:v>不直接年化H1</x:v>
      </x:c>
    </x:row>
    <x:row r="15">
      <x:c r="A15" s="96" t="str">
        <x:v>P/E</x:v>
      </x:c>
      <x:c r="B15" s="186" t="n">
        <x:v>8</x:v>
      </x:c>
      <x:c r="C15" s="186" t="n">
        <x:v>11</x:v>
      </x:c>
      <x:c r="D15" s="186" t="n">
        <x:v>14</x:v>
      </x:c>
      <x:c r="E15" s="96" t="str">
        <x:v>x</x:v>
      </x:c>
      <x:c r="F15" s="187" t="n">
        <x:v>0.4</x:v>
      </x:c>
      <x:c r="G15" s="96" t="str">
        <x:v>周期股正常化倍数</x:v>
      </x:c>
    </x:row>
    <x:row r="16">
      <x:c r="A16" s="96" t="str">
        <x:v>P/B</x:v>
      </x:c>
      <x:c r="B16" s="186" t="n">
        <x:v>0.45</x:v>
      </x:c>
      <x:c r="C16" s="186" t="n">
        <x:v>0.7</x:v>
      </x:c>
      <x:c r="D16" s="186" t="n">
        <x:v>1</x:v>
      </x:c>
      <x:c r="E16" s="96" t="str">
        <x:v>x</x:v>
      </x:c>
      <x:c r="F16" s="187" t="n">
        <x:v>0.6</x:v>
      </x:c>
      <x:c r="G16" s="96" t="str">
        <x:v>ROE与资产质量约束</x:v>
      </x:c>
    </x:row>
    <x:row r="17">
      <x:c r="A17" s="13" t="str">
        <x:v>股息参考</x:v>
      </x:c>
      <x:c r="B17" s="102" t="n">
        <x:v>0.2</x:v>
      </x:c>
      <x:c r="C17" s="102" t="n">
        <x:v>0.3</x:v>
      </x:c>
      <x:c r="D17" s="102" t="n">
        <x:v>0.36</x:v>
      </x:c>
      <x:c r="E17" s="13" t="str">
        <x:v>RMB/股</x:v>
      </x:c>
      <x:c r="F17" s="13"/>
      <x:c r="G17" s="13" t="str">
        <x:v>Bear取承诺下限</x:v>
      </x:c>
    </x:row>
    <x:row r="18">
      <x:c r="A18" s="15" t="str">
        <x:v>核心逻辑</x:v>
      </x:c>
      <x:c r="B18" s="188" t="str">
        <x:v>价差恶化、资本回报低</x:v>
      </x:c>
      <x:c r="C18" s="188" t="str">
        <x:v>中周期利润、资产折价</x:v>
      </x:c>
      <x:c r="D18" s="188" t="str">
        <x:v>行业纪律和高端品兑现</x:v>
      </x:c>
      <x:c r="E18" s="188" t="str">
        <x:v>研究判断</x:v>
      </x:c>
      <x:c r="F18" s="188"/>
      <x:c r="G18" s="188" t="str">
        <x:v>不是公司指引或一致预期</x:v>
      </x:c>
    </x:row>
    <x:row r="21">
      <x:c r="A21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B21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C21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D21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E21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F21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G21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</x:row>
    <x:row r="22">
      <x:c r="A22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B22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C22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D22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E22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F22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G22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</x:row>
    <x:row r="23">
      <x:c r="A23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B23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C23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D23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E23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F23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G23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</x:row>
    <x:row r="24">
      <x:c r="A24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B24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C24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D24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E24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F24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G24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</x:row>
    <x:row r="25">
      <x:c r="A25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B25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C25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D25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E25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F25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  <x:c r="G25" s="191" t="str">
        <x:v>P/B作为60%主方法，因为钢铁资产资本密集且盈利强周期；正常化P/E占40%，用于避免仅按账面价值忽略资产回报。Base正常化归母利润110亿元略高于2025年、低于历史较好年份；0.70倍P/B仍给予低ROE与整合投资折价。情景假设均为研究判断，不是公司指引。</x:v>
      </x:c>
    </x:row>
  </x:sheetData>
  <x:mergeCells>
    <x:mergeCell ref="A1:G1"/>
    <x:mergeCell ref="A21:G2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0" customHeight="1">
      <x:c r="A1" s="3" t="str">
        <x:v>60% P/B + 40%正常化归母P/E</x:v>
      </x:c>
      <x:c r="B1" s="3" t="str">
        <x:v>60% P/B + 40%正常化归母P/E</x:v>
      </x:c>
      <x:c r="C1" s="3" t="str">
        <x:v>60% P/B + 40%正常化归母P/E</x:v>
      </x:c>
      <x:c r="D1" s="3" t="str">
        <x:v>60% P/B + 40%正常化归母P/E</x:v>
      </x:c>
      <x:c r="E1" s="3" t="str">
        <x:v>60% P/B + 40%正常化归母P/E</x:v>
      </x:c>
      <x:c r="F1" s="3" t="str">
        <x:v>60% P/B + 40%正常化归母P/E</x:v>
      </x:c>
      <x:c r="G1" s="3" t="str">
        <x:v>60% P/B + 40%正常化归母P/E</x:v>
      </x:c>
      <x:c r="H1" s="3" t="str">
        <x:v>60% P/B + 40%正常化归母P/E</x:v>
      </x:c>
      <x:c r="I1" s="3" t="str">
        <x:v>60% P/B + 40%正常化归母P/E</x:v>
      </x:c>
      <x:c r="J1" s="3" t="str">
        <x:v>60% P/B + 40%正常化归母P/E</x:v>
      </x:c>
    </x:row>
    <x:row r="3">
      <x:c r="A3" s="18" t="str">
        <x:v>当前估值</x:v>
      </x:c>
      <x:c r="B3" s="19" t="str">
        <x:v>数值</x:v>
      </x:c>
      <x:c r="C3" s="20" t="str">
        <x:v>说明</x:v>
      </x:c>
    </x:row>
    <x:row r="4">
      <x:c r="A4" s="10" t="str">
        <x:v>参考股价</x:v>
      </x:c>
      <x:c r="B4" s="170" t="n">
        <x:f>'Assumptions'!B4</x:f>
        <x:v>5.75</x:v>
      </x:c>
      <x:c r="C4" s="10" t="str">
        <x:v>RMB/股</x:v>
      </x:c>
    </x:row>
    <x:row r="5">
      <x:c r="A5" s="13" t="str">
        <x:v>经济股本</x:v>
      </x:c>
      <x:c r="B5" s="103" t="n">
        <x:f>'Assumptions'!B5</x:f>
        <x:v>21745.301092</x:v>
      </x:c>
      <x:c r="C5" s="13" t="str">
        <x:v>mn shares</x:v>
      </x:c>
    </x:row>
    <x:row r="6">
      <x:c r="A6" s="13" t="str">
        <x:v>参考市值</x:v>
      </x:c>
      <x:c r="B6" s="103" t="n">
        <x:f>'Assumptions'!B6</x:f>
        <x:v>125035.48127900001</x:v>
      </x:c>
      <x:c r="C6" s="13" t="str">
        <x:v>RMB mn</x:v>
      </x:c>
    </x:row>
    <x:row r="7">
      <x:c r="A7" s="13" t="str">
        <x:v>每股净资产</x:v>
      </x:c>
      <x:c r="B7" s="102" t="n">
        <x:f>'Assumptions'!B8</x:f>
        <x:v>9.483568432900134</x:v>
      </x:c>
      <x:c r="C7" s="13" t="str">
        <x:v>RMB/股</x:v>
      </x:c>
    </x:row>
    <x:row r="8">
      <x:c r="A8" s="13" t="str">
        <x:v>TTM归母净利润</x:v>
      </x:c>
      <x:c r="B8" s="103" t="n">
        <x:f>'Historical'!D9-'Historical'!E9+'Historical'!F9</x:f>
        <x:v>10038.091999999999</x:v>
      </x:c>
      <x:c r="C8" s="13" t="str">
        <x:v>RMB mn</x:v>
      </x:c>
    </x:row>
    <x:row r="9">
      <x:c r="A9" s="13" t="str">
        <x:v>TTM EPS</x:v>
      </x:c>
      <x:c r="B9" s="196" t="n">
        <x:f>B8/B5</x:f>
        <x:v>0.46162120071508084</x:v>
      </x:c>
      <x:c r="C9" s="13" t="str">
        <x:v>RMB/股</x:v>
      </x:c>
    </x:row>
    <x:row r="10">
      <x:c r="A10" s="13" t="str">
        <x:v>TTM P/E</x:v>
      </x:c>
      <x:c r="B10" s="197" t="n">
        <x:f>B4/B9</x:f>
        <x:v>12.456100350445086</x:v>
      </x:c>
      <x:c r="C10" s="13" t="str">
        <x:v>x</x:v>
      </x:c>
    </x:row>
    <x:row r="11">
      <x:c r="A11" s="13" t="str">
        <x:v>当前P/B</x:v>
      </x:c>
      <x:c r="B11" s="197" t="n">
        <x:f>B4/B7</x:f>
        <x:v>0.6063118583140349</x:v>
      </x:c>
      <x:c r="C11" s="13" t="str">
        <x:v>x</x:v>
      </x:c>
    </x:row>
    <x:row r="12">
      <x:c r="A12" s="15" t="str">
        <x:v>2025历史股息率</x:v>
      </x:c>
      <x:c r="B12" s="167" t="n">
        <x:f>'Assumptions'!B9/B4</x:f>
        <x:v>0.05217391304347826</x:v>
      </x:c>
      <x:c r="C12" s="15" t="str">
        <x:v>%</x:v>
      </x:c>
    </x:row>
    <x:row r="14">
      <x:c r="A14" s="18" t="str">
        <x:v>情景</x:v>
      </x:c>
      <x:c r="B14" s="19" t="str">
        <x:v>正常化归母利润</x:v>
      </x:c>
      <x:c r="C14" s="19" t="str">
        <x:v>P/E</x:v>
      </x:c>
      <x:c r="D14" s="19" t="str">
        <x:v>P/E价值/股</x:v>
      </x:c>
      <x:c r="E14" s="19" t="str">
        <x:v>P/B</x:v>
      </x:c>
      <x:c r="F14" s="19" t="str">
        <x:v>P/B价值/股</x:v>
      </x:c>
      <x:c r="G14" s="19" t="str">
        <x:v>P/E权重</x:v>
      </x:c>
      <x:c r="H14" s="19" t="str">
        <x:v>加权价值/股</x:v>
      </x:c>
      <x:c r="I14" s="19" t="str">
        <x:v>相对参考价</x:v>
      </x:c>
      <x:c r="J14" s="20" t="str">
        <x:v>隐含股息率</x:v>
      </x:c>
    </x:row>
    <x:row r="15">
      <x:c r="A15" s="10" t="str">
        <x:v>Bear</x:v>
      </x:c>
      <x:c r="B15" s="184" t="n">
        <x:f>'Assumptions'!B14</x:f>
        <x:v>7000</x:v>
      </x:c>
      <x:c r="C15" s="164" t="n">
        <x:f>'Assumptions'!B15</x:f>
        <x:v>8</x:v>
      </x:c>
      <x:c r="D15" s="170" t="n">
        <x:f>B15*C15/$B$5</x:f>
        <x:v>2.5752690092942494</x:v>
      </x:c>
      <x:c r="E15" s="164" t="n">
        <x:f>'Assumptions'!B16</x:f>
        <x:v>0.45</x:v>
      </x:c>
      <x:c r="F15" s="170" t="n">
        <x:f>$B$7*E15</x:f>
        <x:v>4.2676057948050605</x:v>
      </x:c>
      <x:c r="G15" s="185" t="n">
        <x:f>'Assumptions'!F14</x:f>
        <x:v>0.4</x:v>
      </x:c>
      <x:c r="H15" s="42" t="n">
        <x:f>D15*G15+F15*(1-G15)</x:f>
        <x:v>3.5906710806007363</x:v>
      </x:c>
      <x:c r="I15" s="112" t="n">
        <x:f>H15/$B$4-1</x:f>
        <x:v>-0.37553546424335027</x:v>
      </x:c>
      <x:c r="J15" s="112" t="n">
        <x:f>'Assumptions'!B17/H15</x:f>
        <x:v>0.05569989439593533</x:v>
      </x:c>
    </x:row>
    <x:row r="16">
      <x:c r="A16" s="99" t="str">
        <x:v>Base</x:v>
      </x:c>
      <x:c r="B16" s="217" t="n">
        <x:f>'Assumptions'!C14</x:f>
        <x:v>11000</x:v>
      </x:c>
      <x:c r="C16" s="218" t="n">
        <x:f>'Assumptions'!C15</x:f>
        <x:v>11</x:v>
      </x:c>
      <x:c r="D16" s="219" t="n">
        <x:f>B16*C16/$B$5</x:f>
        <x:v>5.56442053793936</x:v>
      </x:c>
      <x:c r="E16" s="218" t="n">
        <x:f>'Assumptions'!C16</x:f>
        <x:v>0.7</x:v>
      </x:c>
      <x:c r="F16" s="219" t="n">
        <x:f>$B$7*E16</x:f>
        <x:v>6.6384979030300935</x:v>
      </x:c>
      <x:c r="G16" s="220" t="n">
        <x:f>'Assumptions'!F14</x:f>
        <x:v>0.4</x:v>
      </x:c>
      <x:c r="H16" s="221" t="n">
        <x:f>D16*G16+F16*(1-G16)</x:f>
        <x:v>6.2088669569938</x:v>
      </x:c>
      <x:c r="I16" s="222" t="n">
        <x:f>H16/$B$4-1</x:f>
        <x:v>0.07980294904239993</x:v>
      </x:c>
      <x:c r="J16" s="222" t="n">
        <x:f>'Assumptions'!C17/H16</x:f>
        <x:v>0.04831799458387067</x:v>
      </x:c>
    </x:row>
    <x:row r="17">
      <x:c r="A17" s="15" t="str">
        <x:v>Bull</x:v>
      </x:c>
      <x:c r="B17" s="223" t="n">
        <x:f>'Assumptions'!D14</x:f>
        <x:v>15000</x:v>
      </x:c>
      <x:c r="C17" s="224" t="n">
        <x:f>'Assumptions'!D15</x:f>
        <x:v>14</x:v>
      </x:c>
      <x:c r="D17" s="172" t="n">
        <x:f>B17*C17/$B$5</x:f>
        <x:v>9.657258784853434</x:v>
      </x:c>
      <x:c r="E17" s="224" t="n">
        <x:f>'Assumptions'!D16</x:f>
        <x:v>1</x:v>
      </x:c>
      <x:c r="F17" s="172" t="n">
        <x:f>$B$7*E17</x:f>
        <x:v>9.483568432900134</x:v>
      </x:c>
      <x:c r="G17" s="225" t="n">
        <x:f>'Assumptions'!F14</x:f>
        <x:v>0.4</x:v>
      </x:c>
      <x:c r="H17" s="226" t="n">
        <x:f>D17*G17+F17*(1-G17)</x:f>
        <x:v>9.553044573681454</x:v>
      </x:c>
      <x:c r="I17" s="117" t="n">
        <x:f>H17/$B$4-1</x:f>
        <x:v>0.6613990562924268</x:v>
      </x:c>
      <x:c r="J17" s="117" t="n">
        <x:f>'Assumptions'!D17/H17</x:f>
        <x:v>0.03768432118403347</x:v>
      </x:c>
    </x:row>
    <x:row r="20">
      <x:c r="A20" s="18" t="str">
        <x:v>Base每股价值敏感性（RMB/股）：行=正常化归母利润，列=P/B；P/E维持11x、权重40%</x:v>
      </x:c>
      <x:c r="B20" s="19" t="str">
        <x:v>Base每股价值敏感性（RMB/股）：行=正常化归母利润，列=P/B；P/E维持11x、权重40%</x:v>
      </x:c>
      <x:c r="C20" s="19" t="str">
        <x:v>Base每股价值敏感性（RMB/股）：行=正常化归母利润，列=P/B；P/E维持11x、权重40%</x:v>
      </x:c>
      <x:c r="D20" s="19" t="str">
        <x:v>Base每股价值敏感性（RMB/股）：行=正常化归母利润，列=P/B；P/E维持11x、权重40%</x:v>
      </x:c>
      <x:c r="E20" s="19" t="str">
        <x:v>Base每股价值敏感性（RMB/股）：行=正常化归母利润，列=P/B；P/E维持11x、权重40%</x:v>
      </x:c>
      <x:c r="F20" s="19" t="str">
        <x:v>Base每股价值敏感性（RMB/股）：行=正常化归母利润，列=P/B；P/E维持11x、权重40%</x:v>
      </x:c>
      <x:c r="G20" s="20" t="str">
        <x:v>Base每股价值敏感性（RMB/股）：行=正常化归母利润，列=P/B；P/E维持11x、权重40%</x:v>
      </x:c>
    </x:row>
    <x:row r="21">
      <x:c r="A21" s="56" t="str">
        <x:v>利润 / P/B</x:v>
      </x:c>
      <x:c r="B21" s="227" t="n">
        <x:v>0.5</x:v>
      </x:c>
      <x:c r="C21" s="227" t="n">
        <x:v>0.6</x:v>
      </x:c>
      <x:c r="D21" s="227" t="n">
        <x:v>0.7</x:v>
      </x:c>
      <x:c r="E21" s="227" t="n">
        <x:v>0.8</x:v>
      </x:c>
      <x:c r="F21" s="228" t="n">
        <x:v>0.9</x:v>
      </x:c>
    </x:row>
    <x:row r="22">
      <x:c r="A22" s="184" t="n">
        <x:v>8000</x:v>
      </x:c>
      <x:c r="B22" s="170" t="n">
        <x:f>($A22*'Assumptions'!$C$15/$B$5)*40%+($B$7*B$21)*60%</x:f>
        <x:v>4.4638110499978545</x:v>
      </x:c>
      <x:c r="C22" s="170" t="n">
        <x:f>($A22*'Assumptions'!$C$15/$B$5)*40%+($B$7*C$21)*60%</x:f>
        <x:v>5.032825155971862</x:v>
      </x:c>
      <x:c r="D22" s="170" t="n">
        <x:f>($A22*'Assumptions'!$C$15/$B$5)*40%+($B$7*D$21)*60%</x:f>
        <x:v>5.6018392619458695</x:v>
      </x:c>
      <x:c r="E22" s="170" t="n">
        <x:f>($A22*'Assumptions'!$C$15/$B$5)*40%+($B$7*E$21)*60%</x:f>
        <x:v>6.170853367919879</x:v>
      </x:c>
      <x:c r="F22" s="170" t="n">
        <x:f>($A22*'Assumptions'!$C$15/$B$5)*40%+($B$7*F$21)*60%</x:f>
        <x:v>6.739867473893886</x:v>
      </x:c>
    </x:row>
    <x:row r="23">
      <x:c r="A23" s="229" t="n">
        <x:v>9500</x:v>
      </x:c>
      <x:c r="B23" s="102" t="n">
        <x:f>($A23*'Assumptions'!$C$15/$B$5)*40%+($B$7*B$21)*60%</x:f>
        <x:v>4.767324897521819</x:v>
      </x:c>
      <x:c r="C23" s="102" t="n">
        <x:f>($A23*'Assumptions'!$C$15/$B$5)*40%+($B$7*C$21)*60%</x:f>
        <x:v>5.3363390034958265</x:v>
      </x:c>
      <x:c r="D23" s="102" t="n">
        <x:f>($A23*'Assumptions'!$C$15/$B$5)*40%+($B$7*D$21)*60%</x:f>
        <x:v>5.905353109469835</x:v>
      </x:c>
      <x:c r="E23" s="102" t="n">
        <x:f>($A23*'Assumptions'!$C$15/$B$5)*40%+($B$7*E$21)*60%</x:f>
        <x:v>6.474367215443843</x:v>
      </x:c>
      <x:c r="F23" s="102" t="n">
        <x:f>($A23*'Assumptions'!$C$15/$B$5)*40%+($B$7*F$21)*60%</x:f>
        <x:v>7.043381321417852</x:v>
      </x:c>
    </x:row>
    <x:row r="24">
      <x:c r="A24" s="229" t="n">
        <x:v>11000</x:v>
      </x:c>
      <x:c r="B24" s="102" t="n">
        <x:f>($A24*'Assumptions'!$C$15/$B$5)*40%+($B$7*B$21)*60%</x:f>
        <x:v>5.0708387450457835</x:v>
      </x:c>
      <x:c r="C24" s="102" t="n">
        <x:f>($A24*'Assumptions'!$C$15/$B$5)*40%+($B$7*C$21)*60%</x:f>
        <x:v>5.639852851019792</x:v>
      </x:c>
      <x:c r="D24" s="102" t="n">
        <x:f>($A24*'Assumptions'!$C$15/$B$5)*40%+($B$7*D$21)*60%</x:f>
        <x:v>6.2088669569938</x:v>
      </x:c>
      <x:c r="E24" s="102" t="n">
        <x:f>($A24*'Assumptions'!$C$15/$B$5)*40%+($B$7*E$21)*60%</x:f>
        <x:v>6.777881062967808</x:v>
      </x:c>
      <x:c r="F24" s="102" t="n">
        <x:f>($A24*'Assumptions'!$C$15/$B$5)*40%+($B$7*F$21)*60%</x:f>
        <x:v>7.346895168941817</x:v>
      </x:c>
    </x:row>
    <x:row r="25">
      <x:c r="A25" s="229" t="n">
        <x:v>12500</x:v>
      </x:c>
      <x:c r="B25" s="102" t="n">
        <x:f>($A25*'Assumptions'!$C$15/$B$5)*40%+($B$7*B$21)*60%</x:f>
        <x:v>5.37435259256975</x:v>
      </x:c>
      <x:c r="C25" s="102" t="n">
        <x:f>($A25*'Assumptions'!$C$15/$B$5)*40%+($B$7*C$21)*60%</x:f>
        <x:v>5.943366698543757</x:v>
      </x:c>
      <x:c r="D25" s="102" t="n">
        <x:f>($A25*'Assumptions'!$C$15/$B$5)*40%+($B$7*D$21)*60%</x:f>
        <x:v>6.512380804517765</x:v>
      </x:c>
      <x:c r="E25" s="102" t="n">
        <x:f>($A25*'Assumptions'!$C$15/$B$5)*40%+($B$7*E$21)*60%</x:f>
        <x:v>7.081394910491774</x:v>
      </x:c>
      <x:c r="F25" s="102" t="n">
        <x:f>($A25*'Assumptions'!$C$15/$B$5)*40%+($B$7*F$21)*60%</x:f>
        <x:v>7.650409016465781</x:v>
      </x:c>
    </x:row>
    <x:row r="26">
      <x:c r="A26" s="223" t="n">
        <x:v>14000</x:v>
      </x:c>
      <x:c r="B26" s="172" t="n">
        <x:f>($A26*'Assumptions'!$C$15/$B$5)*40%+($B$7*B$21)*60%</x:f>
        <x:v>5.677866440093714</x:v>
      </x:c>
      <x:c r="C26" s="172" t="n">
        <x:f>($A26*'Assumptions'!$C$15/$B$5)*40%+($B$7*C$21)*60%</x:f>
        <x:v>6.246880546067722</x:v>
      </x:c>
      <x:c r="D26" s="172" t="n">
        <x:f>($A26*'Assumptions'!$C$15/$B$5)*40%+($B$7*D$21)*60%</x:f>
        <x:v>6.81589465204173</x:v>
      </x:c>
      <x:c r="E26" s="172" t="n">
        <x:f>($A26*'Assumptions'!$C$15/$B$5)*40%+($B$7*E$21)*60%</x:f>
        <x:v>7.384908758015738</x:v>
      </x:c>
      <x:c r="F26" s="172" t="n">
        <x:f>($A26*'Assumptions'!$C$15/$B$5)*40%+($B$7*F$21)*60%</x:f>
        <x:v>7.953922863989747</x:v>
      </x:c>
    </x:row>
    <x:row r="29">
      <x:c r="A29" s="18" t="str">
        <x:v>估值限制</x:v>
      </x:c>
      <x:c r="B29" s="19" t="str">
        <x:v>估值限制</x:v>
      </x:c>
      <x:c r="C29" s="19" t="str">
        <x:v>估值限制</x:v>
      </x:c>
      <x:c r="D29" s="19" t="str">
        <x:v>估值限制</x:v>
      </x:c>
      <x:c r="E29" s="19" t="str">
        <x:v>估值限制</x:v>
      </x:c>
      <x:c r="F29" s="19" t="str">
        <x:v>估值限制</x:v>
      </x:c>
      <x:c r="G29" s="19" t="str">
        <x:v>估值限制</x:v>
      </x:c>
      <x:c r="H29" s="19" t="str">
        <x:v>估值限制</x:v>
      </x:c>
      <x:c r="I29" s="19" t="str">
        <x:v>估值限制</x:v>
      </x:c>
      <x:c r="J29" s="20" t="str">
        <x:v>估值限制</x:v>
      </x:c>
    </x:row>
    <x:row r="30">
      <x:c r="A30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B30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C30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D30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E30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F30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G30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H30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I30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J30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</x:row>
    <x:row r="31">
      <x:c r="A31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B31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C31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D31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E31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F31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G31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H31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I31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J31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</x:row>
    <x:row r="32">
      <x:c r="A32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B32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C32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D32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E32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F32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G32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H32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I32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J32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</x:row>
    <x:row r="33">
      <x:c r="A33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B33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C33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D33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E33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F33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G33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H33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I33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J33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</x:row>
    <x:row r="34">
      <x:c r="A34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B34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C34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D34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E34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F34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G34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H34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I34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  <x:c r="J34" s="231" t="str">
        <x:v>情景利润、P/E与P/B均为分析假设。模型未因公司披露的“净有息负债为零”额外加回现金，也未把2026H1利润机械年化；P/B包含低回报联营投资，若马钢有限和山钢日照持续低回报，合理P/B可能低于历史均值。反之，若钢铁制造毛利和正常化ROE明显上升，Base会低估。</x:v>
      </x:c>
    </x:row>
  </x:sheetData>
  <x:mergeCells>
    <x:mergeCell ref="A1:J1"/>
    <x:mergeCell ref="A20:G20"/>
    <x:mergeCell ref="A29:J29"/>
    <x:mergeCell ref="A30:J34"/>
  </x:mergeCells>
  <x:conditionalFormatting sqref="B22:F2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8" hidden="0" customWidth="1"/>
  </x:cols>
  <x:sheetData>
    <x:row r="1" ht="30" customHeight="1">
      <x:c r="A1" s="3" t="str">
        <x:v>模型检查</x:v>
      </x:c>
      <x:c r="B1" s="3" t="str">
        <x:v>模型检查</x:v>
      </x:c>
      <x:c r="C1" s="3" t="str">
        <x:v>模型检查</x:v>
      </x:c>
      <x:c r="D1" s="3" t="str">
        <x:v>模型检查</x:v>
      </x:c>
      <x:c r="E1" s="3" t="str">
        <x:v>模型检查</x:v>
      </x:c>
      <x:c r="F1" s="3" t="str">
        <x:v>模型检查</x:v>
      </x:c>
      <x:c r="G1" s="3" t="str">
        <x:v>模型检查</x:v>
      </x:c>
    </x:row>
    <x:row r="2">
      <x:c r="A2" t="str">
        <x:v>总体模型状态</x:v>
      </x:c>
      <x:c r="B2" t="str">
        <x:v>总体模型状态</x:v>
      </x:c>
      <x:c r="C2" t="str">
        <x:v>总体模型状态</x:v>
      </x:c>
      <x:c r="D2" t="str">
        <x:v>总体模型状态</x:v>
      </x:c>
      <x:c r="E2" t="str">
        <x:v>总体模型状态</x:v>
      </x:c>
      <x:c r="F2" t="str">
        <x:f>IF(COUNTIF(F5:F18,"FAIL")=0,"OK","FAIL")</x:f>
        <x:v>OK</x:v>
      </x:c>
    </x:row>
    <x:row r="4">
      <x:c r="A4" s="18" t="str">
        <x:v>检查项</x:v>
      </x:c>
      <x:c r="B4" s="19" t="str">
        <x:v>实际值</x:v>
      </x:c>
      <x:c r="C4" s="19" t="str">
        <x:v>预期/阈值</x:v>
      </x:c>
      <x:c r="D4" s="19" t="str">
        <x:v>差异</x:v>
      </x:c>
      <x:c r="E4" s="19" t="str">
        <x:v>容差</x:v>
      </x:c>
      <x:c r="F4" s="19" t="str">
        <x:v>状态</x:v>
      </x:c>
      <x:c r="G4" s="20" t="str">
        <x:v>说明</x:v>
      </x:c>
    </x:row>
    <x:row r="5">
      <x:c r="A5" s="10" t="str">
        <x:v>2026H1毛利</x:v>
      </x:c>
      <x:c r="B5" s="234" t="n">
        <x:f>'Historical'!F7</x:f>
        <x:v>9629.924999999988</x:v>
      </x:c>
      <x:c r="C5" s="234" t="n">
        <x:f>'Historical'!F4-'Historical'!F6</x:f>
        <x:v>9629.924999999988</x:v>
      </x:c>
      <x:c r="D5" s="234" t="n">
        <x:f>B5-C5</x:f>
        <x:v>0</x:v>
      </x:c>
      <x:c r="E5" s="234" t="n">
        <x:f>0.01</x:f>
        <x:v>0.01</x:v>
      </x:c>
      <x:c r="F5" s="10" t="str">
        <x:f>IF(ABS(D5)&lt;=E5,"OK","FAIL")</x:f>
        <x:v>OK</x:v>
      </x:c>
      <x:c r="G5" s="10" t="str">
        <x:v>收入-成本</x:v>
      </x:c>
    </x:row>
    <x:row r="6">
      <x:c r="A6" s="13" t="str">
        <x:v>2026H1毛利率</x:v>
      </x:c>
      <x:c r="B6" s="235" t="n">
        <x:f>'Historical'!F8</x:f>
        <x:v>0.059913121936956595</x:v>
      </x:c>
      <x:c r="C6" s="235" t="n">
        <x:f>('Historical'!F4-'Historical'!F6)/'Historical'!F4</x:f>
        <x:v>0.059913121936956595</x:v>
      </x:c>
      <x:c r="D6" s="235" t="n">
        <x:f>B6-C6</x:f>
        <x:v>0</x:v>
      </x:c>
      <x:c r="E6" s="235" t="n">
        <x:f>0.0001</x:f>
        <x:v>0.0001</x:v>
      </x:c>
      <x:c r="F6" s="13" t="str">
        <x:f>IF(ABS(D6)&lt;=E6,"OK","FAIL")</x:f>
        <x:v>OK</x:v>
      </x:c>
      <x:c r="G6" s="13" t="str">
        <x:v>毛利/收入</x:v>
      </x:c>
    </x:row>
    <x:row r="7">
      <x:c r="A7" s="13" t="str">
        <x:v>2025简化FCF</x:v>
      </x:c>
      <x:c r="B7" s="235" t="n">
        <x:f>'Historical'!D14</x:f>
        <x:v>15090.182999999997</x:v>
      </x:c>
      <x:c r="C7" s="235" t="n">
        <x:f>'Historical'!D12-'Historical'!D13</x:f>
        <x:v>15090.182999999997</x:v>
      </x:c>
      <x:c r="D7" s="235" t="n">
        <x:f>B7-C7</x:f>
        <x:v>0</x:v>
      </x:c>
      <x:c r="E7" s="235" t="n">
        <x:f>0.01</x:f>
        <x:v>0.01</x:v>
      </x:c>
      <x:c r="F7" s="13" t="str">
        <x:f>IF(ABS(D7)&lt;=E7,"OK","FAIL")</x:f>
        <x:v>OK</x:v>
      </x:c>
      <x:c r="G7" s="13" t="str">
        <x:v>CFO-资本开支</x:v>
      </x:c>
    </x:row>
    <x:row r="8">
      <x:c r="A8" s="13" t="str">
        <x:v>2026H1简化FCF</x:v>
      </x:c>
      <x:c r="B8" s="235" t="n">
        <x:f>'Historical'!F14</x:f>
        <x:v>5630.997000000001</x:v>
      </x:c>
      <x:c r="C8" s="235" t="n">
        <x:f>'Historical'!F12-'Historical'!F13</x:f>
        <x:v>5630.997000000001</x:v>
      </x:c>
      <x:c r="D8" s="235" t="n">
        <x:f>B8-C8</x:f>
        <x:v>0</x:v>
      </x:c>
      <x:c r="E8" s="235" t="n">
        <x:f>0.01</x:f>
        <x:v>0.01</x:v>
      </x:c>
      <x:c r="F8" s="13" t="str">
        <x:f>IF(ABS(D8)&lt;=E8,"OK","FAIL")</x:f>
        <x:v>OK</x:v>
      </x:c>
      <x:c r="G8" s="13" t="str">
        <x:v>CFO-资本开支</x:v>
      </x:c>
    </x:row>
    <x:row r="9">
      <x:c r="A9" s="13" t="str">
        <x:v>经济市值</x:v>
      </x:c>
      <x:c r="B9" s="235" t="n">
        <x:f>'Assumptions'!B6</x:f>
        <x:v>125035.48127900001</x:v>
      </x:c>
      <x:c r="C9" s="235" t="n">
        <x:f>'Assumptions'!B4*'Assumptions'!B5</x:f>
        <x:v>125035.48127900001</x:v>
      </x:c>
      <x:c r="D9" s="235" t="n">
        <x:f>B9-C9</x:f>
        <x:v>0</x:v>
      </x:c>
      <x:c r="E9" s="235" t="n">
        <x:f>0.01</x:f>
        <x:v>0.01</x:v>
      </x:c>
      <x:c r="F9" s="13" t="str">
        <x:f>IF(ABS(D9)&lt;=E9,"OK","FAIL")</x:f>
        <x:v>OK</x:v>
      </x:c>
      <x:c r="G9" s="13" t="str">
        <x:v>价格×股本</x:v>
      </x:c>
    </x:row>
    <x:row r="10">
      <x:c r="A10" s="13" t="str">
        <x:v>BVPS</x:v>
      </x:c>
      <x:c r="B10" s="235" t="n">
        <x:f>'Assumptions'!B8</x:f>
        <x:v>9.483568432900134</x:v>
      </x:c>
      <x:c r="C10" s="235" t="n">
        <x:f>'Assumptions'!B7/'Assumptions'!B5</x:f>
        <x:v>9.483568432900134</x:v>
      </x:c>
      <x:c r="D10" s="235" t="n">
        <x:f>B10-C10</x:f>
        <x:v>0</x:v>
      </x:c>
      <x:c r="E10" s="235" t="n">
        <x:f>0.0001</x:f>
        <x:v>0.0001</x:v>
      </x:c>
      <x:c r="F10" s="13" t="str">
        <x:f>IF(ABS(D10)&lt;=E10,"OK","FAIL")</x:f>
        <x:v>OK</x:v>
      </x:c>
      <x:c r="G10" s="13" t="str">
        <x:v>权益/股本</x:v>
      </x:c>
    </x:row>
    <x:row r="11">
      <x:c r="A11" s="13" t="str">
        <x:v>TTM归母净利润</x:v>
      </x:c>
      <x:c r="B11" s="235" t="n">
        <x:f>'Valuation'!B8</x:f>
        <x:v>10038.091999999999</x:v>
      </x:c>
      <x:c r="C11" s="235" t="n">
        <x:f>'Historical'!D9-'Historical'!E9+'Historical'!F9</x:f>
        <x:v>10038.091999999999</x:v>
      </x:c>
      <x:c r="D11" s="235" t="n">
        <x:f>B11-C11</x:f>
        <x:v>0</x:v>
      </x:c>
      <x:c r="E11" s="235" t="n">
        <x:f>0.01</x:f>
        <x:v>0.01</x:v>
      </x:c>
      <x:c r="F11" s="13" t="str">
        <x:f>IF(ABS(D11)&lt;=E11,"OK","FAIL")</x:f>
        <x:v>OK</x:v>
      </x:c>
      <x:c r="G11" s="13" t="str">
        <x:v>2025A-H1+H1</x:v>
      </x:c>
    </x:row>
    <x:row r="12">
      <x:c r="A12" s="13" t="str">
        <x:v>TTM EPS</x:v>
      </x:c>
      <x:c r="B12" s="235" t="n">
        <x:f>'Valuation'!B9</x:f>
        <x:v>0.46162120071508084</x:v>
      </x:c>
      <x:c r="C12" s="235" t="n">
        <x:f>'Valuation'!B8/'Valuation'!B5</x:f>
        <x:v>0.46162120071508084</x:v>
      </x:c>
      <x:c r="D12" s="235" t="n">
        <x:f>B12-C12</x:f>
        <x:v>0</x:v>
      </x:c>
      <x:c r="E12" s="235" t="n">
        <x:f>0.0001</x:f>
        <x:v>0.0001</x:v>
      </x:c>
      <x:c r="F12" s="13" t="str">
        <x:f>IF(ABS(D12)&lt;=E12,"OK","FAIL")</x:f>
        <x:v>OK</x:v>
      </x:c>
      <x:c r="G12" s="13" t="str">
        <x:v>TTM利润/股本</x:v>
      </x:c>
    </x:row>
    <x:row r="13">
      <x:c r="A13" s="13" t="str">
        <x:v>TTM P/E</x:v>
      </x:c>
      <x:c r="B13" s="235" t="n">
        <x:f>'Valuation'!B10</x:f>
        <x:v>12.456100350445086</x:v>
      </x:c>
      <x:c r="C13" s="235" t="n">
        <x:f>'Valuation'!B4/'Valuation'!B9</x:f>
        <x:v>12.456100350445086</x:v>
      </x:c>
      <x:c r="D13" s="235" t="n">
        <x:f>B13-C13</x:f>
        <x:v>0</x:v>
      </x:c>
      <x:c r="E13" s="235" t="n">
        <x:f>0.0001</x:f>
        <x:v>0.0001</x:v>
      </x:c>
      <x:c r="F13" s="13" t="str">
        <x:f>IF(ABS(D13)&lt;=E13,"OK","FAIL")</x:f>
        <x:v>OK</x:v>
      </x:c>
      <x:c r="G13" s="13" t="str">
        <x:v>价格/EPS</x:v>
      </x:c>
    </x:row>
    <x:row r="14">
      <x:c r="A14" s="13" t="str">
        <x:v>当前P/B</x:v>
      </x:c>
      <x:c r="B14" s="235" t="n">
        <x:f>'Valuation'!B11</x:f>
        <x:v>0.6063118583140349</x:v>
      </x:c>
      <x:c r="C14" s="235" t="n">
        <x:f>'Valuation'!B4/'Valuation'!B7</x:f>
        <x:v>0.6063118583140349</x:v>
      </x:c>
      <x:c r="D14" s="235" t="n">
        <x:f>B14-C14</x:f>
        <x:v>0</x:v>
      </x:c>
      <x:c r="E14" s="235" t="n">
        <x:f>0.0001</x:f>
        <x:v>0.0001</x:v>
      </x:c>
      <x:c r="F14" s="13" t="str">
        <x:f>IF(ABS(D14)&lt;=E14,"OK","FAIL")</x:f>
        <x:v>OK</x:v>
      </x:c>
      <x:c r="G14" s="13" t="str">
        <x:v>价格/BVPS</x:v>
      </x:c>
    </x:row>
    <x:row r="15">
      <x:c r="A15" s="13" t="str">
        <x:v>Base加权价值</x:v>
      </x:c>
      <x:c r="B15" s="235" t="n">
        <x:f>'Valuation'!H16</x:f>
        <x:v>6.2088669569938</x:v>
      </x:c>
      <x:c r="C15" s="235" t="n">
        <x:f>'Valuation'!D16*'Valuation'!G16+'Valuation'!F16*(1-'Valuation'!G16)</x:f>
        <x:v>6.2088669569938</x:v>
      </x:c>
      <x:c r="D15" s="235" t="n">
        <x:f>B15-C15</x:f>
        <x:v>0</x:v>
      </x:c>
      <x:c r="E15" s="235" t="n">
        <x:f>0.0001</x:f>
        <x:v>0.0001</x:v>
      </x:c>
      <x:c r="F15" s="13" t="str">
        <x:f>IF(ABS(D15)&lt;=E15,"OK","FAIL")</x:f>
        <x:v>OK</x:v>
      </x:c>
      <x:c r="G15" s="13" t="str">
        <x:v>40% P/E+60% P/B</x:v>
      </x:c>
    </x:row>
    <x:row r="16">
      <x:c r="A16" s="13" t="str">
        <x:v>Base相对股价</x:v>
      </x:c>
      <x:c r="B16" s="235" t="n">
        <x:f>'Valuation'!I16</x:f>
        <x:v>0.07980294904239993</x:v>
      </x:c>
      <x:c r="C16" s="235" t="n">
        <x:f>'Valuation'!H16/'Valuation'!B4-1</x:f>
        <x:v>0.07980294904239993</x:v>
      </x:c>
      <x:c r="D16" s="235" t="n">
        <x:f>B16-C16</x:f>
        <x:v>0</x:v>
      </x:c>
      <x:c r="E16" s="235" t="n">
        <x:f>0.0001</x:f>
        <x:v>0.0001</x:v>
      </x:c>
      <x:c r="F16" s="13" t="str">
        <x:f>IF(ABS(D16)&lt;=E16,"OK","FAIL")</x:f>
        <x:v>OK</x:v>
      </x:c>
      <x:c r="G16" s="13" t="str">
        <x:v>价值/价格-1</x:v>
      </x:c>
    </x:row>
    <x:row r="17">
      <x:c r="A17" s="13" t="str">
        <x:v>联营收益率</x:v>
      </x:c>
      <x:c r="B17" s="235" t="n">
        <x:f>'Balance &amp; Cash'!B29</x:f>
        <x:v>0.0035269215534173707</x:v>
      </x:c>
      <x:c r="C17" s="235" t="n">
        <x:f>'Balance &amp; Cash'!B28/'Balance &amp; Cash'!B27</x:f>
        <x:v>0.0035269215534173707</x:v>
      </x:c>
      <x:c r="D17" s="235" t="n">
        <x:f>B17-C17</x:f>
        <x:v>0</x:v>
      </x:c>
      <x:c r="E17" s="235" t="n">
        <x:f>0.0001</x:f>
        <x:v>0.0001</x:v>
      </x:c>
      <x:c r="F17" s="13" t="str">
        <x:f>IF(ABS(D17)&lt;=E17,"OK","FAIL")</x:f>
        <x:v>OK</x:v>
      </x:c>
      <x:c r="G17" s="13" t="str">
        <x:v>重点联营收益/账面</x:v>
      </x:c>
    </x:row>
    <x:row r="18">
      <x:c r="A18" s="15" t="str">
        <x:v>情景价值递增</x:v>
      </x:c>
      <x:c r="B18" s="236" t="n">
        <x:f>'Valuation'!H17-'Valuation'!H15</x:f>
        <x:v>5.962373493080718</x:v>
      </x:c>
      <x:c r="C18" s="236" t="n">
        <x:f>0</x:f>
        <x:v>0</x:v>
      </x:c>
      <x:c r="D18" s="236" t="n">
        <x:f>B18-C18</x:f>
        <x:v>5.962373493080718</x:v>
      </x:c>
      <x:c r="E18" s="236" t="n">
        <x:f>0</x:f>
        <x:v>0</x:v>
      </x:c>
      <x:c r="F18" s="15" t="str">
        <x:f>IF(B18&gt;C18,"OK","FAIL")</x:f>
        <x:v>OK</x:v>
      </x:c>
      <x:c r="G18" s="15" t="str">
        <x:v>Bull必须高于Bear</x:v>
      </x:c>
    </x:row>
  </x:sheetData>
  <x:mergeCells>
    <x:mergeCell ref="A1:G1"/>
    <x:mergeCell ref="A2:E2"/>
  </x:mergeCells>
  <x:conditionalFormatting sqref="F2:F18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39" hidden="0" customWidth="1"/>
    <x:col min="3" max="3" width="20" hidden="0" customWidth="1"/>
    <x:col min="4" max="4" width="18" hidden="0" customWidth="1"/>
    <x:col min="5" max="5" width="18" hidden="0" customWidth="1"/>
    <x:col min="6" max="6" width="28" hidden="0" customWidth="1"/>
    <x:col min="7" max="7" width="78" hidden="0" customWidth="1"/>
    <x:col min="8" max="8" width="39" hidden="0" customWidth="1"/>
  </x:cols>
  <x:sheetData>
    <x:row r="1" ht="30" customHeight="1">
      <x:c r="A1" s="3" t="str">
        <x:v>来源与假设审计索引</x:v>
      </x:c>
      <x:c r="B1" s="3" t="str">
        <x:v>来源与假设审计索引</x:v>
      </x:c>
      <x:c r="C1" s="3" t="str">
        <x:v>来源与假设审计索引</x:v>
      </x:c>
      <x:c r="D1" s="3" t="str">
        <x:v>来源与假设审计索引</x:v>
      </x:c>
      <x:c r="E1" s="3" t="str">
        <x:v>来源与假设审计索引</x:v>
      </x:c>
      <x:c r="F1" s="3" t="str">
        <x:v>来源与假设审计索引</x:v>
      </x:c>
      <x:c r="G1" s="3" t="str">
        <x:v>来源与假设审计索引</x:v>
      </x:c>
      <x:c r="H1" s="3" t="str">
        <x:v>来源与假设审计索引</x:v>
      </x:c>
    </x:row>
    <x:row r="3">
      <x:c r="A3" s="18" t="str">
        <x:v>ID</x:v>
      </x:c>
      <x:c r="B3" s="19" t="str">
        <x:v>输入/主题</x:v>
      </x:c>
      <x:c r="C3" s="19" t="str">
        <x:v>数值</x:v>
      </x:c>
      <x:c r="D3" s="19" t="str">
        <x:v>单位</x:v>
      </x:c>
      <x:c r="E3" s="19" t="str">
        <x:v>截至/期间</x:v>
      </x:c>
      <x:c r="F3" s="19" t="str">
        <x:v>来源</x:v>
      </x:c>
      <x:c r="G3" s="19" t="str">
        <x:v>URL/本地文件</x:v>
      </x:c>
      <x:c r="H3" s="20" t="str">
        <x:v>审计说明</x:v>
      </x:c>
    </x:row>
    <x:row r="4" ht="47" customHeight="1">
      <x:c r="A4" s="10" t="str">
        <x:v>S1</x:v>
      </x:c>
      <x:c r="B4" s="242" t="str">
        <x:v>2026H1财务、分部、联营、分红</x:v>
      </x:c>
      <x:c r="C4" s="243"/>
      <x:c r="D4" s="242"/>
      <x:c r="E4" s="242" t="str">
        <x:v>2026H1</x:v>
      </x:c>
      <x:c r="F4" s="242" t="str">
        <x:v>半年度报告</x:v>
      </x:c>
      <x:c r="G4" s="242" t="str">
        <x:v>https://money.finance.sina.com.cn/corp/view/vCB_AllBulletinDetail.php?id=12515569&amp;stockid=600019</x:v>
      </x:c>
      <x:c r="H4" s="242" t="str">
        <x:v>一级披露镜像；未经审计，本地PDF复核</x:v>
      </x:c>
    </x:row>
    <x:row r="5" ht="47" customHeight="1">
      <x:c r="A5" s="13" t="str">
        <x:v>S2</x:v>
      </x:c>
      <x:c r="B5" s="244" t="str">
        <x:v>2025财务、股东、马钢、分红</x:v>
      </x:c>
      <x:c r="C5" s="245"/>
      <x:c r="D5" s="244"/>
      <x:c r="E5" s="244" t="str">
        <x:v>FY2025</x:v>
      </x:c>
      <x:c r="F5" s="244" t="str">
        <x:v>年度报告</x:v>
      </x:c>
      <x:c r="G5" s="244" t="str">
        <x:v>https://money.finance.sina.com.cn/corp/view/vCB_AllBulletinDetail.php?id=12277876&amp;stockid=600019</x:v>
      </x:c>
      <x:c r="H5" s="244" t="str">
        <x:v>一级披露镜像；德勤审计</x:v>
      </x:c>
    </x:row>
    <x:row r="6" ht="47" customHeight="1">
      <x:c r="A6" s="13" t="str">
        <x:v>S3</x:v>
      </x:c>
      <x:c r="B6" s="244" t="str">
        <x:v>产品产销量与均价</x:v>
      </x:c>
      <x:c r="C6" s="245"/>
      <x:c r="D6" s="244"/>
      <x:c r="E6" s="244" t="str">
        <x:v>2026H1</x:v>
      </x:c>
      <x:c r="F6" s="244" t="str">
        <x:v>经营数据公告</x:v>
      </x:c>
      <x:c r="G6" s="244" t="str">
        <x:v>https://money.finance.sina.com.cn/corp/view/vCB_AllBulletinDetail.php?id=12515575&amp;stockid=600019</x:v>
      </x:c>
      <x:c r="H6" s="244" t="str">
        <x:v>公司正式公告镜像</x:v>
      </x:c>
    </x:row>
    <x:row r="7" ht="47" customHeight="1">
      <x:c r="A7" s="13" t="str">
        <x:v>S4</x:v>
      </x:c>
      <x:c r="B7" s="244" t="str">
        <x:v>分红政策和估值提升计划</x:v>
      </x:c>
      <x:c r="C7" s="245"/>
      <x:c r="D7" s="244"/>
      <x:c r="E7" s="244" t="str">
        <x:v>2026</x:v>
      </x:c>
      <x:c r="F7" s="244" t="str">
        <x:v>估值提升计划</x:v>
      </x:c>
      <x:c r="G7" s="244" t="str">
        <x:v>https://static.cninfo.com.cn/finalpage/2026-04-30/1225257428.PDF</x:v>
      </x:c>
      <x:c r="H7" s="244" t="str">
        <x:v>公司计划；不是业绩承诺</x:v>
      </x:c>
    </x:row>
    <x:row r="8" ht="47" customHeight="1">
      <x:c r="A8" s="13" t="str">
        <x:v>S5</x:v>
      </x:c>
      <x:c r="B8" s="244" t="str">
        <x:v>2023—2024历史财务</x:v>
      </x:c>
      <x:c r="C8" s="245"/>
      <x:c r="D8" s="244"/>
      <x:c r="E8" s="244" t="str">
        <x:v>FY2024</x:v>
      </x:c>
      <x:c r="F8" s="244" t="str">
        <x:v>年度报告</x:v>
      </x:c>
      <x:c r="G8" s="244" t="str">
        <x:v>https://dataclouds.cninfo.com.cn/shgonggao/2025/2025-04-26/6f27dbe121e511f0921ffa163e957f7a.pdf</x:v>
      </x:c>
      <x:c r="H8" s="244" t="str">
        <x:v>一级来源</x:v>
      </x:c>
    </x:row>
    <x:row r="9" ht="47" customHeight="1">
      <x:c r="A9" s="13" t="str">
        <x:v>M1</x:v>
      </x:c>
      <x:c r="B9" s="244" t="str">
        <x:v>参考股价</x:v>
      </x:c>
      <x:c r="C9" s="245" t="n">
        <x:v>5.75</x:v>
      </x:c>
      <x:c r="D9" s="244" t="str">
        <x:v>RMB/股</x:v>
      </x:c>
      <x:c r="E9" s="244" t="str">
        <x:v>2026-09-07</x:v>
      </x:c>
      <x:c r="F9" s="244" t="str">
        <x:v>Investing历史行情</x:v>
      </x:c>
      <x:c r="G9" s="244" t="str">
        <x:v>https://cn.investing.com/equities/baoshan-steel-historical-data</x:v>
      </x:c>
      <x:c r="H9" s="244" t="str">
        <x:v>二级市场数据</x:v>
      </x:c>
    </x:row>
    <x:row r="10" ht="47" customHeight="1">
      <x:c r="A10" s="13" t="str">
        <x:v>A1</x:v>
      </x:c>
      <x:c r="B10" s="244" t="str">
        <x:v>Bear/Base/Bull正常化利润</x:v>
      </x:c>
      <x:c r="C10" s="245" t="str">
        <x:v>7000/11000/15000</x:v>
      </x:c>
      <x:c r="D10" s="244" t="str">
        <x:v>RMB mn</x:v>
      </x:c>
      <x:c r="E10" s="244" t="str">
        <x:v>估值</x:v>
      </x:c>
      <x:c r="F10" s="244" t="str">
        <x:v>分析假设</x:v>
      </x:c>
      <x:c r="G10" s="244" t="str"/>
      <x:c r="H10" s="244" t="str">
        <x:v>不是公司指引或一致预期</x:v>
      </x:c>
    </x:row>
    <x:row r="11" ht="47" customHeight="1">
      <x:c r="A11" s="13" t="str">
        <x:v>A2</x:v>
      </x:c>
      <x:c r="B11" s="244" t="str">
        <x:v>Bear/Base/Bull P/E</x:v>
      </x:c>
      <x:c r="C11" s="245" t="str">
        <x:v>8/11/14</x:v>
      </x:c>
      <x:c r="D11" s="244" t="str">
        <x:v>x</x:v>
      </x:c>
      <x:c r="E11" s="244" t="str">
        <x:v>估值</x:v>
      </x:c>
      <x:c r="F11" s="244" t="str">
        <x:v>分析假设</x:v>
      </x:c>
      <x:c r="G11" s="244" t="str"/>
      <x:c r="H11" s="244" t="str">
        <x:v>周期与资产质量区间</x:v>
      </x:c>
    </x:row>
    <x:row r="12" ht="47" customHeight="1">
      <x:c r="A12" s="13" t="str">
        <x:v>A3</x:v>
      </x:c>
      <x:c r="B12" s="244" t="str">
        <x:v>Bear/Base/Bull P/B</x:v>
      </x:c>
      <x:c r="C12" s="245" t="str">
        <x:v>0.45/0.70/1.00</x:v>
      </x:c>
      <x:c r="D12" s="244" t="str">
        <x:v>x</x:v>
      </x:c>
      <x:c r="E12" s="244" t="str">
        <x:v>估值</x:v>
      </x:c>
      <x:c r="F12" s="244" t="str">
        <x:v>分析假设</x:v>
      </x:c>
      <x:c r="G12" s="244" t="str"/>
      <x:c r="H12" s="244" t="str">
        <x:v>低ROE到修复区间</x:v>
      </x:c>
    </x:row>
    <x:row r="13" ht="47" customHeight="1">
      <x:c r="A13" s="13" t="str">
        <x:v>R1</x:v>
      </x:c>
      <x:c r="B13" s="244" t="str">
        <x:v>经济股本</x:v>
      </x:c>
      <x:c r="C13" s="245" t="n">
        <x:v>21745.301092</x:v>
      </x:c>
      <x:c r="D13" s="244" t="str">
        <x:v>mn shares</x:v>
      </x:c>
      <x:c r="E13" s="244" t="str">
        <x:v>2026-07-31</x:v>
      </x:c>
      <x:c r="F13" s="244" t="str">
        <x:v>研究口径</x:v>
      </x:c>
      <x:c r="G13" s="244" t="str"/>
      <x:c r="H13" s="244" t="str">
        <x:v>中期分红基数，扣回购专户</x:v>
      </x:c>
    </x:row>
    <x:row r="14" ht="47" customHeight="1">
      <x:c r="A14" s="13" t="str">
        <x:v>R2</x:v>
      </x:c>
      <x:c r="B14" s="244" t="str">
        <x:v>简化FCF</x:v>
      </x:c>
      <x:c r="C14" s="245" t="n">
        <x:v>5630.997</x:v>
      </x:c>
      <x:c r="D14" s="244" t="str">
        <x:v>RMB mn</x:v>
      </x:c>
      <x:c r="E14" s="244" t="str">
        <x:v>2026H1</x:v>
      </x:c>
      <x:c r="F14" s="244" t="str">
        <x:v>研究计算</x:v>
      </x:c>
      <x:c r="G14" s="244" t="str"/>
      <x:c r="H14" s="244" t="str">
        <x:v>CFO-购建长期资产现金</x:v>
      </x:c>
    </x:row>
    <x:row r="15" ht="47" customHeight="1">
      <x:c r="A15" s="13" t="str">
        <x:v>R3</x:v>
      </x:c>
      <x:c r="B15" s="244" t="str">
        <x:v>重点联营投资账面价值</x:v>
      </x:c>
      <x:c r="C15" s="245" t="n">
        <x:v>19746.966</x:v>
      </x:c>
      <x:c r="D15" s="244" t="str">
        <x:v>RMB mn</x:v>
      </x:c>
      <x:c r="E15" s="244" t="str">
        <x:v>2026H1</x:v>
      </x:c>
      <x:c r="F15" s="244" t="str">
        <x:v>研究计算</x:v>
      </x:c>
      <x:c r="G15" s="244" t="str"/>
      <x:c r="H15" s="244" t="str">
        <x:v>马钢有限+山钢日照</x:v>
      </x:c>
    </x:row>
    <x:row r="16" ht="47" customHeight="1">
      <x:c r="A16" s="13" t="str">
        <x:v>R4</x:v>
      </x:c>
      <x:c r="B16" s="244" t="str">
        <x:v>重点联营H1收益</x:v>
      </x:c>
      <x:c r="C16" s="245" t="n">
        <x:v>69.646</x:v>
      </x:c>
      <x:c r="D16" s="244" t="str">
        <x:v>RMB mn</x:v>
      </x:c>
      <x:c r="E16" s="244" t="str">
        <x:v>2026H1</x:v>
      </x:c>
      <x:c r="F16" s="244" t="str">
        <x:v>研究计算</x:v>
      </x:c>
      <x:c r="G16" s="244" t="str"/>
      <x:c r="H16" s="244" t="str">
        <x:v>两项权益法收益合计</x:v>
      </x:c>
    </x:row>
    <x:row r="17" ht="47" customHeight="1">
      <x:c r="A17" s="13" t="str">
        <x:v>R5</x:v>
      </x:c>
      <x:c r="B17" s="244" t="str">
        <x:v>广义净债务</x:v>
      </x:c>
      <x:c r="C17" s="245" t="n">
        <x:v>17745.008</x:v>
      </x:c>
      <x:c r="D17" s="244" t="str">
        <x:v>RMB mn</x:v>
      </x:c>
      <x:c r="E17" s="244" t="str">
        <x:v>2026H1</x:v>
      </x:c>
      <x:c r="F17" s="244" t="str">
        <x:v>研究计算</x:v>
      </x:c>
      <x:c r="G17" s="244" t="str"/>
      <x:c r="H17" s="244" t="str">
        <x:v>含租赁及长期应付款；不直接用于估值</x:v>
      </x:c>
    </x:row>
    <x:row r="18" ht="47" customHeight="1">
      <x:c r="A18" s="15" t="str">
        <x:v>R6</x:v>
      </x:c>
      <x:c r="B18" s="188" t="str">
        <x:v>TTM归母净利润</x:v>
      </x:c>
      <x:c r="C18" s="246" t="n">
        <x:v>10038.092</x:v>
      </x:c>
      <x:c r="D18" s="188" t="str">
        <x:v>RMB mn</x:v>
      </x:c>
      <x:c r="E18" s="188" t="str">
        <x:v>TTM</x:v>
      </x:c>
      <x:c r="F18" s="188" t="str">
        <x:v>研究计算</x:v>
      </x:c>
      <x:c r="G18" s="188" t="str"/>
      <x:c r="H18" s="188" t="str">
        <x:v>2025A-2025H1+2026H1</x:v>
      </x:c>
    </x:row>
  </x:sheetData>
  <x:mergeCells>
    <x:mergeCell ref="A1:H1"/>
  </x:mergeCells>
  <x:pageMargins left="0.7" right="0.7" top="0.75" bottom="0.75" header="0.3" footer="0.3"/>
</x:worksheet>
</file>
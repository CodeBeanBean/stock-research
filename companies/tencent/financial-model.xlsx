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02c447eca4f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74cff23e7c9426d"/>
    <x:sheet xmlns:r="http://schemas.openxmlformats.org/officeDocument/2006/relationships" name="Historical" sheetId="2" r:id="R1b70c5c7f9a24fb1"/>
    <x:sheet xmlns:r="http://schemas.openxmlformats.org/officeDocument/2006/relationships" name="Assumptions" sheetId="3" r:id="Rce1b33094de0487a"/>
    <x:sheet xmlns:r="http://schemas.openxmlformats.org/officeDocument/2006/relationships" name="Valuation" sheetId="4" r:id="Ra1fc0dc308634a30"/>
    <x:sheet xmlns:r="http://schemas.openxmlformats.org/officeDocument/2006/relationships" name="Checks" sheetId="5" r:id="Re57cd3540a00415a"/>
    <x:sheet xmlns:r="http://schemas.openxmlformats.org/officeDocument/2006/relationships" name="Sources Audit" sheetId="6" r:id="R2f96d2a2e3154888"/>
  </x:sheets>
</x:workbook>
</file>

<file path=xl/comments1.xml><?xml version="1.0" encoding="utf-8"?>
<x:comments xmlns:x="http://schemas.openxmlformats.org/spreadsheetml/2006/main">
  <x:authors>
    <x:author>tc={87D68E2E-DFBC-7F63-BEB0-46D2C62BD502}</x:author>
    <x:author>tc={D08D14F3-08BE-8CD3-B00F-3C6E941F17B0}</x:author>
    <x:author>tc={C148DF9D-FAF9-F267-4AB1-A8CAA8355B18}</x:author>
    <x:author>tc={57F9E6C1-EDD8-A7A1-249F-7800C8250850}</x:author>
    <x:author>tc={B6F31EB3-5181-27B2-2F9B-B6C6EF712E80}</x:author>
    <x:author>tc={038737AD-939D-A689-80C1-E78184C66A31}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Yahoo Finance 0700.HK daily chart API, close on 2026-08-12: https://query1.finance.yahoo.com/v8/finance/chart/0700.HK?period1=1786377600&amp;period2=1786550400&amp;interval=1d&amp;events=history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Yahoo Finance CNYHKD=X chart API, 2026-08-12: https://query1.finance.yahoo.com/v8/finance/chart/CNYHKD=X?period1=1786377600&amp;period2=1786550400&amp;interval=1d&amp;events=history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Tencent Next Day Disclosure Return dated 2026-07-09: https://static.www.tencent.com/uploads/2026/07/09/6438e0c0cb4954c7cfdf88d907716072.pdf</x:t>
        </x:r>
      </x:text>
    </x:comment>
    <x:comment ref="B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Tencent 2Q26 results presentation, net cash at 2026-06-30: https://static.www.tencent.com/website-2026-upload/2Q26-earnings-PPT_20260812_1800-88b183.pdf</x:t>
        </x:r>
      </x:text>
    </x:comment>
    <x:comment ref="B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Tencent 2Q26 results presentation, listed investee fair value at 2026-06-30.</x:t>
        </x:r>
      </x:text>
    </x:comment>
    <x:comment ref="B9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Tencent 2Q26 results presentation, unlisted investee carrying value at 2026-06-30.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yyyy-mm-dd"/>
    <x:numFmt numFmtId="201" formatCode="&quot;HKD &quot;#,##0.00"/>
    <x:numFmt numFmtId="202" formatCode="#,##0.0&quot; bn&quot;"/>
    <x:numFmt numFmtId="203" formatCode="&quot;HKD &quot;#,##0"/>
    <x:numFmt numFmtId="204" formatCode="0.0%;[Red](0.0%);-"/>
    <x:numFmt numFmtId="205" formatCode="#,##0.0;[Red](#,##0.0);-"/>
    <x:numFmt numFmtId="206" formatCode="0.000"/>
    <x:numFmt numFmtId="207" formatCode="0.0000"/>
    <x:numFmt numFmtId="208" formatCode="0.0x"/>
    <x:numFmt numFmtId="209" formatCode="0.0%"/>
    <x:numFmt numFmtId="210" formatCode="#,##0.000"/>
  </x:numFmts>
  <x:fonts count="1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563C1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008000"/>
      <x:name val="Aptos"/>
    </x:font>
    <x:font>
      <x:b/>
      <x:sz val="11"/>
      <x:color rgb="FFFFFFFF"/>
      <x:name val="Aptos"/>
    </x:font>
    <x:font>
      <x:b/>
      <x:sz val="11"/>
      <x:color rgb="FF000000"/>
      <x:name val="Aptos"/>
    </x:font>
    <x:font>
      <x:sz val="11"/>
      <x:color rgb="FF000000"/>
      <x:name val="Aptos"/>
    </x:font>
    <x:font>
      <x:sz val="11"/>
      <x:color rgb="FF0563C1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E2F0D9"/>
      </x:patternFill>
    </x:fill>
  </x:fills>
  <x:borders count="12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right style="thin">
        <x:color rgb="FFB4C7E7"/>
      </x:right>
    </x:border>
    <x:border>
      <x:left style="thin">
        <x:color rgb="FFB4C7E7"/>
      </x:left>
    </x:border>
    <x:border>
      <x:left style="thin">
        <x:color rgb="FFB4C7E7"/>
      </x:left>
      <x:right style="thin">
        <x:color rgb="FFB4C7E7"/>
      </x:right>
    </x:border>
    <x:border>
      <x:top style="thin">
        <x:color rgb="FF16324F"/>
      </x:top>
      <x:bottom style="thin">
        <x:color rgb="FFD9E2F3"/>
      </x:bottom>
    </x:border>
    <x:border>
      <x:top style="double">
        <x:color rgb="FF16324F"/>
      </x:top>
    </x:border>
  </x:borders>
  <x:cellStyleXfs count="1">
    <x:xf numFmtId="0" fontId="0" fillId="0" borderId="0"/>
  </x:cellStyleXfs>
  <x:cellXfs count="2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0" borderId="3" xfId="0" applyNumberFormat="1" applyFont="1" applyFill="1" applyBorder="1"/>
    <x:xf numFmtId="0" fontId="0" fillId="0" borderId="3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6" fillId="0" borderId="1" xfId="0" applyNumberFormat="1" applyFont="1" applyFill="1" applyBorder="1"/>
    <x:xf numFmtId="201" fontId="6" fillId="0" borderId="1" xfId="0" applyNumberFormat="1" applyFont="1" applyFill="1" applyBorder="1"/>
    <x:xf numFmtId="0" fontId="6" fillId="0" borderId="2" xfId="0" applyNumberFormat="1" applyFont="1" applyFill="1" applyBorder="1"/>
    <x:xf numFmtId="202" fontId="6" fillId="0" borderId="2" xfId="0" applyNumberFormat="1" applyFont="1" applyFill="1" applyBorder="1"/>
    <x:xf numFmtId="203" fontId="6" fillId="0" borderId="2" xfId="0" applyNumberFormat="1" applyFont="1" applyFill="1" applyBorder="1"/>
    <x:xf numFmtId="0" fontId="6" fillId="0" borderId="3" xfId="0" applyNumberFormat="1" applyFont="1" applyFill="1" applyBorder="1"/>
    <x:xf numFmtId="204" fontId="6" fillId="0" borderId="3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7" xfId="0" applyNumberFormat="1" applyFont="1" applyFill="1" applyBorder="1"/>
    <x:xf numFmtId="0" fontId="7" fillId="4" borderId="8" xfId="0" applyNumberFormat="1" applyFont="1" applyFill="1" applyBorder="1"/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7" fillId="4" borderId="9" xfId="0" applyNumberFormat="1" applyFont="1" applyFill="1" applyBorder="1"/>
    <x:xf numFmtId="205" fontId="0" fillId="0" borderId="0" xfId="0" applyNumberFormat="1" applyFont="1" applyFill="1" applyBorder="1"/>
    <x:xf numFmtId="204" fontId="0" fillId="0" borderId="0" xfId="0" applyNumberFormat="1" applyFont="1" applyFill="1" applyBorder="1"/>
    <x:xf numFmtId="206" fontId="0" fillId="0" borderId="0" xfId="0" applyNumberFormat="1" applyFont="1" applyFill="1" applyBorder="1"/>
    <x:xf numFmtId="205" fontId="6" fillId="0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1" xfId="0" applyNumberFormat="1" applyFont="1" applyFill="1" applyBorder="1"/>
    <x:xf numFmtId="205" fontId="6" fillId="0" borderId="2" xfId="0" applyNumberFormat="1" applyFont="1" applyFill="1" applyBorder="1"/>
    <x:xf numFmtId="204" fontId="6" fillId="0" borderId="2" xfId="0" applyNumberFormat="1" applyFont="1" applyFill="1" applyBorder="1"/>
    <x:xf numFmtId="206" fontId="6" fillId="0" borderId="2" xfId="0" applyNumberFormat="1" applyFont="1" applyFill="1" applyBorder="1"/>
    <x:xf numFmtId="205" fontId="6" fillId="0" borderId="3" xfId="0" applyNumberFormat="1" applyFont="1" applyFill="1" applyBorder="1"/>
    <x:xf numFmtId="0" fontId="6" fillId="5" borderId="2" xfId="0" applyNumberFormat="1" applyFont="1" applyFill="1" applyBorder="1"/>
    <x:xf numFmtId="204" fontId="6" fillId="5" borderId="2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7" fontId="8" fillId="0" borderId="0" xfId="0" applyNumberFormat="1" applyFont="1" applyFill="1" applyBorder="1"/>
    <x:xf numFmtId="206" fontId="8" fillId="0" borderId="0" xfId="0" applyNumberFormat="1" applyFont="1" applyFill="1" applyBorder="1"/>
    <x:xf numFmtId="202" fontId="8" fillId="0" borderId="0" xfId="0" applyNumberFormat="1" applyFont="1" applyFill="1" applyBorder="1"/>
    <x:xf numFmtId="207" fontId="6" fillId="0" borderId="0" xfId="0" applyNumberFormat="1" applyFont="1" applyFill="1" applyBorder="1"/>
    <x:xf numFmtId="207" fontId="6" fillId="0" borderId="2" xfId="0" applyNumberFormat="1" applyFont="1" applyFill="1" applyBorder="1"/>
    <x:xf numFmtId="202" fontId="6" fillId="0" borderId="3" xfId="0" applyNumberFormat="1" applyFont="1" applyFill="1" applyBorder="1"/>
    <x:xf numFmtId="208" fontId="8" fillId="0" borderId="0" xfId="0" applyNumberFormat="1" applyFont="1" applyFill="1" applyBorder="1"/>
    <x:xf numFmtId="209" fontId="8" fillId="0" borderId="0" xfId="0" applyNumberFormat="1" applyFont="1" applyFill="1" applyBorder="1"/>
    <x:xf numFmtId="208" fontId="6" fillId="0" borderId="0" xfId="0" applyNumberFormat="1" applyFont="1" applyFill="1" applyBorder="1"/>
    <x:xf numFmtId="209" fontId="6" fillId="0" borderId="0" xfId="0" applyNumberFormat="1" applyFont="1" applyFill="1" applyBorder="1"/>
    <x:xf numFmtId="202" fontId="6" fillId="0" borderId="1" xfId="0" applyNumberFormat="1" applyFont="1" applyFill="1" applyBorder="1"/>
    <x:xf numFmtId="208" fontId="6" fillId="0" borderId="2" xfId="0" applyNumberFormat="1" applyFont="1" applyFill="1" applyBorder="1"/>
    <x:xf numFmtId="209" fontId="6" fillId="0" borderId="3" xfId="0" applyNumberFormat="1" applyFont="1" applyFill="1" applyBorder="1"/>
    <x:xf numFmtId="209" fontId="6" fillId="0" borderId="2" xfId="0" applyNumberFormat="1" applyFont="1" applyFill="1" applyBorder="1"/>
    <x:xf numFmtId="209" fontId="6" fillId="0" borderId="1" xfId="0" applyNumberFormat="1" applyFont="1" applyFill="1" applyBorder="1"/>
    <x:xf numFmtId="203" fontId="6" fillId="0" borderId="1" xfId="0" applyNumberFormat="1" applyFont="1" applyFill="1" applyBorder="1"/>
    <x:xf numFmtId="204" fontId="6" fillId="0" borderId="1" xfId="0" applyNumberFormat="1" applyFont="1" applyFill="1" applyBorder="1"/>
    <x:xf numFmtId="203" fontId="6" fillId="0" borderId="3" xfId="0" applyNumberFormat="1" applyFont="1" applyFill="1" applyBorder="1"/>
    <x:xf numFmtId="0" fontId="6" fillId="6" borderId="2" xfId="0" applyNumberFormat="1" applyFont="1" applyFill="1" applyBorder="1"/>
    <x:xf numFmtId="203" fontId="6" fillId="6" borderId="2" xfId="0" applyNumberFormat="1" applyFont="1" applyFill="1" applyBorder="1"/>
    <x:xf numFmtId="204" fontId="6" fillId="6" borderId="2" xfId="0" applyNumberFormat="1" applyFont="1" applyFill="1" applyBorder="1"/>
    <x:xf numFmtId="202" fontId="0" fillId="0" borderId="0" xfId="0" applyNumberFormat="1" applyFont="1" applyFill="1" applyBorder="1"/>
    <x:xf numFmtId="209" fontId="0" fillId="0" borderId="0" xfId="0" applyNumberFormat="1" applyFont="1" applyFill="1" applyBorder="1"/>
    <x:xf numFmtId="209" fontId="5" fillId="0" borderId="0" xfId="0" applyNumberFormat="1" applyFont="1" applyFill="1" applyBorder="1"/>
    <x:xf numFmtId="202" fontId="6" fillId="5" borderId="2" xfId="0" applyNumberFormat="1" applyFont="1" applyFill="1" applyBorder="1"/>
    <x:xf numFmtId="0" fontId="7" fillId="5" borderId="2" xfId="0" applyNumberFormat="1" applyFont="1" applyFill="1" applyBorder="1"/>
    <x:xf numFmtId="202" fontId="7" fillId="5" borderId="2" xfId="0" applyNumberFormat="1" applyFont="1" applyFill="1" applyBorder="1"/>
    <x:xf numFmtId="0" fontId="7" fillId="5" borderId="10" xfId="0" applyNumberFormat="1" applyFont="1" applyFill="1" applyBorder="1"/>
    <x:xf numFmtId="202" fontId="7" fillId="5" borderId="10" xfId="0" applyNumberFormat="1" applyFont="1" applyFill="1" applyBorder="1"/>
    <x:xf numFmtId="0" fontId="6" fillId="6" borderId="3" xfId="0" applyNumberFormat="1" applyFont="1" applyFill="1" applyBorder="1"/>
    <x:xf numFmtId="203" fontId="6" fillId="6" borderId="3" xfId="0" applyNumberFormat="1" applyFont="1" applyFill="1" applyBorder="1"/>
    <x:xf numFmtId="0" fontId="7" fillId="6" borderId="3" xfId="0" applyNumberFormat="1" applyFont="1" applyFill="1" applyBorder="1"/>
    <x:xf numFmtId="203" fontId="7" fillId="6" borderId="3" xfId="0" applyNumberFormat="1" applyFont="1" applyFill="1" applyBorder="1"/>
    <x:xf numFmtId="0" fontId="7" fillId="6" borderId="11" xfId="0" applyNumberFormat="1" applyFont="1" applyFill="1" applyBorder="1"/>
    <x:xf numFmtId="203" fontId="7" fillId="6" borderId="11" xfId="0" applyNumberFormat="1" applyFont="1" applyFill="1" applyBorder="1"/>
    <x:xf numFmtId="206" fontId="6" fillId="0" borderId="1" xfId="0" applyNumberFormat="1" applyFont="1" applyFill="1" applyBorder="1"/>
    <x:xf numFmtId="206" fontId="6" fillId="0" borderId="3" xfId="0" applyNumberFormat="1" applyFont="1" applyFill="1" applyBorder="1"/>
    <x:xf numFmtId="210" fontId="6" fillId="0" borderId="1" xfId="0" applyNumberFormat="1" applyFont="1" applyFill="1" applyBorder="1"/>
    <x:xf numFmtId="210" fontId="6" fillId="0" borderId="2" xfId="0" applyNumberFormat="1" applyFont="1" applyFill="1" applyBorder="1"/>
    <x:xf numFmtId="210" fontId="6" fillId="0" borderId="3" xfId="0" applyNumberFormat="1" applyFont="1" applyFill="1" applyBorder="1"/>
    <x:xf numFmtId="0" fontId="9" fillId="0" borderId="1" xfId="0" applyNumberFormat="1" applyFont="1" applyFill="1" applyBorder="1"/>
    <x:xf numFmtId="0" fontId="9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10" fontId="6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210" fontId="6" fillId="0" borderId="2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210" fontId="6" fillId="0" borderId="3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0" borderId="1" xfId="0" applyNumberFormat="1" applyFont="1" applyFill="1" applyBorder="1"/>
    <x:xf numFmtId="0" fontId="11" fillId="0" borderId="1" xfId="0" applyNumberFormat="1" applyFont="1" applyFill="1" applyBorder="1"/>
    <x:xf numFmtId="0" fontId="12" fillId="0" borderId="2" xfId="0" applyNumberFormat="1" applyFont="1" applyFill="1" applyBorder="1"/>
    <x:xf numFmtId="200" fontId="11" fillId="0" borderId="2" xfId="0" applyNumberFormat="1" applyFont="1" applyFill="1" applyBorder="1"/>
    <x:xf numFmtId="0" fontId="11" fillId="0" borderId="2" xfId="0" applyNumberFormat="1" applyFont="1" applyFill="1" applyBorder="1"/>
    <x:xf numFmtId="0" fontId="13" fillId="0" borderId="2" xfId="0" applyNumberFormat="1" applyFont="1" applyFill="1" applyBorder="1"/>
    <x:xf numFmtId="0" fontId="12" fillId="0" borderId="3" xfId="0" applyNumberFormat="1" applyFont="1" applyFill="1" applyBorder="1"/>
    <x:xf numFmtId="0" fontId="11" fillId="0" borderId="3" xfId="0" applyNumberFormat="1" applyFont="1" applyFill="1" applyBorder="1"/>
    <x:xf numFmtId="0" fontId="14" fillId="3" borderId="4" xfId="0" applyNumberFormat="1" applyFont="1" applyFill="1" applyBorder="1"/>
    <x:xf numFmtId="0" fontId="14" fillId="3" borderId="5" xfId="0" applyNumberFormat="1" applyFont="1" applyFill="1" applyBorder="1"/>
    <x:xf numFmtId="0" fontId="14" fillId="3" borderId="6" xfId="0" applyNumberFormat="1" applyFont="1" applyFill="1" applyBorder="1"/>
    <x:xf numFmtId="0" fontId="15" fillId="4" borderId="7" xfId="0" applyNumberFormat="1" applyFont="1" applyFill="1" applyBorder="1"/>
    <x:xf numFmtId="0" fontId="15" fillId="4" borderId="8" xfId="0" applyNumberFormat="1" applyFont="1" applyFill="1" applyBorder="1"/>
    <x:xf numFmtId="0" fontId="16" fillId="0" borderId="1" xfId="0" applyNumberFormat="1" applyFont="1" applyFill="1" applyBorder="1"/>
    <x:xf numFmtId="201" fontId="16" fillId="0" borderId="1" xfId="0" applyNumberFormat="1" applyFont="1" applyFill="1" applyBorder="1"/>
    <x:xf numFmtId="203" fontId="11" fillId="0" borderId="0" xfId="0" applyNumberFormat="1" applyFont="1" applyFill="1" applyBorder="1"/>
    <x:xf numFmtId="0" fontId="16" fillId="0" borderId="2" xfId="0" applyNumberFormat="1" applyFont="1" applyFill="1" applyBorder="1"/>
    <x:xf numFmtId="202" fontId="16" fillId="0" borderId="2" xfId="0" applyNumberFormat="1" applyFont="1" applyFill="1" applyBorder="1"/>
    <x:xf numFmtId="203" fontId="16" fillId="0" borderId="2" xfId="0" applyNumberFormat="1" applyFont="1" applyFill="1" applyBorder="1"/>
    <x:xf numFmtId="0" fontId="16" fillId="0" borderId="3" xfId="0" applyNumberFormat="1" applyFont="1" applyFill="1" applyBorder="1"/>
    <x:xf numFmtId="204" fontId="16" fillId="0" borderId="3" xfId="0" applyNumberFormat="1" applyFont="1" applyFill="1" applyBorder="1"/>
    <x:xf numFmtId="0" fontId="16" fillId="5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/>
    </x:xf>
    <x:xf numFmtId="0" fontId="12" fillId="0" borderId="2" xfId="0" applyNumberFormat="1" applyFont="1" applyFill="1" applyBorder="1" applyAlignment="1">
      <x:alignment vertical="center"/>
    </x:xf>
    <x:xf numFmtId="200" fontId="11" fillId="0" borderId="2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0" fontId="13" fillId="0" borderId="2" xfId="0" applyNumberFormat="1" applyFont="1" applyFill="1" applyBorder="1" applyAlignment="1">
      <x:alignment vertical="center"/>
    </x:xf>
    <x:xf numFmtId="0" fontId="12" fillId="0" borderId="3" xfId="0" applyNumberFormat="1" applyFont="1" applyFill="1" applyBorder="1" applyAlignment="1">
      <x:alignment vertical="center"/>
    </x:xf>
    <x:xf numFmtId="0" fontId="11" fillId="0" borderId="3" xfId="0" applyNumberFormat="1" applyFont="1" applyFill="1" applyBorder="1" applyAlignment="1">
      <x:alignment vertical="center"/>
    </x:xf>
    <x:xf numFmtId="0" fontId="14" fillId="3" borderId="4" xfId="0" applyNumberFormat="1" applyFont="1" applyFill="1" applyBorder="1" applyAlignment="1">
      <x:alignment vertical="center"/>
    </x:xf>
    <x:xf numFmtId="0" fontId="14" fillId="3" borderId="5" xfId="0" applyNumberFormat="1" applyFont="1" applyFill="1" applyBorder="1" applyAlignment="1">
      <x:alignment vertical="center"/>
    </x:xf>
    <x:xf numFmtId="0" fontId="14" fillId="3" borderId="6" xfId="0" applyNumberFormat="1" applyFont="1" applyFill="1" applyBorder="1" applyAlignment="1">
      <x:alignment vertical="center"/>
    </x:xf>
    <x:xf numFmtId="0" fontId="15" fillId="4" borderId="7" xfId="0" applyNumberFormat="1" applyFont="1" applyFill="1" applyBorder="1" applyAlignment="1">
      <x:alignment vertical="center"/>
    </x:xf>
    <x:xf numFmtId="0" fontId="15" fillId="4" borderId="8" xfId="0" applyNumberFormat="1" applyFont="1" applyFill="1" applyBorder="1" applyAlignment="1">
      <x:alignment vertical="center"/>
    </x:xf>
    <x:xf numFmtId="0" fontId="16" fillId="0" borderId="1" xfId="0" applyNumberFormat="1" applyFont="1" applyFill="1" applyBorder="1" applyAlignment="1">
      <x:alignment vertical="center"/>
    </x:xf>
    <x:xf numFmtId="201" fontId="16" fillId="0" borderId="1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0" fontId="16" fillId="0" borderId="2" xfId="0" applyNumberFormat="1" applyFont="1" applyFill="1" applyBorder="1" applyAlignment="1">
      <x:alignment vertical="center"/>
    </x:xf>
    <x:xf numFmtId="202" fontId="16" fillId="0" borderId="2" xfId="0" applyNumberFormat="1" applyFont="1" applyFill="1" applyBorder="1" applyAlignment="1">
      <x:alignment vertical="center"/>
    </x:xf>
    <x:xf numFmtId="203" fontId="16" fillId="0" borderId="2" xfId="0" applyNumberFormat="1" applyFont="1" applyFill="1" applyBorder="1" applyAlignment="1">
      <x:alignment vertical="center"/>
    </x:xf>
    <x:xf numFmtId="0" fontId="16" fillId="0" borderId="3" xfId="0" applyNumberFormat="1" applyFont="1" applyFill="1" applyBorder="1" applyAlignment="1">
      <x:alignment vertical="center"/>
    </x:xf>
    <x:xf numFmtId="204" fontId="16" fillId="0" borderId="3" xfId="0" applyNumberFormat="1" applyFont="1" applyFill="1" applyBorder="1" applyAlignment="1">
      <x:alignment vertical="center"/>
    </x:xf>
    <x:xf numFmtId="0" fontId="16" fillId="5" borderId="0" xfId="0" applyNumberFormat="1" applyFont="1" applyFill="1" applyBorder="1" applyAlignment="1">
      <x:alignment vertical="center" wrapText="1"/>
    </x:xf>
    <x:xf numFmtId="0" fontId="15" fillId="4" borderId="9" xfId="0" applyNumberFormat="1" applyFont="1" applyFill="1" applyBorder="1"/>
    <x:xf numFmtId="205" fontId="16" fillId="0" borderId="1" xfId="0" applyNumberFormat="1" applyFont="1" applyFill="1" applyBorder="1"/>
    <x:xf numFmtId="205" fontId="16" fillId="0" borderId="2" xfId="0" applyNumberFormat="1" applyFont="1" applyFill="1" applyBorder="1"/>
    <x:xf numFmtId="0" fontId="16" fillId="5" borderId="2" xfId="0" applyNumberFormat="1" applyFont="1" applyFill="1" applyBorder="1"/>
    <x:xf numFmtId="204" fontId="16" fillId="5" borderId="2" xfId="0" applyNumberFormat="1" applyFont="1" applyFill="1" applyBorder="1"/>
    <x:xf numFmtId="206" fontId="16" fillId="0" borderId="2" xfId="0" applyNumberFormat="1" applyFont="1" applyFill="1" applyBorder="1"/>
    <x:xf numFmtId="205" fontId="16" fillId="0" borderId="3" xfId="0" applyNumberFormat="1" applyFont="1" applyFill="1" applyBorder="1"/>
    <x:xf numFmtId="0" fontId="15" fillId="4" borderId="9" xfId="0" applyNumberFormat="1" applyFont="1" applyFill="1" applyBorder="1" applyAlignment="1">
      <x:alignment vertical="center"/>
    </x:xf>
    <x:xf numFmtId="205" fontId="16" fillId="0" borderId="1" xfId="0" applyNumberFormat="1" applyFont="1" applyFill="1" applyBorder="1" applyAlignment="1">
      <x:alignment vertical="center"/>
    </x:xf>
    <x:xf numFmtId="205" fontId="16" fillId="0" borderId="2" xfId="0" applyNumberFormat="1" applyFont="1" applyFill="1" applyBorder="1" applyAlignment="1">
      <x:alignment vertical="center"/>
    </x:xf>
    <x:xf numFmtId="0" fontId="16" fillId="5" borderId="2" xfId="0" applyNumberFormat="1" applyFont="1" applyFill="1" applyBorder="1" applyAlignment="1">
      <x:alignment vertical="center"/>
    </x:xf>
    <x:xf numFmtId="204" fontId="16" fillId="5" borderId="2" xfId="0" applyNumberFormat="1" applyFont="1" applyFill="1" applyBorder="1" applyAlignment="1">
      <x:alignment vertical="center"/>
    </x:xf>
    <x:xf numFmtId="206" fontId="16" fillId="0" borderId="2" xfId="0" applyNumberFormat="1" applyFont="1" applyFill="1" applyBorder="1" applyAlignment="1">
      <x:alignment vertical="center"/>
    </x:xf>
    <x:xf numFmtId="205" fontId="16" fillId="0" borderId="3" xfId="0" applyNumberFormat="1" applyFont="1" applyFill="1" applyBorder="1" applyAlignment="1">
      <x:alignment vertical="center"/>
    </x:xf>
    <x:xf numFmtId="207" fontId="16" fillId="0" borderId="2" xfId="0" applyNumberFormat="1" applyFont="1" applyFill="1" applyBorder="1"/>
    <x:xf numFmtId="202" fontId="16" fillId="0" borderId="3" xfId="0" applyNumberFormat="1" applyFont="1" applyFill="1" applyBorder="1"/>
    <x:xf numFmtId="202" fontId="16" fillId="0" borderId="1" xfId="0" applyNumberFormat="1" applyFont="1" applyFill="1" applyBorder="1"/>
    <x:xf numFmtId="208" fontId="16" fillId="0" borderId="2" xfId="0" applyNumberFormat="1" applyFont="1" applyFill="1" applyBorder="1"/>
    <x:xf numFmtId="209" fontId="16" fillId="0" borderId="3" xfId="0" applyNumberFormat="1" applyFont="1" applyFill="1" applyBorder="1"/>
    <x:xf numFmtId="209" fontId="16" fillId="0" borderId="2" xfId="0" applyNumberFormat="1" applyFont="1" applyFill="1" applyBorder="1"/>
    <x:xf numFmtId="209" fontId="16" fillId="0" borderId="1" xfId="0" applyNumberFormat="1" applyFont="1" applyFill="1" applyBorder="1"/>
    <x:xf numFmtId="207" fontId="16" fillId="0" borderId="2" xfId="0" applyNumberFormat="1" applyFont="1" applyFill="1" applyBorder="1" applyAlignment="1">
      <x:alignment vertical="center"/>
    </x:xf>
    <x:xf numFmtId="202" fontId="16" fillId="0" borderId="3" xfId="0" applyNumberFormat="1" applyFont="1" applyFill="1" applyBorder="1" applyAlignment="1">
      <x:alignment vertical="center"/>
    </x:xf>
    <x:xf numFmtId="202" fontId="16" fillId="0" borderId="1" xfId="0" applyNumberFormat="1" applyFont="1" applyFill="1" applyBorder="1" applyAlignment="1">
      <x:alignment vertical="center"/>
    </x:xf>
    <x:xf numFmtId="208" fontId="16" fillId="0" borderId="2" xfId="0" applyNumberFormat="1" applyFont="1" applyFill="1" applyBorder="1" applyAlignment="1">
      <x:alignment vertical="center"/>
    </x:xf>
    <x:xf numFmtId="209" fontId="16" fillId="0" borderId="3" xfId="0" applyNumberFormat="1" applyFont="1" applyFill="1" applyBorder="1" applyAlignment="1">
      <x:alignment vertical="center"/>
    </x:xf>
    <x:xf numFmtId="209" fontId="16" fillId="0" borderId="2" xfId="0" applyNumberFormat="1" applyFont="1" applyFill="1" applyBorder="1" applyAlignment="1">
      <x:alignment vertical="center"/>
    </x:xf>
    <x:xf numFmtId="209" fontId="16" fillId="0" borderId="1" xfId="0" applyNumberFormat="1" applyFont="1" applyFill="1" applyBorder="1" applyAlignment="1">
      <x:alignment vertical="center"/>
    </x:xf>
    <x:xf numFmtId="203" fontId="16" fillId="0" borderId="1" xfId="0" applyNumberFormat="1" applyFont="1" applyFill="1" applyBorder="1"/>
    <x:xf numFmtId="204" fontId="16" fillId="0" borderId="1" xfId="0" applyNumberFormat="1" applyFont="1" applyFill="1" applyBorder="1"/>
    <x:xf numFmtId="0" fontId="16" fillId="6" borderId="2" xfId="0" applyNumberFormat="1" applyFont="1" applyFill="1" applyBorder="1"/>
    <x:xf numFmtId="203" fontId="16" fillId="6" borderId="2" xfId="0" applyNumberFormat="1" applyFont="1" applyFill="1" applyBorder="1"/>
    <x:xf numFmtId="204" fontId="16" fillId="6" borderId="2" xfId="0" applyNumberFormat="1" applyFont="1" applyFill="1" applyBorder="1"/>
    <x:xf numFmtId="203" fontId="16" fillId="0" borderId="3" xfId="0" applyNumberFormat="1" applyFont="1" applyFill="1" applyBorder="1"/>
    <x:xf numFmtId="0" fontId="16" fillId="0" borderId="0" xfId="0" applyNumberFormat="1" applyFont="1" applyFill="1" applyBorder="1"/>
    <x:xf numFmtId="0" fontId="15" fillId="5" borderId="10" xfId="0" applyNumberFormat="1" applyFont="1" applyFill="1" applyBorder="1"/>
    <x:xf numFmtId="202" fontId="15" fillId="5" borderId="10" xfId="0" applyNumberFormat="1" applyFont="1" applyFill="1" applyBorder="1"/>
    <x:xf numFmtId="0" fontId="15" fillId="6" borderId="11" xfId="0" applyNumberFormat="1" applyFont="1" applyFill="1" applyBorder="1"/>
    <x:xf numFmtId="203" fontId="15" fillId="6" borderId="11" xfId="0" applyNumberFormat="1" applyFont="1" applyFill="1" applyBorder="1"/>
    <x:xf numFmtId="203" fontId="16" fillId="0" borderId="1" xfId="0" applyNumberFormat="1" applyFont="1" applyFill="1" applyBorder="1" applyAlignment="1">
      <x:alignment vertical="center"/>
    </x:xf>
    <x:xf numFmtId="204" fontId="16" fillId="0" borderId="1" xfId="0" applyNumberFormat="1" applyFont="1" applyFill="1" applyBorder="1" applyAlignment="1">
      <x:alignment vertical="center"/>
    </x:xf>
    <x:xf numFmtId="0" fontId="16" fillId="6" borderId="2" xfId="0" applyNumberFormat="1" applyFont="1" applyFill="1" applyBorder="1" applyAlignment="1">
      <x:alignment vertical="center"/>
    </x:xf>
    <x:xf numFmtId="203" fontId="16" fillId="6" borderId="2" xfId="0" applyNumberFormat="1" applyFont="1" applyFill="1" applyBorder="1" applyAlignment="1">
      <x:alignment vertical="center"/>
    </x:xf>
    <x:xf numFmtId="204" fontId="16" fillId="6" borderId="2" xfId="0" applyNumberFormat="1" applyFont="1" applyFill="1" applyBorder="1" applyAlignment="1">
      <x:alignment vertical="center"/>
    </x:xf>
    <x:xf numFmtId="203" fontId="16" fillId="0" borderId="3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  <x:xf numFmtId="0" fontId="15" fillId="5" borderId="10" xfId="0" applyNumberFormat="1" applyFont="1" applyFill="1" applyBorder="1" applyAlignment="1">
      <x:alignment vertical="center"/>
    </x:xf>
    <x:xf numFmtId="202" fontId="15" fillId="5" borderId="10" xfId="0" applyNumberFormat="1" applyFont="1" applyFill="1" applyBorder="1" applyAlignment="1">
      <x:alignment vertical="center"/>
    </x:xf>
    <x:xf numFmtId="0" fontId="15" fillId="6" borderId="11" xfId="0" applyNumberFormat="1" applyFont="1" applyFill="1" applyBorder="1" applyAlignment="1">
      <x:alignment vertical="center"/>
    </x:xf>
    <x:xf numFmtId="203" fontId="15" fillId="6" borderId="11" xfId="0" applyNumberFormat="1" applyFont="1" applyFill="1" applyBorder="1" applyAlignment="1">
      <x:alignment vertical="center"/>
    </x:xf>
    <x:xf numFmtId="206" fontId="16" fillId="0" borderId="1" xfId="0" applyNumberFormat="1" applyFont="1" applyFill="1" applyBorder="1"/>
    <x:xf numFmtId="206" fontId="16" fillId="0" borderId="3" xfId="0" applyNumberFormat="1" applyFont="1" applyFill="1" applyBorder="1"/>
    <x:xf numFmtId="206" fontId="16" fillId="0" borderId="1" xfId="0" applyNumberFormat="1" applyFont="1" applyFill="1" applyBorder="1" applyAlignment="1">
      <x:alignment vertical="center"/>
    </x:xf>
    <x:xf numFmtId="206" fontId="16" fillId="0" borderId="3" xfId="0" applyNumberFormat="1" applyFont="1" applyFill="1" applyBorder="1" applyAlignment="1">
      <x:alignment vertical="center"/>
    </x:xf>
    <x:xf numFmtId="0" fontId="16" fillId="0" borderId="1" xfId="0" applyNumberFormat="1" applyFont="1" applyFill="1" applyBorder="1" applyAlignment="1">
      <x:alignment wrapText="1"/>
    </x:xf>
    <x:xf numFmtId="210" fontId="16" fillId="0" borderId="1" xfId="0" applyNumberFormat="1" applyFont="1" applyFill="1" applyBorder="1" applyAlignment="1">
      <x:alignment wrapText="1"/>
    </x:xf>
    <x:xf numFmtId="0" fontId="17" fillId="0" borderId="1" xfId="0" applyNumberFormat="1" applyFont="1" applyFill="1" applyBorder="1" applyAlignment="1">
      <x:alignment wrapText="1"/>
    </x:xf>
    <x:xf numFmtId="0" fontId="16" fillId="0" borderId="2" xfId="0" applyNumberFormat="1" applyFont="1" applyFill="1" applyBorder="1" applyAlignment="1">
      <x:alignment wrapText="1"/>
    </x:xf>
    <x:xf numFmtId="210" fontId="16" fillId="0" borderId="2" xfId="0" applyNumberFormat="1" applyFont="1" applyFill="1" applyBorder="1" applyAlignment="1">
      <x:alignment wrapText="1"/>
    </x:xf>
    <x:xf numFmtId="0" fontId="17" fillId="0" borderId="2" xfId="0" applyNumberFormat="1" applyFont="1" applyFill="1" applyBorder="1" applyAlignment="1">
      <x:alignment wrapText="1"/>
    </x:xf>
    <x:xf numFmtId="0" fontId="16" fillId="0" borderId="3" xfId="0" applyNumberFormat="1" applyFont="1" applyFill="1" applyBorder="1" applyAlignment="1">
      <x:alignment wrapText="1"/>
    </x:xf>
    <x:xf numFmtId="210" fontId="16" fillId="0" borderId="3" xfId="0" applyNumberFormat="1" applyFont="1" applyFill="1" applyBorder="1" applyAlignment="1">
      <x:alignment wrapText="1"/>
    </x:xf>
    <x:xf numFmtId="0" fontId="17" fillId="0" borderId="3" xfId="0" applyNumberFormat="1" applyFont="1" applyFill="1" applyBorder="1" applyAlignment="1">
      <x:alignment wrapText="1"/>
    </x:xf>
    <x:xf numFmtId="0" fontId="16" fillId="0" borderId="1" xfId="0" applyNumberFormat="1" applyFont="1" applyFill="1" applyBorder="1" applyAlignment="1">
      <x:alignment vertical="center" wrapText="1"/>
    </x:xf>
    <x:xf numFmtId="210" fontId="16" fillId="0" borderId="1" xfId="0" applyNumberFormat="1" applyFont="1" applyFill="1" applyBorder="1" applyAlignment="1">
      <x:alignment vertical="center" wrapText="1"/>
    </x:xf>
    <x:xf numFmtId="0" fontId="17" fillId="0" borderId="1" xfId="0" applyNumberFormat="1" applyFont="1" applyFill="1" applyBorder="1" applyAlignment="1">
      <x:alignment vertical="center" wrapText="1"/>
    </x:xf>
    <x:xf numFmtId="0" fontId="16" fillId="0" borderId="2" xfId="0" applyNumberFormat="1" applyFont="1" applyFill="1" applyBorder="1" applyAlignment="1">
      <x:alignment vertical="center" wrapText="1"/>
    </x:xf>
    <x:xf numFmtId="210" fontId="16" fillId="0" borderId="2" xfId="0" applyNumberFormat="1" applyFont="1" applyFill="1" applyBorder="1" applyAlignment="1">
      <x:alignment vertical="center" wrapText="1"/>
    </x:xf>
    <x:xf numFmtId="0" fontId="17" fillId="0" borderId="2" xfId="0" applyNumberFormat="1" applyFont="1" applyFill="1" applyBorder="1" applyAlignment="1">
      <x:alignment vertical="center" wrapText="1"/>
    </x:xf>
    <x:xf numFmtId="0" fontId="16" fillId="0" borderId="3" xfId="0" applyNumberFormat="1" applyFont="1" applyFill="1" applyBorder="1" applyAlignment="1">
      <x:alignment vertical="center" wrapText="1"/>
    </x:xf>
    <x:xf numFmtId="210" fontId="16" fillId="0" borderId="3" xfId="0" applyNumberFormat="1" applyFont="1" applyFill="1" applyBorder="1" applyAlignment="1">
      <x:alignment vertical="center" wrapText="1"/>
    </x:xf>
    <x:xf numFmtId="0" fontId="17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0c5c3006304f39" /><Relationship Type="http://schemas.openxmlformats.org/officeDocument/2006/relationships/theme" Target="/xl/theme/theme1.xml" Id="Raa28350ca77b4c77" /><Relationship Type="http://schemas.openxmlformats.org/officeDocument/2006/relationships/sharedStrings" Target="/xl/sharedStrings.xml" Id="R001fa685e86c44f0" /><Relationship Type="http://schemas.openxmlformats.org/officeDocument/2006/relationships/worksheet" Target="/xl/worksheets/sheet1.xml" Id="Re74cff23e7c9426d" /><Relationship Type="http://schemas.openxmlformats.org/officeDocument/2006/relationships/worksheet" Target="/xl/worksheets/sheet2.xml" Id="R1b70c5c7f9a24fb1" /><Relationship Type="http://schemas.openxmlformats.org/officeDocument/2006/relationships/worksheet" Target="/xl/worksheets/sheet3.xml" Id="Rce1b33094de0487a" /><Relationship Type="http://schemas.openxmlformats.org/officeDocument/2006/relationships/worksheet" Target="/xl/worksheets/sheet4.xml" Id="Ra1fc0dc308634a30" /><Relationship Type="http://schemas.openxmlformats.org/officeDocument/2006/relationships/worksheet" Target="/xl/worksheets/sheet5.xml" Id="Re57cd3540a00415a" /><Relationship Type="http://schemas.openxmlformats.org/officeDocument/2006/relationships/worksheet" Target="/xl/worksheets/sheet6.xml" Id="R2f96d2a2e3154888" /><Relationship Type="http://schemas.microsoft.com/office/2017/10/relationships/person" Target="/xl/persons/person.xml" Id="R2ab94c2694a943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57bb7f7f4143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当前价格与情景价值（HKD/股）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港币/股</c:v>
          </c:tx>
          <c:cat>
            <c:strRef>
              <c:f>'Cover'!$F$13:$F$16</c:f>
              <c:strCache>
                <c:ptCount val="0"/>
              </c:strCache>
            </c:strRef>
          </c:cat>
          <c:val>
            <c:numRef>
              <c:f>'Cover'!$G$13:$G$16</c:f>
              <c:numCache>
                <c:formatCode>"HKD 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HKD &quot;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57bb7f7f41434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851DD5AA-B5A8-44B4-BF62-7A98E8EB09F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8-12T14:28:50.503" personId="{851DD5AA-B5A8-44B4-BF62-7A98E8EB09FA}" id="{87D68E2E-DFBC-7F63-BEB0-46D2C62BD502}">
    <xltc:text>Source: Yahoo Finance 0700.HK daily chart API, close on 2026-08-12: https://query1.finance.yahoo.com/v8/finance/chart/0700.HK?period1=1786377600&amp;period2=1786550400&amp;interval=1d&amp;events=history</xltc:text>
  </xltc:threadedComment>
  <xltc:threadedComment ref="B5" dT="2026-08-12T14:28:50.503" personId="{851DD5AA-B5A8-44B4-BF62-7A98E8EB09FA}" id="{D08D14F3-08BE-8CD3-B00F-3C6E941F17B0}">
    <xltc:text>Source: Yahoo Finance CNYHKD=X chart API, 2026-08-12: https://query1.finance.yahoo.com/v8/finance/chart/CNYHKD=X?period1=1786377600&amp;period2=1786550400&amp;interval=1d&amp;events=history</xltc:text>
  </xltc:threadedComment>
  <xltc:threadedComment ref="B6" dT="2026-08-12T14:28:50.504" personId="{851DD5AA-B5A8-44B4-BF62-7A98E8EB09FA}" id="{C148DF9D-FAF9-F267-4AB1-A8CAA8355B18}">
    <xltc:text>Source: Tencent Next Day Disclosure Return dated 2026-07-09: https://static.www.tencent.com/uploads/2026/07/09/6438e0c0cb4954c7cfdf88d907716072.pdf</xltc:text>
  </xltc:threadedComment>
  <xltc:threadedComment ref="B7" dT="2026-08-12T14:28:50.504" personId="{851DD5AA-B5A8-44B4-BF62-7A98E8EB09FA}" id="{57F9E6C1-EDD8-A7A1-249F-7800C8250850}">
    <xltc:text>Source: Tencent 2Q26 results presentation, net cash at 2026-06-30: https://static.www.tencent.com/website-2026-upload/2Q26-earnings-PPT_20260812_1800-88b183.pdf</xltc:text>
  </xltc:threadedComment>
  <xltc:threadedComment ref="B8" dT="2026-08-12T14:28:50.504" personId="{851DD5AA-B5A8-44B4-BF62-7A98E8EB09FA}" id="{B6F31EB3-5181-27B2-2F9B-B6C6EF712E80}">
    <xltc:text>Source: Tencent 2Q26 results presentation, listed investee fair value at 2026-06-30.</xltc:text>
  </xltc:threadedComment>
  <xltc:threadedComment ref="B9" dT="2026-08-12T14:28:50.504" personId="{851DD5AA-B5A8-44B4-BF62-7A98E8EB09FA}" id="{038737AD-939D-A689-80C1-E78184C66A31}">
    <xltc:text>Source: Tencent 2Q26 results presentation, unlisted investee carrying value at 2026-06-30.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4b233b74d147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a91cb9bea28b4e65" /><Relationship Type="http://schemas.openxmlformats.org/officeDocument/2006/relationships/vmlDrawing" Target="/xl/drawings/vmldrawing.vml" Id="R42344a9631484df8" /><Relationship Type="http://schemas.microsoft.com/office/2017/10/relationships/threadedComment" Target="/xl/threadedcomments/threadedcomment.xml" Id="Rdf41c368e25249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42" hidden="0" customWidth="1"/>
    <x:col min="4" max="4" width="4" hidden="0" customWidth="1"/>
    <x:col min="5" max="5" width="4" hidden="0" customWidth="1"/>
    <x:col min="6" max="6" width="20" hidden="0" customWidth="1"/>
    <x:col min="7" max="7" width="16" hidden="0" customWidth="1"/>
    <x:col min="8" max="8" width="12" hidden="0" customWidth="1"/>
  </x:cols>
  <x:sheetData>
    <x:row r="1" ht="30" customHeight="1">
      <x:c r="A1" s="113" t="str">
        <x:v>腾讯控股（0700.HK）基本面与估值模型</x:v>
      </x:c>
      <x:c r="B1" s="113" t="str">
        <x:v>腾讯控股（0700.HK）基本面与估值模型</x:v>
      </x:c>
      <x:c r="C1" s="113" t="str">
        <x:v>腾讯控股（0700.HK）基本面与估值模型</x:v>
      </x:c>
      <x:c r="D1" s="113" t="str">
        <x:v>腾讯控股（0700.HK）基本面与估值模型</x:v>
      </x:c>
      <x:c r="E1" s="113" t="str">
        <x:v>腾讯控股（0700.HK）基本面与估值模型</x:v>
      </x:c>
      <x:c r="F1" s="113" t="str">
        <x:v>腾讯控股（0700.HK）基本面与估值模型</x:v>
      </x:c>
      <x:c r="G1" s="113" t="str">
        <x:v>腾讯控股（0700.HK）基本面与估值模型</x:v>
      </x:c>
      <x:c r="H1" s="113" t="str">
        <x:v>腾讯控股（0700.HK）基本面与估值模型</x:v>
      </x:c>
    </x:row>
    <x:row r="2">
      <x:c r="A2" s="137"/>
      <x:c r="B2" s="137"/>
      <x:c r="C2" s="137"/>
      <x:c r="D2" s="137"/>
      <x:c r="E2" s="137"/>
      <x:c r="F2" s="137"/>
      <x:c r="G2" s="137"/>
      <x:c r="H2" s="137"/>
    </x:row>
    <x:row r="3">
      <x:c r="A3" s="138" t="str">
        <x:v>公司</x:v>
      </x:c>
      <x:c r="B3" s="139" t="str">
        <x:v>腾讯控股有限公司</x:v>
      </x:c>
      <x:c r="C3" s="137"/>
      <x:c r="D3" s="137"/>
      <x:c r="E3" s="137"/>
      <x:c r="F3" s="137"/>
      <x:c r="G3" s="137"/>
      <x:c r="H3" s="137"/>
    </x:row>
    <x:row r="4">
      <x:c r="A4" s="140" t="str">
        <x:v>估值日期</x:v>
      </x:c>
      <x:c r="B4" s="141" t="n">
        <x:v>46246</x:v>
      </x:c>
      <x:c r="C4" s="137"/>
      <x:c r="D4" s="137"/>
      <x:c r="E4" s="137"/>
      <x:c r="F4" s="137"/>
      <x:c r="G4" s="137"/>
      <x:c r="H4" s="137"/>
    </x:row>
    <x:row r="5">
      <x:c r="A5" s="140" t="str">
        <x:v>资料截止</x:v>
      </x:c>
      <x:c r="B5" s="142" t="str">
        <x:v>2026-08-12 22:19 HKT</x:v>
      </x:c>
      <x:c r="C5" s="137"/>
      <x:c r="D5" s="137"/>
      <x:c r="E5" s="137"/>
      <x:c r="F5" s="137"/>
      <x:c r="G5" s="137"/>
      <x:c r="H5" s="137"/>
    </x:row>
    <x:row r="6">
      <x:c r="A6" s="140" t="str">
        <x:v>报告货币</x:v>
      </x:c>
      <x:c r="B6" s="142" t="str">
        <x:v>人民币十亿元；每股价值为港币</x:v>
      </x:c>
      <x:c r="C6" s="137"/>
      <x:c r="D6" s="137"/>
      <x:c r="E6" s="137"/>
      <x:c r="F6" s="137"/>
      <x:c r="G6" s="137"/>
      <x:c r="H6" s="137"/>
    </x:row>
    <x:row r="7">
      <x:c r="A7" s="140" t="str">
        <x:v>模型版本</x:v>
      </x:c>
      <x:c r="B7" s="142" t="str">
        <x:v>首次建档 v1.0</x:v>
      </x:c>
      <x:c r="C7" s="137"/>
      <x:c r="D7" s="137"/>
      <x:c r="E7" s="137"/>
      <x:c r="F7" s="137"/>
      <x:c r="G7" s="137"/>
      <x:c r="H7" s="137"/>
    </x:row>
    <x:row r="8">
      <x:c r="A8" s="140" t="str">
        <x:v>当前情景</x:v>
      </x:c>
      <x:c r="B8" s="142" t="str">
        <x:v>Bear / Base / Bull</x:v>
      </x:c>
      <x:c r="C8" s="137"/>
      <x:c r="D8" s="137"/>
      <x:c r="E8" s="137"/>
      <x:c r="F8" s="137"/>
      <x:c r="G8" s="137"/>
      <x:c r="H8" s="137"/>
    </x:row>
    <x:row r="9">
      <x:c r="A9" s="140" t="str">
        <x:v>模型状态</x:v>
      </x:c>
      <x:c r="B9" s="143" t="str">
        <x:f>'Checks'!F2</x:f>
        <x:v>OK</x:v>
      </x:c>
      <x:c r="C9" s="137"/>
      <x:c r="D9" s="137"/>
      <x:c r="E9" s="137"/>
      <x:c r="F9" s="137"/>
      <x:c r="G9" s="137"/>
      <x:c r="H9" s="137"/>
    </x:row>
    <x:row r="10">
      <x:c r="A10" s="144" t="str">
        <x:v>用途</x:v>
      </x:c>
      <x:c r="B10" s="145" t="str">
        <x:v>研究与情景分析；不构成个性化投资建议</x:v>
      </x:c>
      <x:c r="C10" s="137"/>
      <x:c r="D10" s="137"/>
      <x:c r="E10" s="137"/>
      <x:c r="F10" s="137"/>
      <x:c r="G10" s="137"/>
      <x:c r="H10" s="137"/>
    </x:row>
    <x:row r="11">
      <x:c r="A11" s="137"/>
      <x:c r="B11" s="137"/>
      <x:c r="C11" s="137"/>
      <x:c r="D11" s="137"/>
      <x:c r="E11" s="137"/>
      <x:c r="F11" s="137"/>
      <x:c r="G11" s="137"/>
      <x:c r="H11" s="137"/>
    </x:row>
    <x:row r="12">
      <x:c r="A12" s="146" t="str">
        <x:v>关键估值输出</x:v>
      </x:c>
      <x:c r="B12" s="147" t="str">
        <x:v>数值</x:v>
      </x:c>
      <x:c r="C12" s="148" t="str">
        <x:v>说明</x:v>
      </x:c>
      <x:c r="D12" s="137"/>
      <x:c r="E12" s="137"/>
      <x:c r="F12" s="149" t="str">
        <x:v>情景</x:v>
      </x:c>
      <x:c r="G12" s="150" t="str">
        <x:v>港币/股</x:v>
      </x:c>
      <x:c r="H12" s="137"/>
    </x:row>
    <x:row r="13">
      <x:c r="A13" s="151" t="str">
        <x:v>当前价格</x:v>
      </x:c>
      <x:c r="B13" s="152" t="n">
        <x:f>'Assumptions'!B4</x:f>
        <x:v>461.6</x:v>
      </x:c>
      <x:c r="C13" s="151" t="str">
        <x:v>2026-08-12 收市</x:v>
      </x:c>
      <x:c r="D13" s="137"/>
      <x:c r="E13" s="137"/>
      <x:c r="F13" s="137" t="str">
        <x:v>当前价格</x:v>
      </x:c>
      <x:c r="G13" s="153" t="n">
        <x:f>'Assumptions'!B4</x:f>
        <x:v>461.6</x:v>
      </x:c>
      <x:c r="H13" s="137"/>
    </x:row>
    <x:row r="14">
      <x:c r="A14" s="154" t="str">
        <x:v>市值</x:v>
      </x:c>
      <x:c r="B14" s="155" t="n">
        <x:f>'Assumptions'!B4*'Assumptions'!B6/'Assumptions'!B5</x:f>
        <x:v>3607.310287066954</x:v>
      </x:c>
      <x:c r="C14" s="154" t="str">
        <x:v>按近似已发行股数换算，人民币十亿元</x:v>
      </x:c>
      <x:c r="D14" s="137"/>
      <x:c r="E14" s="137"/>
      <x:c r="F14" s="137" t="str">
        <x:v>熊市综合价值</x:v>
      </x:c>
      <x:c r="G14" s="153" t="n">
        <x:f>'Valuation'!D5</x:f>
        <x:v>429.0024394877289</x:v>
      </x:c>
      <x:c r="H14" s="137"/>
    </x:row>
    <x:row r="15">
      <x:c r="A15" s="154" t="str">
        <x:v>SOTP 基准价值</x:v>
      </x:c>
      <x:c r="B15" s="156" t="n">
        <x:f>'Valuation'!B6</x:f>
        <x:v>628.8647051331116</x:v>
      </x:c>
      <x:c r="C15" s="154" t="str">
        <x:v>核心利润倍数 + 折价投资组合 + 净现金</x:v>
      </x:c>
      <x:c r="D15" s="137"/>
      <x:c r="E15" s="137"/>
      <x:c r="F15" s="137" t="str">
        <x:v>基准综合价值</x:v>
      </x:c>
      <x:c r="G15" s="153" t="n">
        <x:f>'Valuation'!D6</x:f>
        <x:v>636.1958845683602</x:v>
      </x:c>
      <x:c r="H15" s="137"/>
    </x:row>
    <x:row r="16">
      <x:c r="A16" s="154" t="str">
        <x:v>DCF 基准价值</x:v>
      </x:c>
      <x:c r="B16" s="156" t="n">
        <x:f>'Valuation'!C6</x:f>
        <x:v>643.5270640036088</x:v>
      </x:c>
      <x:c r="C16" s="154" t="str">
        <x:v>核心经营 FCFF + 折价投资组合 + 净现金</x:v>
      </x:c>
      <x:c r="D16" s="137"/>
      <x:c r="E16" s="137"/>
      <x:c r="F16" s="137" t="str">
        <x:v>牛市综合价值</x:v>
      </x:c>
      <x:c r="G16" s="153" t="n">
        <x:f>'Valuation'!D7</x:f>
        <x:v>859.0226075516723</x:v>
      </x:c>
      <x:c r="H16" s="137"/>
    </x:row>
    <x:row r="17">
      <x:c r="A17" s="154" t="str">
        <x:v>综合基准价值</x:v>
      </x:c>
      <x:c r="B17" s="156" t="n">
        <x:f>'Valuation'!D6</x:f>
        <x:v>636.1958845683602</x:v>
      </x:c>
      <x:c r="C17" s="154" t="str">
        <x:v>SOTP 与 DCF 均值</x:v>
      </x:c>
      <x:c r="D17" s="137"/>
      <x:c r="E17" s="137"/>
      <x:c r="F17" s="137"/>
      <x:c r="G17" s="137"/>
      <x:c r="H17" s="137"/>
    </x:row>
    <x:row r="18">
      <x:c r="A18" s="157" t="str">
        <x:v>相对当前价格</x:v>
      </x:c>
      <x:c r="B18" s="158" t="n">
        <x:f>'Valuation'!E6</x:f>
        <x:v>0.3782406511446277</x:v>
      </x:c>
      <x:c r="C18" s="157" t="str">
        <x:v>仅为情景差异，不是收益保证</x:v>
      </x:c>
      <x:c r="D18" s="137"/>
      <x:c r="E18" s="137"/>
      <x:c r="F18" s="137"/>
      <x:c r="G18" s="137"/>
      <x:c r="H18" s="137"/>
    </x:row>
    <x:row r="19">
      <x:c r="A19" s="137"/>
      <x:c r="B19" s="137"/>
      <x:c r="C19" s="137"/>
      <x:c r="D19" s="137"/>
      <x:c r="E19" s="137"/>
      <x:c r="F19" s="137"/>
      <x:c r="G19" s="137"/>
      <x:c r="H19" s="137"/>
    </x:row>
    <x:row r="20">
      <x:c r="A20" s="137"/>
      <x:c r="B20" s="137"/>
      <x:c r="C20" s="137"/>
      <x:c r="D20" s="137"/>
      <x:c r="E20" s="137"/>
      <x:c r="F20" s="137"/>
      <x:c r="G20" s="137"/>
      <x:c r="H20" s="137"/>
    </x:row>
    <x:row r="21">
      <x:c r="A21" s="146" t="str">
        <x:v>研究结论</x:v>
      </x:c>
      <x:c r="B21" s="147" t="str">
        <x:v>研究结论</x:v>
      </x:c>
      <x:c r="C21" s="147" t="str">
        <x:v>研究结论</x:v>
      </x:c>
      <x:c r="D21" s="147" t="str">
        <x:v>研究结论</x:v>
      </x:c>
      <x:c r="E21" s="147" t="str">
        <x:v>研究结论</x:v>
      </x:c>
      <x:c r="F21" s="147" t="str">
        <x:v>研究结论</x:v>
      </x:c>
      <x:c r="G21" s="147" t="str">
        <x:v>研究结论</x:v>
      </x:c>
      <x:c r="H21" s="148" t="str">
        <x:v>研究结论</x:v>
      </x:c>
    </x:row>
    <x:row r="22" ht="24" customHeight="1">
      <x:c r="A22" s="159" t="str">
        <x:v>核心业务质量高，微信、游戏、广告和云构成相互强化的利润池。2026 年上半年收入与核心利润继续增长，但第二季度资本开支升至人民币 528 亿元、自由现金流转为 -138 亿元，AI 投资回报仍待验证。基准估值具有潜在空间，熊市 DCF 则显示长期高资本开支带来的实质下行风险。</x:v>
      </x:c>
      <x:c r="B22" s="159"/>
      <x:c r="C22" s="159"/>
      <x:c r="D22" s="159"/>
      <x:c r="E22" s="159"/>
      <x:c r="F22" s="159"/>
      <x:c r="G22" s="159"/>
      <x:c r="H22" s="159"/>
    </x:row>
    <x:row r="23" ht="24" customHeight="1">
      <x:c r="A23" s="159" t="str"/>
      <x:c r="B23" s="159"/>
      <x:c r="C23" s="159"/>
      <x:c r="D23" s="159"/>
      <x:c r="E23" s="159"/>
      <x:c r="F23" s="159"/>
      <x:c r="G23" s="159"/>
      <x:c r="H23" s="159"/>
    </x:row>
    <x:row r="24" ht="24" customHeight="1">
      <x:c r="A24" s="159" t="str"/>
      <x:c r="B24" s="159"/>
      <x:c r="C24" s="159"/>
      <x:c r="D24" s="159"/>
      <x:c r="E24" s="159"/>
      <x:c r="F24" s="159"/>
      <x:c r="G24" s="159"/>
      <x:c r="H24" s="159"/>
    </x:row>
    <x:row r="25" ht="24" customHeight="1">
      <x:c r="A25" s="159" t="str"/>
      <x:c r="B25" s="159"/>
      <x:c r="C25" s="159"/>
      <x:c r="D25" s="159"/>
      <x:c r="E25" s="159"/>
      <x:c r="F25" s="159"/>
      <x:c r="G25" s="159"/>
      <x:c r="H25" s="159"/>
    </x:row>
    <x:row r="26" ht="24" customHeight="1">
      <x:c r="A26" s="159" t="str"/>
      <x:c r="B26" s="159"/>
      <x:c r="C26" s="159"/>
      <x:c r="D26" s="159"/>
      <x:c r="E26" s="159"/>
      <x:c r="F26" s="159"/>
      <x:c r="G26" s="159"/>
      <x:c r="H26" s="159"/>
    </x:row>
  </x:sheetData>
  <x:mergeCells>
    <x:mergeCell ref="A1:H1"/>
    <x:mergeCell ref="A21:H21"/>
    <x:mergeCell ref="A22:H22"/>
    <x:mergeCell ref="A23:H23"/>
    <x:mergeCell ref="A24:H24"/>
    <x:mergeCell ref="A25:H25"/>
    <x:mergeCell ref="A26:H26"/>
  </x:mergeCells>
  <x:pageMargins left="0.7" right="0.7" top="0.75" bottom="0.75" header="0.3" footer="0.3"/>
  <x:drawing xmlns:r="http://schemas.openxmlformats.org/officeDocument/2006/relationships" r:id="R8e4b233b74d147c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30" customHeight="1">
      <x:c r="A1" s="113" t="str">
        <x:v>历史与最新经营数据</x:v>
      </x:c>
      <x:c r="B1" s="113" t="str">
        <x:v>历史与最新经营数据</x:v>
      </x:c>
      <x:c r="C1" s="113" t="str">
        <x:v>历史与最新经营数据</x:v>
      </x:c>
      <x:c r="D1" s="113" t="str">
        <x:v>历史与最新经营数据</x:v>
      </x:c>
      <x:c r="E1" s="113" t="str">
        <x:v>历史与最新经营数据</x:v>
      </x:c>
      <x:c r="F1" s="113" t="str">
        <x:v>历史与最新经营数据</x:v>
      </x:c>
      <x:c r="G1" s="113" t="str">
        <x:v>历史与最新经营数据</x:v>
      </x:c>
      <x:c r="H1" s="113" t="str">
        <x:v>历史与最新经营数据</x:v>
      </x:c>
      <x:c r="I1" s="113" t="str">
        <x:v>历史与最新经营数据</x:v>
      </x:c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</x:row>
    <x:row r="3">
      <x:c r="A3" s="149" t="str">
        <x:v>指标（人民币十亿元，除注明外）</x:v>
      </x:c>
      <x:c r="B3" s="167" t="str">
        <x:v>2024A</x:v>
      </x:c>
      <x:c r="C3" s="167" t="str">
        <x:v>2025A</x:v>
      </x:c>
      <x:c r="D3" s="167" t="str">
        <x:v>1Q25</x:v>
      </x:c>
      <x:c r="E3" s="167" t="str">
        <x:v>2Q25</x:v>
      </x:c>
      <x:c r="F3" s="167" t="str">
        <x:v>1H25</x:v>
      </x:c>
      <x:c r="G3" s="167" t="str">
        <x:v>1Q26</x:v>
      </x:c>
      <x:c r="H3" s="167" t="str">
        <x:v>2Q26</x:v>
      </x:c>
      <x:c r="I3" s="150" t="str">
        <x:v>1H26</x:v>
      </x:c>
    </x:row>
    <x:row r="4">
      <x:c r="A4" s="151" t="str">
        <x:v>收入</x:v>
      </x:c>
      <x:c r="B4" s="168" t="n">
        <x:v>660.257</x:v>
      </x:c>
      <x:c r="C4" s="168" t="n">
        <x:v>751.766</x:v>
      </x:c>
      <x:c r="D4" s="168" t="n">
        <x:v>180.022</x:v>
      </x:c>
      <x:c r="E4" s="168" t="n">
        <x:v>184.5</x:v>
      </x:c>
      <x:c r="F4" s="168" t="n">
        <x:f>SUM(D4:E4)</x:f>
        <x:v>364.522</x:v>
      </x:c>
      <x:c r="G4" s="168" t="n">
        <x:v>196.458</x:v>
      </x:c>
      <x:c r="H4" s="168" t="n">
        <x:v>204.8</x:v>
      </x:c>
      <x:c r="I4" s="168" t="n">
        <x:f>SUM(G4:H4)</x:f>
        <x:v>401.25800000000004</x:v>
      </x:c>
    </x:row>
    <x:row r="5">
      <x:c r="A5" s="154" t="str">
        <x:v>增值服务</x:v>
      </x:c>
      <x:c r="B5" s="169" t="n">
        <x:v>319.168</x:v>
      </x:c>
      <x:c r="C5" s="169" t="n">
        <x:v>369.281</x:v>
      </x:c>
      <x:c r="D5" s="169" t="n">
        <x:v>92.133</x:v>
      </x:c>
      <x:c r="E5" s="169" t="n">
        <x:v>91.4</x:v>
      </x:c>
      <x:c r="F5" s="169" t="n">
        <x:f>SUM(D5:E5)</x:f>
        <x:v>183.53300000000002</x:v>
      </x:c>
      <x:c r="G5" s="169" t="n">
        <x:v>96.11</x:v>
      </x:c>
      <x:c r="H5" s="169" t="n">
        <x:v>98.4</x:v>
      </x:c>
      <x:c r="I5" s="169" t="n">
        <x:f>SUM(G5:H5)</x:f>
        <x:v>194.51</x:v>
      </x:c>
    </x:row>
    <x:row r="6">
      <x:c r="A6" s="154" t="str">
        <x:v>营销服务</x:v>
      </x:c>
      <x:c r="B6" s="169" t="n">
        <x:v>121.374</x:v>
      </x:c>
      <x:c r="C6" s="169" t="n">
        <x:v>144.973</x:v>
      </x:c>
      <x:c r="D6" s="169" t="n">
        <x:v>31.853</x:v>
      </x:c>
      <x:c r="E6" s="169" t="n">
        <x:v>35.8</x:v>
      </x:c>
      <x:c r="F6" s="169" t="n">
        <x:f>SUM(D6:E6)</x:f>
        <x:v>67.65299999999999</x:v>
      </x:c>
      <x:c r="G6" s="169" t="n">
        <x:v>38.171</x:v>
      </x:c>
      <x:c r="H6" s="169" t="n">
        <x:v>43.6</x:v>
      </x:c>
      <x:c r="I6" s="169" t="n">
        <x:f>SUM(G6:H6)</x:f>
        <x:v>81.771</x:v>
      </x:c>
    </x:row>
    <x:row r="7">
      <x:c r="A7" s="154" t="str">
        <x:v>金融科技及企业服务</x:v>
      </x:c>
      <x:c r="B7" s="169" t="n">
        <x:v>211.956</x:v>
      </x:c>
      <x:c r="C7" s="169" t="n">
        <x:v>229.435</x:v>
      </x:c>
      <x:c r="D7" s="169" t="n">
        <x:v>54.907</x:v>
      </x:c>
      <x:c r="E7" s="169" t="n">
        <x:v>55.5</x:v>
      </x:c>
      <x:c r="F7" s="169" t="n">
        <x:f>SUM(D7:E7)</x:f>
        <x:v>110.407</x:v>
      </x:c>
      <x:c r="G7" s="169" t="n">
        <x:v>59.885</x:v>
      </x:c>
      <x:c r="H7" s="169" t="n">
        <x:v>60.3</x:v>
      </x:c>
      <x:c r="I7" s="169" t="n">
        <x:f>SUM(G7:H7)</x:f>
        <x:v>120.185</x:v>
      </x:c>
    </x:row>
    <x:row r="8">
      <x:c r="A8" s="154" t="str">
        <x:v>其他</x:v>
      </x:c>
      <x:c r="B8" s="169" t="n">
        <x:v>7.759</x:v>
      </x:c>
      <x:c r="C8" s="169" t="n">
        <x:v>8.077</x:v>
      </x:c>
      <x:c r="D8" s="169" t="n">
        <x:v>1.129</x:v>
      </x:c>
      <x:c r="E8" s="169" t="n">
        <x:v>1.8</x:v>
      </x:c>
      <x:c r="F8" s="169" t="n">
        <x:f>SUM(D8:E8)</x:f>
        <x:v>2.9290000000000003</x:v>
      </x:c>
      <x:c r="G8" s="169" t="n">
        <x:v>2.292</x:v>
      </x:c>
      <x:c r="H8" s="169" t="n">
        <x:v>2.5</x:v>
      </x:c>
      <x:c r="I8" s="169" t="n">
        <x:f>SUM(G8:H8)</x:f>
        <x:v>4.792</x:v>
      </x:c>
    </x:row>
    <x:row r="9">
      <x:c r="A9" s="154" t="str">
        <x:v>毛利</x:v>
      </x:c>
      <x:c r="B9" s="169" t="n">
        <x:v>349.246</x:v>
      </x:c>
      <x:c r="C9" s="169" t="n">
        <x:v>422.593</x:v>
      </x:c>
      <x:c r="D9" s="169" t="n">
        <x:v>100.493</x:v>
      </x:c>
      <x:c r="E9" s="169" t="n">
        <x:v>105</x:v>
      </x:c>
      <x:c r="F9" s="169" t="n">
        <x:f>SUM(D9:E9)</x:f>
        <x:v>205.493</x:v>
      </x:c>
      <x:c r="G9" s="169" t="n">
        <x:v>111.265</x:v>
      </x:c>
      <x:c r="H9" s="169" t="n">
        <x:v>118.4</x:v>
      </x:c>
      <x:c r="I9" s="169" t="n">
        <x:f>SUM(G9:H9)</x:f>
        <x:v>229.66500000000002</x:v>
      </x:c>
    </x:row>
    <x:row r="10">
      <x:c r="A10" s="170" t="str">
        <x:v>毛利率</x:v>
      </x:c>
      <x:c r="B10" s="171" t="n">
        <x:f>B9/B4</x:f>
        <x:v>0.5289546343317829</x:v>
      </x:c>
      <x:c r="C10" s="171" t="n">
        <x:f>C9/C4</x:f>
        <x:v>0.5621336958574876</x:v>
      </x:c>
      <x:c r="D10" s="171" t="n">
        <x:f>D9/D4</x:f>
        <x:v>0.5582262167957249</x:v>
      </x:c>
      <x:c r="E10" s="171" t="n">
        <x:f>E9/E4</x:f>
        <x:v>0.5691056910569106</x:v>
      </x:c>
      <x:c r="F10" s="171" t="n">
        <x:f>F9/F4</x:f>
        <x:v>0.5637327788171907</x:v>
      </x:c>
      <x:c r="G10" s="171" t="n">
        <x:f>G9/G4</x:f>
        <x:v>0.5663551497012084</x:v>
      </x:c>
      <x:c r="H10" s="171" t="n">
        <x:f>H9/H4</x:f>
        <x:v>0.578125</x:v>
      </x:c>
      <x:c r="I10" s="171" t="n">
        <x:f>I9/I4</x:f>
        <x:v>0.5723624201885071</x:v>
      </x:c>
    </x:row>
    <x:row r="11">
      <x:c r="A11" s="154" t="str">
        <x:v>IFRS 经营利润</x:v>
      </x:c>
      <x:c r="B11" s="169" t="n">
        <x:v>208.099</x:v>
      </x:c>
      <x:c r="C11" s="169" t="n">
        <x:v>241.562</x:v>
      </x:c>
      <x:c r="D11" s="169" t="n">
        <x:v>57.566</x:v>
      </x:c>
      <x:c r="E11" s="169" t="n">
        <x:v>60.1</x:v>
      </x:c>
      <x:c r="F11" s="169" t="n">
        <x:f>SUM(D11:E11)</x:f>
        <x:v>117.666</x:v>
      </x:c>
      <x:c r="G11" s="169" t="n">
        <x:v>67.375</x:v>
      </x:c>
      <x:c r="H11" s="169" t="n">
        <x:v>67.3</x:v>
      </x:c>
      <x:c r="I11" s="169" t="n">
        <x:f>SUM(G11:H11)</x:f>
        <x:v>134.675</x:v>
      </x:c>
    </x:row>
    <x:row r="12">
      <x:c r="A12" s="170" t="str">
        <x:v>IFRS 经营利润率</x:v>
      </x:c>
      <x:c r="B12" s="171" t="n">
        <x:f>B11/B4</x:f>
        <x:v>0.315178786442249</x:v>
      </x:c>
      <x:c r="C12" s="171" t="n">
        <x:f>C11/C4</x:f>
        <x:v>0.321326050925421</x:v>
      </x:c>
      <x:c r="D12" s="171" t="n">
        <x:f>D11/D4</x:f>
        <x:v>0.3197720278632612</x:v>
      </x:c>
      <x:c r="E12" s="171" t="n">
        <x:f>E11/E4</x:f>
        <x:v>0.32574525745257454</x:v>
      </x:c>
      <x:c r="F12" s="171" t="n">
        <x:f>F11/F4</x:f>
        <x:v>0.3227953319689895</x:v>
      </x:c>
      <x:c r="G12" s="171" t="n">
        <x:f>G11/G4</x:f>
        <x:v>0.34294862006128535</x:v>
      </x:c>
      <x:c r="H12" s="171" t="n">
        <x:f>H11/H4</x:f>
        <x:v>0.32861328124999994</x:v>
      </x:c>
      <x:c r="I12" s="171" t="n">
        <x:f>I11/I4</x:f>
        <x:v>0.33563193755638515</x:v>
      </x:c>
    </x:row>
    <x:row r="13">
      <x:c r="A13" s="154" t="str">
        <x:v>非 IFRS 经营利润</x:v>
      </x:c>
      <x:c r="B13" s="169" t="n">
        <x:v>237.811</x:v>
      </x:c>
      <x:c r="C13" s="169" t="n">
        <x:v>280.656</x:v>
      </x:c>
      <x:c r="D13" s="169" t="n">
        <x:v>69.32</x:v>
      </x:c>
      <x:c r="E13" s="169" t="n">
        <x:v>69.2</x:v>
      </x:c>
      <x:c r="F13" s="169" t="n">
        <x:f>SUM(D13:E13)</x:f>
        <x:v>138.51999999999998</x:v>
      </x:c>
      <x:c r="G13" s="169" t="n">
        <x:v>75.627</x:v>
      </x:c>
      <x:c r="H13" s="169" t="n">
        <x:v>75.6</x:v>
      </x:c>
      <x:c r="I13" s="169" t="n">
        <x:f>SUM(G13:H13)</x:f>
        <x:v>151.22699999999998</x:v>
      </x:c>
    </x:row>
    <x:row r="14">
      <x:c r="A14" s="170" t="str">
        <x:v>非 IFRS 经营利润率</x:v>
      </x:c>
      <x:c r="B14" s="171" t="n">
        <x:f>B13/B4</x:f>
        <x:v>0.360179445276612</x:v>
      </x:c>
      <x:c r="C14" s="171" t="n">
        <x:f>C13/C4</x:f>
        <x:v>0.37332893480152074</x:v>
      </x:c>
      <x:c r="D14" s="171" t="n">
        <x:f>D13/D4</x:f>
        <x:v>0.38506404772749997</x:v>
      </x:c>
      <x:c r="E14" s="171" t="n">
        <x:f>E13/E4</x:f>
        <x:v>0.3750677506775068</x:v>
      </x:c>
      <x:c r="F14" s="171" t="n">
        <x:f>F13/F4</x:f>
        <x:v>0.38000449904258177</x:v>
      </x:c>
      <x:c r="G14" s="171" t="n">
        <x:f>G13/G4</x:f>
        <x:v>0.3849525089332071</x:v>
      </x:c>
      <x:c r="H14" s="171" t="n">
        <x:f>H13/H4</x:f>
        <x:v>0.36914062499999994</x:v>
      </x:c>
      <x:c r="I14" s="171" t="n">
        <x:f>I13/I4</x:f>
        <x:v>0.3768822054638162</x:v>
      </x:c>
    </x:row>
    <x:row r="15">
      <x:c r="A15" s="154" t="str">
        <x:v>IFRS 归母利润</x:v>
      </x:c>
      <x:c r="B15" s="169" t="n">
        <x:v>194.073</x:v>
      </x:c>
      <x:c r="C15" s="169" t="n">
        <x:v>224.842</x:v>
      </x:c>
      <x:c r="D15" s="169" t="n">
        <x:v>47.821</x:v>
      </x:c>
      <x:c r="E15" s="169" t="n">
        <x:v>55.6</x:v>
      </x:c>
      <x:c r="F15" s="169" t="n">
        <x:f>SUM(D15:E15)</x:f>
        <x:v>103.42099999999999</x:v>
      </x:c>
      <x:c r="G15" s="169" t="n">
        <x:v>58.093</x:v>
      </x:c>
      <x:c r="H15" s="169" t="n">
        <x:v>56</x:v>
      </x:c>
      <x:c r="I15" s="169" t="n">
        <x:f>SUM(G15:H15)</x:f>
        <x:v>114.093</x:v>
      </x:c>
    </x:row>
    <x:row r="16">
      <x:c r="A16" s="154" t="str">
        <x:v>非 IFRS 归母利润</x:v>
      </x:c>
      <x:c r="B16" s="169" t="n">
        <x:v>222.703</x:v>
      </x:c>
      <x:c r="C16" s="169" t="n">
        <x:v>259.626</x:v>
      </x:c>
      <x:c r="D16" s="169" t="n">
        <x:v>61.329</x:v>
      </x:c>
      <x:c r="E16" s="169" t="n">
        <x:v>63.1</x:v>
      </x:c>
      <x:c r="F16" s="169" t="n">
        <x:f>SUM(D16:E16)</x:f>
        <x:v>124.429</x:v>
      </x:c>
      <x:c r="G16" s="169" t="n">
        <x:v>67.905</x:v>
      </x:c>
      <x:c r="H16" s="169" t="n">
        <x:v>68.4</x:v>
      </x:c>
      <x:c r="I16" s="169" t="n">
        <x:f>SUM(G16:H16)</x:f>
        <x:v>136.305</x:v>
      </x:c>
    </x:row>
    <x:row r="17">
      <x:c r="A17" s="154" t="str">
        <x:v>资本开支</x:v>
      </x:c>
      <x:c r="B17" s="169" t="n">
        <x:v>76.76</x:v>
      </x:c>
      <x:c r="C17" s="169" t="n">
        <x:v>79.198</x:v>
      </x:c>
      <x:c r="D17" s="169" t="n">
        <x:v>27.476</x:v>
      </x:c>
      <x:c r="E17" s="169" t="n">
        <x:v>19.1</x:v>
      </x:c>
      <x:c r="F17" s="169" t="n">
        <x:f>SUM(D17:E17)</x:f>
        <x:v>46.576</x:v>
      </x:c>
      <x:c r="G17" s="169" t="n">
        <x:v>31.936</x:v>
      </x:c>
      <x:c r="H17" s="169" t="n">
        <x:v>52.8</x:v>
      </x:c>
      <x:c r="I17" s="169" t="n">
        <x:f>SUM(G17:H17)</x:f>
        <x:v>84.73599999999999</x:v>
      </x:c>
    </x:row>
    <x:row r="18">
      <x:c r="A18" s="154" t="str">
        <x:v>公司口径自由现金流</x:v>
      </x:c>
      <x:c r="B18" s="169"/>
      <x:c r="C18" s="169"/>
      <x:c r="D18" s="169"/>
      <x:c r="E18" s="169" t="n">
        <x:v>43</x:v>
      </x:c>
      <x:c r="F18" s="169"/>
      <x:c r="G18" s="169" t="n">
        <x:v>56.7</x:v>
      </x:c>
      <x:c r="H18" s="169" t="n">
        <x:v>-13.8</x:v>
      </x:c>
      <x:c r="I18" s="169" t="n">
        <x:f>SUM(G18:H18)</x:f>
        <x:v>42.900000000000006</x:v>
      </x:c>
    </x:row>
    <x:row r="19">
      <x:c r="A19" s="154" t="str">
        <x:v>期末净现金</x:v>
      </x:c>
      <x:c r="B19" s="169" t="n">
        <x:v>76.798</x:v>
      </x:c>
      <x:c r="C19" s="169" t="n">
        <x:v>107.145</x:v>
      </x:c>
      <x:c r="D19" s="169" t="n">
        <x:v>90.229</x:v>
      </x:c>
      <x:c r="E19" s="169" t="n">
        <x:v>74.6</x:v>
      </x:c>
      <x:c r="F19" s="169"/>
      <x:c r="G19" s="169" t="n">
        <x:v>146.86</x:v>
      </x:c>
      <x:c r="H19" s="169" t="n">
        <x:v>58.2</x:v>
      </x:c>
      <x:c r="I19" s="169"/>
    </x:row>
    <x:row r="20">
      <x:c r="A20" s="154" t="str">
        <x:v>微信及 WeChat MAU（十亿）</x:v>
      </x:c>
      <x:c r="B20" s="172" t="n">
        <x:v>1.385</x:v>
      </x:c>
      <x:c r="C20" s="172" t="n">
        <x:v>1.418</x:v>
      </x:c>
      <x:c r="D20" s="172" t="n">
        <x:v>1.402</x:v>
      </x:c>
      <x:c r="E20" s="172"/>
      <x:c r="F20" s="172"/>
      <x:c r="G20" s="172" t="n">
        <x:v>1.432</x:v>
      </x:c>
      <x:c r="H20" s="172" t="n">
        <x:v>1.439</x:v>
      </x:c>
      <x:c r="I20" s="172"/>
    </x:row>
    <x:row r="21">
      <x:c r="A21" s="157" t="str">
        <x:v>股权激励费用</x:v>
      </x:c>
      <x:c r="B21" s="173" t="n">
        <x:v>23.424</x:v>
      </x:c>
      <x:c r="C21" s="173" t="n">
        <x:v>31.859</x:v>
      </x:c>
      <x:c r="D21" s="173"/>
      <x:c r="E21" s="173"/>
      <x:c r="F21" s="173"/>
      <x:c r="G21" s="173" t="n">
        <x:v>5.45</x:v>
      </x:c>
      <x:c r="H21" s="173"/>
      <x:c r="I21" s="173"/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" hidden="0" customWidth="1"/>
    <x:col min="8" max="8" width="20" hidden="0" customWidth="1"/>
    <x:col min="9" max="9" width="12" hidden="0" customWidth="1"/>
  </x:cols>
  <x:sheetData>
    <x:row r="1" ht="30" customHeight="1">
      <x:c r="A1" s="113" t="str">
        <x:v>模型假设与市场输入</x:v>
      </x:c>
      <x:c r="B1" s="113" t="str">
        <x:v>模型假设与市场输入</x:v>
      </x:c>
      <x:c r="C1" s="113" t="str">
        <x:v>模型假设与市场输入</x:v>
      </x:c>
      <x:c r="D1" s="113" t="str">
        <x:v>模型假设与市场输入</x:v>
      </x:c>
      <x:c r="E1" s="113" t="str">
        <x:v>模型假设与市场输入</x:v>
      </x:c>
      <x:c r="F1" s="113" t="str">
        <x:v>模型假设与市场输入</x:v>
      </x:c>
      <x:c r="G1" s="113" t="str">
        <x:v>模型假设与市场输入</x:v>
      </x:c>
      <x:c r="H1" s="113" t="str">
        <x:v>模型假设与市场输入</x:v>
      </x:c>
      <x:c r="I1" s="113" t="str">
        <x:v>模型假设与市场输入</x:v>
      </x:c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</x:row>
    <x:row r="3">
      <x:c r="A3" s="146" t="str">
        <x:v>市场与资产输入</x:v>
      </x:c>
      <x:c r="B3" s="148" t="str">
        <x:v>数值</x:v>
      </x:c>
      <x:c r="C3" s="137"/>
      <x:c r="D3" s="137"/>
      <x:c r="E3" s="137"/>
      <x:c r="F3" s="137"/>
      <x:c r="G3" s="137"/>
      <x:c r="H3" s="137"/>
      <x:c r="I3" s="137"/>
    </x:row>
    <x:row r="4">
      <x:c r="A4" s="151" t="str">
        <x:v>当前股价（HKD/股）</x:v>
      </x:c>
      <x:c r="B4" s="152" t="n">
        <x:v>461.6</x:v>
      </x:c>
      <x:c r="C4" s="137"/>
      <x:c r="D4" s="137"/>
      <x:c r="E4" s="137"/>
      <x:c r="F4" s="137"/>
      <x:c r="G4" s="137"/>
      <x:c r="H4" s="137"/>
      <x:c r="I4" s="137"/>
    </x:row>
    <x:row r="5">
      <x:c r="A5" s="154" t="str">
        <x:v>CNY/HKD</x:v>
      </x:c>
      <x:c r="B5" s="181" t="n">
        <x:v>1.1635</x:v>
      </x:c>
      <x:c r="C5" s="137"/>
      <x:c r="D5" s="137"/>
      <x:c r="E5" s="137"/>
      <x:c r="F5" s="137"/>
      <x:c r="G5" s="137"/>
      <x:c r="H5" s="137"/>
      <x:c r="I5" s="137"/>
    </x:row>
    <x:row r="6">
      <x:c r="A6" s="154" t="str">
        <x:v>已发行股份（十亿股）</x:v>
      </x:c>
      <x:c r="B6" s="172" t="n">
        <x:v>9.092516289</x:v>
      </x:c>
      <x:c r="C6" s="137"/>
      <x:c r="D6" s="137"/>
      <x:c r="E6" s="137"/>
      <x:c r="F6" s="137"/>
      <x:c r="G6" s="137"/>
      <x:c r="H6" s="137"/>
      <x:c r="I6" s="137"/>
    </x:row>
    <x:row r="7">
      <x:c r="A7" s="154" t="str">
        <x:v>净现金（RMB bn）</x:v>
      </x:c>
      <x:c r="B7" s="155" t="n">
        <x:v>58.2</x:v>
      </x:c>
      <x:c r="C7" s="137"/>
      <x:c r="D7" s="137"/>
      <x:c r="E7" s="137"/>
      <x:c r="F7" s="137"/>
      <x:c r="G7" s="137"/>
      <x:c r="H7" s="137"/>
      <x:c r="I7" s="137"/>
    </x:row>
    <x:row r="8">
      <x:c r="A8" s="154" t="str">
        <x:v>上市投资公允价值（RMB bn）</x:v>
      </x:c>
      <x:c r="B8" s="155" t="n">
        <x:v>487</x:v>
      </x:c>
      <x:c r="C8" s="137"/>
      <x:c r="D8" s="137"/>
      <x:c r="E8" s="137"/>
      <x:c r="F8" s="137"/>
      <x:c r="G8" s="137"/>
      <x:c r="H8" s="137"/>
      <x:c r="I8" s="137"/>
    </x:row>
    <x:row r="9">
      <x:c r="A9" s="154" t="str">
        <x:v>非上市投资账面价值（RMB bn）</x:v>
      </x:c>
      <x:c r="B9" s="155" t="n">
        <x:v>388</x:v>
      </x:c>
      <x:c r="C9" s="137"/>
      <x:c r="D9" s="137"/>
      <x:c r="E9" s="137"/>
      <x:c r="F9" s="137"/>
      <x:c r="G9" s="137"/>
      <x:c r="H9" s="137"/>
      <x:c r="I9" s="137"/>
    </x:row>
    <x:row r="10">
      <x:c r="A10" s="157" t="str">
        <x:v>投资组合合计（RMB bn）</x:v>
      </x:c>
      <x:c r="B10" s="182" t="n">
        <x:f>SUM(B8:B9)</x:f>
        <x:v>875</x:v>
      </x:c>
      <x:c r="C10" s="137"/>
      <x:c r="D10" s="137"/>
      <x:c r="E10" s="137"/>
      <x:c r="F10" s="137"/>
      <x:c r="G10" s="137"/>
      <x:c r="H10" s="137"/>
      <x:c r="I10" s="137"/>
    </x:row>
    <x:row r="11">
      <x:c r="A11" s="137"/>
      <x:c r="B11" s="137"/>
      <x:c r="C11" s="137"/>
      <x:c r="D11" s="137"/>
      <x:c r="E11" s="137"/>
      <x:c r="F11" s="137"/>
      <x:c r="G11" s="137"/>
      <x:c r="H11" s="137"/>
      <x:c r="I11" s="137"/>
    </x:row>
    <x:row r="12">
      <x:c r="A12" s="137"/>
      <x:c r="B12" s="137"/>
      <x:c r="C12" s="137"/>
      <x:c r="D12" s="137"/>
      <x:c r="E12" s="137"/>
      <x:c r="F12" s="137"/>
      <x:c r="G12" s="137"/>
      <x:c r="H12" s="137"/>
      <x:c r="I12" s="137"/>
    </x:row>
    <x:row r="13">
      <x:c r="A13" s="146" t="str">
        <x:v>SOTP 情景</x:v>
      </x:c>
      <x:c r="B13" s="147" t="str">
        <x:v>Bear</x:v>
      </x:c>
      <x:c r="C13" s="147" t="str">
        <x:v>Base</x:v>
      </x:c>
      <x:c r="D13" s="148" t="str">
        <x:v>Bull</x:v>
      </x:c>
      <x:c r="E13" s="137"/>
      <x:c r="F13" s="137"/>
      <x:c r="G13" s="137"/>
      <x:c r="H13" s="137"/>
      <x:c r="I13" s="137"/>
    </x:row>
    <x:row r="14">
      <x:c r="A14" s="151" t="str">
        <x:v>2026E 非 IFRS 归母利润（RMB bn）</x:v>
      </x:c>
      <x:c r="B14" s="183" t="n">
        <x:v>270</x:v>
      </x:c>
      <x:c r="C14" s="183" t="n">
        <x:v>280</x:v>
      </x:c>
      <x:c r="D14" s="183" t="n">
        <x:v>290</x:v>
      </x:c>
      <x:c r="E14" s="137"/>
      <x:c r="F14" s="137"/>
      <x:c r="G14" s="137"/>
      <x:c r="H14" s="137"/>
      <x:c r="I14" s="137"/>
    </x:row>
    <x:row r="15">
      <x:c r="A15" s="154" t="str">
        <x:v>核心业务 P/E</x:v>
      </x:c>
      <x:c r="B15" s="184" t="n">
        <x:v>12</x:v>
      </x:c>
      <x:c r="C15" s="184" t="n">
        <x:v>15</x:v>
      </x:c>
      <x:c r="D15" s="184" t="n">
        <x:v>18</x:v>
      </x:c>
      <x:c r="E15" s="137"/>
      <x:c r="F15" s="137"/>
      <x:c r="G15" s="137"/>
      <x:c r="H15" s="137"/>
      <x:c r="I15" s="137"/>
    </x:row>
    <x:row r="16">
      <x:c r="A16" s="157" t="str">
        <x:v>投资组合折价</x:v>
      </x:c>
      <x:c r="B16" s="185" t="n">
        <x:v>0.5</x:v>
      </x:c>
      <x:c r="C16" s="185" t="n">
        <x:v>0.25</x:v>
      </x:c>
      <x:c r="D16" s="185" t="n">
        <x:v>0.15</x:v>
      </x:c>
      <x:c r="E16" s="137"/>
      <x:c r="F16" s="137"/>
      <x:c r="G16" s="137"/>
      <x:c r="H16" s="137"/>
      <x:c r="I16" s="137"/>
    </x:row>
    <x:row r="17">
      <x:c r="A17" s="137"/>
      <x:c r="B17" s="137"/>
      <x:c r="C17" s="137"/>
      <x:c r="D17" s="137"/>
      <x:c r="E17" s="137"/>
      <x:c r="F17" s="137"/>
      <x:c r="G17" s="137"/>
      <x:c r="H17" s="137"/>
      <x:c r="I17" s="137"/>
    </x:row>
    <x:row r="18">
      <x:c r="A18" s="137"/>
      <x:c r="B18" s="137"/>
      <x:c r="C18" s="137"/>
      <x:c r="D18" s="137"/>
      <x:c r="E18" s="137"/>
      <x:c r="F18" s="137"/>
      <x:c r="G18" s="137"/>
      <x:c r="H18" s="137"/>
      <x:c r="I18" s="137"/>
    </x:row>
    <x:row r="19">
      <x:c r="A19" s="146" t="str">
        <x:v>DCF 公共假设</x:v>
      </x:c>
      <x:c r="B19" s="148" t="str">
        <x:v>数值</x:v>
      </x:c>
      <x:c r="C19" s="137"/>
      <x:c r="D19" s="137"/>
      <x:c r="E19" s="137"/>
      <x:c r="F19" s="137"/>
      <x:c r="G19" s="137"/>
      <x:c r="H19" s="137"/>
      <x:c r="I19" s="137"/>
    </x:row>
    <x:row r="20">
      <x:c r="A20" s="151" t="str">
        <x:v>2025A 收入（RMB bn）</x:v>
      </x:c>
      <x:c r="B20" s="183" t="n">
        <x:v>751.766</x:v>
      </x:c>
      <x:c r="C20" s="137"/>
      <x:c r="D20" s="137"/>
      <x:c r="E20" s="137"/>
      <x:c r="F20" s="137"/>
      <x:c r="G20" s="137"/>
      <x:c r="H20" s="137"/>
      <x:c r="I20" s="137"/>
    </x:row>
    <x:row r="21">
      <x:c r="A21" s="154" t="str">
        <x:v>现金税率</x:v>
      </x:c>
      <x:c r="B21" s="186" t="n">
        <x:v>0.18</x:v>
      </x:c>
      <x:c r="C21" s="137"/>
      <x:c r="D21" s="137"/>
      <x:c r="E21" s="137"/>
      <x:c r="F21" s="137"/>
      <x:c r="G21" s="137"/>
      <x:c r="H21" s="137"/>
      <x:c r="I21" s="137"/>
    </x:row>
    <x:row r="22">
      <x:c r="A22" s="157" t="str">
        <x:v>营运资本占增量收入</x:v>
      </x:c>
      <x:c r="B22" s="185" t="n">
        <x:v>0.01</x:v>
      </x:c>
      <x:c r="C22" s="137"/>
      <x:c r="D22" s="137"/>
      <x:c r="E22" s="137"/>
      <x:c r="F22" s="137"/>
      <x:c r="G22" s="137"/>
      <x:c r="H22" s="137"/>
      <x:c r="I22" s="137"/>
    </x:row>
    <x:row r="23">
      <x:c r="A23" s="137"/>
      <x:c r="B23" s="137"/>
      <x:c r="C23" s="137"/>
      <x:c r="D23" s="137"/>
      <x:c r="E23" s="137"/>
      <x:c r="F23" s="137"/>
      <x:c r="G23" s="137"/>
      <x:c r="H23" s="137"/>
      <x:c r="I23" s="137"/>
    </x:row>
    <x:row r="24">
      <x:c r="A24" s="137"/>
      <x:c r="B24" s="137"/>
      <x:c r="C24" s="137"/>
      <x:c r="D24" s="137"/>
      <x:c r="E24" s="137"/>
      <x:c r="F24" s="137"/>
      <x:c r="G24" s="137"/>
      <x:c r="H24" s="137"/>
      <x:c r="I24" s="137"/>
    </x:row>
    <x:row r="25">
      <x:c r="A25" s="146" t="str">
        <x:v>Bear DCF</x:v>
      </x:c>
      <x:c r="B25" s="147" t="n">
        <x:v>2026</x:v>
      </x:c>
      <x:c r="C25" s="147" t="n">
        <x:v>2027</x:v>
      </x:c>
      <x:c r="D25" s="147" t="n">
        <x:v>2028</x:v>
      </x:c>
      <x:c r="E25" s="147" t="n">
        <x:v>2029</x:v>
      </x:c>
      <x:c r="F25" s="148" t="n">
        <x:v>2030</x:v>
      </x:c>
      <x:c r="G25" s="137"/>
      <x:c r="H25" s="146" t="str">
        <x:v>Bear 终值假设</x:v>
      </x:c>
      <x:c r="I25" s="148" t="str">
        <x:v>数值</x:v>
      </x:c>
    </x:row>
    <x:row r="26">
      <x:c r="A26" s="151" t="str">
        <x:v>收入增长</x:v>
      </x:c>
      <x:c r="B26" s="187" t="n">
        <x:v>0.08</x:v>
      </x:c>
      <x:c r="C26" s="187" t="n">
        <x:v>0.06</x:v>
      </x:c>
      <x:c r="D26" s="187" t="n">
        <x:v>0.05</x:v>
      </x:c>
      <x:c r="E26" s="187" t="n">
        <x:v>0.04</x:v>
      </x:c>
      <x:c r="F26" s="187" t="n">
        <x:v>0.03</x:v>
      </x:c>
      <x:c r="G26" s="137"/>
      <x:c r="H26" s="151" t="str">
        <x:v>WACC</x:v>
      </x:c>
      <x:c r="I26" s="187" t="n">
        <x:v>0.105</x:v>
      </x:c>
    </x:row>
    <x:row r="27">
      <x:c r="A27" s="154" t="str">
        <x:v>IFRS 经营利润率</x:v>
      </x:c>
      <x:c r="B27" s="186" t="n">
        <x:v>0.33</x:v>
      </x:c>
      <x:c r="C27" s="186" t="n">
        <x:v>0.33</x:v>
      </x:c>
      <x:c r="D27" s="186" t="n">
        <x:v>0.33</x:v>
      </x:c>
      <x:c r="E27" s="186" t="n">
        <x:v>0.33</x:v>
      </x:c>
      <x:c r="F27" s="186" t="n">
        <x:v>0.33</x:v>
      </x:c>
      <x:c r="G27" s="137"/>
      <x:c r="H27" s="157" t="str">
        <x:v>永续增长率</x:v>
      </x:c>
      <x:c r="I27" s="185" t="n">
        <x:v>0.02</x:v>
      </x:c>
    </x:row>
    <x:row r="28">
      <x:c r="A28" s="154" t="str">
        <x:v>D&amp;A / 收入</x:v>
      </x:c>
      <x:c r="B28" s="186" t="n">
        <x:v>0.11</x:v>
      </x:c>
      <x:c r="C28" s="186" t="n">
        <x:v>0.115</x:v>
      </x:c>
      <x:c r="D28" s="186" t="n">
        <x:v>0.115</x:v>
      </x:c>
      <x:c r="E28" s="186" t="n">
        <x:v>0.11</x:v>
      </x:c>
      <x:c r="F28" s="186" t="n">
        <x:v>0.105</x:v>
      </x:c>
      <x:c r="G28" s="137"/>
      <x:c r="H28" s="137"/>
      <x:c r="I28" s="137"/>
    </x:row>
    <x:row r="29">
      <x:c r="A29" s="157" t="str">
        <x:v>资本开支 / 收入</x:v>
      </x:c>
      <x:c r="B29" s="185" t="n">
        <x:v>0.19</x:v>
      </x:c>
      <x:c r="C29" s="185" t="n">
        <x:v>0.17</x:v>
      </x:c>
      <x:c r="D29" s="185" t="n">
        <x:v>0.15</x:v>
      </x:c>
      <x:c r="E29" s="185" t="n">
        <x:v>0.14</x:v>
      </x:c>
      <x:c r="F29" s="185" t="n">
        <x:v>0.13</x:v>
      </x:c>
      <x:c r="G29" s="137"/>
      <x:c r="H29" s="137"/>
      <x:c r="I29" s="137"/>
    </x:row>
    <x:row r="30">
      <x:c r="A30" s="137"/>
      <x:c r="B30" s="137"/>
      <x:c r="C30" s="137"/>
      <x:c r="D30" s="137"/>
      <x:c r="E30" s="137"/>
      <x:c r="F30" s="137"/>
      <x:c r="G30" s="137"/>
      <x:c r="H30" s="137"/>
      <x:c r="I30" s="137"/>
    </x:row>
    <x:row r="31">
      <x:c r="A31" s="137"/>
      <x:c r="B31" s="137"/>
      <x:c r="C31" s="137"/>
      <x:c r="D31" s="137"/>
      <x:c r="E31" s="137"/>
      <x:c r="F31" s="137"/>
      <x:c r="G31" s="137"/>
      <x:c r="H31" s="137"/>
      <x:c r="I31" s="137"/>
    </x:row>
    <x:row r="32">
      <x:c r="A32" s="137"/>
      <x:c r="B32" s="137"/>
      <x:c r="C32" s="137"/>
      <x:c r="D32" s="137"/>
      <x:c r="E32" s="137"/>
      <x:c r="F32" s="137"/>
      <x:c r="G32" s="137"/>
      <x:c r="H32" s="137"/>
      <x:c r="I32" s="137"/>
    </x:row>
    <x:row r="33">
      <x:c r="A33" s="137"/>
      <x:c r="B33" s="137"/>
      <x:c r="C33" s="137"/>
      <x:c r="D33" s="137"/>
      <x:c r="E33" s="137"/>
      <x:c r="F33" s="137"/>
      <x:c r="G33" s="137"/>
      <x:c r="H33" s="137"/>
      <x:c r="I33" s="137"/>
    </x:row>
    <x:row r="34">
      <x:c r="A34" s="146" t="str">
        <x:v>Base DCF</x:v>
      </x:c>
      <x:c r="B34" s="147" t="n">
        <x:v>2026</x:v>
      </x:c>
      <x:c r="C34" s="147" t="n">
        <x:v>2027</x:v>
      </x:c>
      <x:c r="D34" s="147" t="n">
        <x:v>2028</x:v>
      </x:c>
      <x:c r="E34" s="147" t="n">
        <x:v>2029</x:v>
      </x:c>
      <x:c r="F34" s="148" t="n">
        <x:v>2030</x:v>
      </x:c>
      <x:c r="G34" s="137"/>
      <x:c r="H34" s="146" t="str">
        <x:v>Base 终值假设</x:v>
      </x:c>
      <x:c r="I34" s="148" t="str">
        <x:v>数值</x:v>
      </x:c>
    </x:row>
    <x:row r="35">
      <x:c r="A35" s="151" t="str">
        <x:v>收入增长</x:v>
      </x:c>
      <x:c r="B35" s="187" t="n">
        <x:v>0.105</x:v>
      </x:c>
      <x:c r="C35" s="187" t="n">
        <x:v>0.1</x:v>
      </x:c>
      <x:c r="D35" s="187" t="n">
        <x:v>0.09</x:v>
      </x:c>
      <x:c r="E35" s="187" t="n">
        <x:v>0.08</x:v>
      </x:c>
      <x:c r="F35" s="187" t="n">
        <x:v>0.07</x:v>
      </x:c>
      <x:c r="G35" s="137"/>
      <x:c r="H35" s="151" t="str">
        <x:v>WACC</x:v>
      </x:c>
      <x:c r="I35" s="187" t="n">
        <x:v>0.095</x:v>
      </x:c>
    </x:row>
    <x:row r="36">
      <x:c r="A36" s="154" t="str">
        <x:v>IFRS 经营利润率</x:v>
      </x:c>
      <x:c r="B36" s="186" t="n">
        <x:v>0.34</x:v>
      </x:c>
      <x:c r="C36" s="186" t="n">
        <x:v>0.35</x:v>
      </x:c>
      <x:c r="D36" s="186" t="n">
        <x:v>0.355</x:v>
      </x:c>
      <x:c r="E36" s="186" t="n">
        <x:v>0.36</x:v>
      </x:c>
      <x:c r="F36" s="186" t="n">
        <x:v>0.365</x:v>
      </x:c>
      <x:c r="G36" s="137"/>
      <x:c r="H36" s="157" t="str">
        <x:v>永续增长率</x:v>
      </x:c>
      <x:c r="I36" s="185" t="n">
        <x:v>0.03</x:v>
      </x:c>
    </x:row>
    <x:row r="37">
      <x:c r="A37" s="154" t="str">
        <x:v>D&amp;A / 收入</x:v>
      </x:c>
      <x:c r="B37" s="186" t="n">
        <x:v>0.11</x:v>
      </x:c>
      <x:c r="C37" s="186" t="n">
        <x:v>0.11</x:v>
      </x:c>
      <x:c r="D37" s="186" t="n">
        <x:v>0.11</x:v>
      </x:c>
      <x:c r="E37" s="186" t="n">
        <x:v>0.105</x:v>
      </x:c>
      <x:c r="F37" s="186" t="n">
        <x:v>0.1</x:v>
      </x:c>
      <x:c r="G37" s="137"/>
      <x:c r="H37" s="137"/>
      <x:c r="I37" s="137"/>
    </x:row>
    <x:row r="38">
      <x:c r="A38" s="157" t="str">
        <x:v>资本开支 / 收入</x:v>
      </x:c>
      <x:c r="B38" s="185" t="n">
        <x:v>0.18</x:v>
      </x:c>
      <x:c r="C38" s="185" t="n">
        <x:v>0.15</x:v>
      </x:c>
      <x:c r="D38" s="185" t="n">
        <x:v>0.13</x:v>
      </x:c>
      <x:c r="E38" s="185" t="n">
        <x:v>0.12</x:v>
      </x:c>
      <x:c r="F38" s="185" t="n">
        <x:v>0.11</x:v>
      </x:c>
      <x:c r="G38" s="137"/>
      <x:c r="H38" s="137"/>
      <x:c r="I38" s="137"/>
    </x:row>
    <x:row r="39">
      <x:c r="A39" s="137"/>
      <x:c r="B39" s="137"/>
      <x:c r="C39" s="137"/>
      <x:c r="D39" s="137"/>
      <x:c r="E39" s="137"/>
      <x:c r="F39" s="137"/>
      <x:c r="G39" s="137"/>
      <x:c r="H39" s="137"/>
      <x:c r="I39" s="137"/>
    </x:row>
    <x:row r="40">
      <x:c r="A40" s="137"/>
      <x:c r="B40" s="137"/>
      <x:c r="C40" s="137"/>
      <x:c r="D40" s="137"/>
      <x:c r="E40" s="137"/>
      <x:c r="F40" s="137"/>
      <x:c r="G40" s="137"/>
      <x:c r="H40" s="137"/>
      <x:c r="I40" s="137"/>
    </x:row>
    <x:row r="41">
      <x:c r="A41" s="137"/>
      <x:c r="B41" s="137"/>
      <x:c r="C41" s="137"/>
      <x:c r="D41" s="137"/>
      <x:c r="E41" s="137"/>
      <x:c r="F41" s="137"/>
      <x:c r="G41" s="137"/>
      <x:c r="H41" s="137"/>
      <x:c r="I41" s="137"/>
    </x:row>
    <x:row r="42">
      <x:c r="A42" s="137"/>
      <x:c r="B42" s="137"/>
      <x:c r="C42" s="137"/>
      <x:c r="D42" s="137"/>
      <x:c r="E42" s="137"/>
      <x:c r="F42" s="137"/>
      <x:c r="G42" s="137"/>
      <x:c r="H42" s="137"/>
      <x:c r="I42" s="137"/>
    </x:row>
    <x:row r="43">
      <x:c r="A43" s="146" t="str">
        <x:v>Bull DCF</x:v>
      </x:c>
      <x:c r="B43" s="147" t="n">
        <x:v>2026</x:v>
      </x:c>
      <x:c r="C43" s="147" t="n">
        <x:v>2027</x:v>
      </x:c>
      <x:c r="D43" s="147" t="n">
        <x:v>2028</x:v>
      </x:c>
      <x:c r="E43" s="147" t="n">
        <x:v>2029</x:v>
      </x:c>
      <x:c r="F43" s="148" t="n">
        <x:v>2030</x:v>
      </x:c>
      <x:c r="G43" s="137"/>
      <x:c r="H43" s="146" t="str">
        <x:v>Bull 终值假设</x:v>
      </x:c>
      <x:c r="I43" s="148" t="str">
        <x:v>数值</x:v>
      </x:c>
    </x:row>
    <x:row r="44">
      <x:c r="A44" s="151" t="str">
        <x:v>收入增长</x:v>
      </x:c>
      <x:c r="B44" s="187" t="n">
        <x:v>0.12</x:v>
      </x:c>
      <x:c r="C44" s="187" t="n">
        <x:v>0.12</x:v>
      </x:c>
      <x:c r="D44" s="187" t="n">
        <x:v>0.11</x:v>
      </x:c>
      <x:c r="E44" s="187" t="n">
        <x:v>0.1</x:v>
      </x:c>
      <x:c r="F44" s="187" t="n">
        <x:v>0.08</x:v>
      </x:c>
      <x:c r="G44" s="137"/>
      <x:c r="H44" s="151" t="str">
        <x:v>WACC</x:v>
      </x:c>
      <x:c r="I44" s="187" t="n">
        <x:v>0.085</x:v>
      </x:c>
    </x:row>
    <x:row r="45">
      <x:c r="A45" s="154" t="str">
        <x:v>IFRS 经营利润率</x:v>
      </x:c>
      <x:c r="B45" s="186" t="n">
        <x:v>0.35</x:v>
      </x:c>
      <x:c r="C45" s="186" t="n">
        <x:v>0.36</x:v>
      </x:c>
      <x:c r="D45" s="186" t="n">
        <x:v>0.37</x:v>
      </x:c>
      <x:c r="E45" s="186" t="n">
        <x:v>0.38</x:v>
      </x:c>
      <x:c r="F45" s="186" t="n">
        <x:v>0.39</x:v>
      </x:c>
      <x:c r="G45" s="137"/>
      <x:c r="H45" s="157" t="str">
        <x:v>永续增长率</x:v>
      </x:c>
      <x:c r="I45" s="185" t="n">
        <x:v>0.035</x:v>
      </x:c>
    </x:row>
    <x:row r="46">
      <x:c r="A46" s="154" t="str">
        <x:v>D&amp;A / 收入</x:v>
      </x:c>
      <x:c r="B46" s="186" t="n">
        <x:v>0.11</x:v>
      </x:c>
      <x:c r="C46" s="186" t="n">
        <x:v>0.11</x:v>
      </x:c>
      <x:c r="D46" s="186" t="n">
        <x:v>0.105</x:v>
      </x:c>
      <x:c r="E46" s="186" t="n">
        <x:v>0.1</x:v>
      </x:c>
      <x:c r="F46" s="186" t="n">
        <x:v>0.095</x:v>
      </x:c>
      <x:c r="G46" s="137"/>
      <x:c r="H46" s="137"/>
      <x:c r="I46" s="137"/>
    </x:row>
    <x:row r="47">
      <x:c r="A47" s="157" t="str">
        <x:v>资本开支 / 收入</x:v>
      </x:c>
      <x:c r="B47" s="185" t="n">
        <x:v>0.17</x:v>
      </x:c>
      <x:c r="C47" s="185" t="n">
        <x:v>0.14</x:v>
      </x:c>
      <x:c r="D47" s="185" t="n">
        <x:v>0.12</x:v>
      </x:c>
      <x:c r="E47" s="185" t="n">
        <x:v>0.105</x:v>
      </x:c>
      <x:c r="F47" s="185" t="n">
        <x:v>0.095</x:v>
      </x:c>
      <x:c r="G47" s="137"/>
      <x:c r="H47" s="137"/>
      <x:c r="I47" s="137"/>
    </x:row>
  </x:sheetData>
  <x:mergeCells>
    <x:mergeCell ref="A1:I1"/>
  </x:mergeCells>
  <x:pageMargins left="0.7" right="0.7" top="0.75" bottom="0.75" header="0.3" footer="0.3"/>
  <x:legacyDrawing xmlns:r="http://schemas.openxmlformats.org/officeDocument/2006/relationships" r:id="R42344a9631484df8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3" hidden="0" customWidth="1"/>
    <x:col min="8" max="8" width="3" hidden="0" customWidth="1"/>
    <x:col min="9" max="9" width="3" hidden="0" customWidth="1"/>
    <x:col min="10" max="10" width="20" hidden="0" customWidth="1"/>
    <x:col min="11" max="11" width="15" hidden="0" customWidth="1"/>
  </x:cols>
  <x:sheetData>
    <x:row r="1" ht="30" customHeight="1">
      <x:c r="A1" s="113" t="str">
        <x:v>SOTP 与 DCF 情景估值</x:v>
      </x:c>
      <x:c r="B1" s="113" t="str">
        <x:v>SOTP 与 DCF 情景估值</x:v>
      </x:c>
      <x:c r="C1" s="113" t="str">
        <x:v>SOTP 与 DCF 情景估值</x:v>
      </x:c>
      <x:c r="D1" s="113" t="str">
        <x:v>SOTP 与 DCF 情景估值</x:v>
      </x:c>
      <x:c r="E1" s="113" t="str">
        <x:v>SOTP 与 DCF 情景估值</x:v>
      </x:c>
      <x:c r="F1" s="113" t="str">
        <x:v>SOTP 与 DCF 情景估值</x:v>
      </x:c>
      <x:c r="G1" s="113" t="str">
        <x:v>SOTP 与 DCF 情景估值</x:v>
      </x:c>
      <x:c r="H1" s="113" t="str">
        <x:v>SOTP 与 DCF 情景估值</x:v>
      </x:c>
      <x:c r="I1" s="113" t="str">
        <x:v>SOTP 与 DCF 情景估值</x:v>
      </x:c>
      <x:c r="J1" s="113" t="str">
        <x:v>SOTP 与 DCF 情景估值</x:v>
      </x:c>
      <x:c r="K1" s="113" t="str">
        <x:v>SOTP 与 DCF 情景估值</x:v>
      </x:c>
    </x:row>
    <x:row r="2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</x:row>
    <x:row r="3">
      <x:c r="A3" s="146" t="str">
        <x:v>情景</x:v>
      </x:c>
      <x:c r="B3" s="147" t="str">
        <x:v>SOTP（HKD/股）</x:v>
      </x:c>
      <x:c r="C3" s="147" t="str">
        <x:v>DCF（HKD/股）</x:v>
      </x:c>
      <x:c r="D3" s="147" t="str">
        <x:v>综合价值（HKD/股）</x:v>
      </x:c>
      <x:c r="E3" s="148" t="str">
        <x:v>相对当前价格</x:v>
      </x:c>
      <x:c r="F3" s="137"/>
      <x:c r="G3" s="137"/>
      <x:c r="H3" s="137"/>
      <x:c r="I3" s="137"/>
      <x:c r="J3" s="137"/>
      <x:c r="K3" s="137"/>
    </x:row>
    <x:row r="4">
      <x:c r="A4" s="137"/>
      <x:c r="B4" s="137"/>
      <x:c r="C4" s="137"/>
      <x:c r="D4" s="137"/>
      <x:c r="E4" s="137"/>
      <x:c r="F4" s="137"/>
      <x:c r="G4" s="137"/>
      <x:c r="H4" s="137"/>
      <x:c r="I4" s="137"/>
      <x:c r="J4" s="137"/>
      <x:c r="K4" s="137"/>
    </x:row>
    <x:row r="5">
      <x:c r="A5" s="151" t="str">
        <x:v>Bear</x:v>
      </x:c>
      <x:c r="B5" s="199" t="n">
        <x:f>('Assumptions'!B14*'Assumptions'!B15+'Assumptions'!$B$10*(1-'Assumptions'!B16)+'Assumptions'!$B$7)*'Assumptions'!$B$5/'Assumptions'!$B$6</x:f>
        <x:v>478.02905288806784</x:v>
      </x:c>
      <x:c r="C5" s="199" t="n">
        <x:f>K24</x:f>
        <x:v>379.9758260873899</x:v>
      </x:c>
      <x:c r="D5" s="199" t="n">
        <x:f>AVERAGE(B5:C5)</x:f>
        <x:v>429.0024394877289</x:v>
      </x:c>
      <x:c r="E5" s="200" t="n">
        <x:f>D5/'Assumptions'!$B$4-1</x:f>
        <x:v>-0.07061863195899287</x:v>
      </x:c>
      <x:c r="F5" s="137"/>
      <x:c r="G5" s="137"/>
      <x:c r="H5" s="137"/>
      <x:c r="I5" s="137"/>
      <x:c r="J5" s="137"/>
      <x:c r="K5" s="137"/>
    </x:row>
    <x:row r="6">
      <x:c r="A6" s="201" t="str">
        <x:v>Base</x:v>
      </x:c>
      <x:c r="B6" s="202" t="n">
        <x:f>('Assumptions'!C14*'Assumptions'!C15+'Assumptions'!$B$10*(1-'Assumptions'!C16)+'Assumptions'!$B$7)*'Assumptions'!$B$5/'Assumptions'!$B$6</x:f>
        <x:v>628.8647051331116</x:v>
      </x:c>
      <x:c r="C6" s="202" t="n">
        <x:f>K41</x:f>
        <x:v>643.5270640036088</x:v>
      </x:c>
      <x:c r="D6" s="202" t="n">
        <x:f>AVERAGE(B6:C6)</x:f>
        <x:v>636.1958845683602</x:v>
      </x:c>
      <x:c r="E6" s="203" t="n">
        <x:f>D6/'Assumptions'!$B$4-1</x:f>
        <x:v>0.3782406511446277</x:v>
      </x:c>
      <x:c r="F6" s="137"/>
      <x:c r="G6" s="137"/>
      <x:c r="H6" s="137"/>
      <x:c r="I6" s="137"/>
      <x:c r="J6" s="137"/>
      <x:c r="K6" s="137"/>
    </x:row>
    <x:row r="7">
      <x:c r="A7" s="157" t="str">
        <x:v>Bull</x:v>
      </x:c>
      <x:c r="B7" s="204" t="n">
        <x:f>('Assumptions'!D14*'Assumptions'!D15+'Assumptions'!$B$10*(1-'Assumptions'!D16)+'Assumptions'!$B$7)*'Assumptions'!$B$5/'Assumptions'!$B$6</x:f>
        <x:v>770.5830379953691</x:v>
      </x:c>
      <x:c r="C7" s="204" t="n">
        <x:f>K58</x:f>
        <x:v>947.4621771079755</x:v>
      </x:c>
      <x:c r="D7" s="204" t="n">
        <x:f>AVERAGE(B7:C7)</x:f>
        <x:v>859.0226075516723</x:v>
      </x:c>
      <x:c r="E7" s="158" t="n">
        <x:f>D7/'Assumptions'!$B$4-1</x:f>
        <x:v>0.8609675206925309</x:v>
      </x:c>
      <x:c r="F7" s="137"/>
      <x:c r="G7" s="137"/>
      <x:c r="H7" s="137"/>
      <x:c r="I7" s="137"/>
      <x:c r="J7" s="137"/>
      <x:c r="K7" s="137"/>
    </x:row>
    <x:row r="8">
      <x:c r="A8" s="137"/>
      <x:c r="B8" s="137"/>
      <x:c r="C8" s="137"/>
      <x:c r="D8" s="137"/>
      <x:c r="E8" s="137"/>
      <x:c r="F8" s="137"/>
      <x:c r="G8" s="137"/>
      <x:c r="H8" s="137"/>
      <x:c r="I8" s="137"/>
      <x:c r="J8" s="137"/>
      <x:c r="K8" s="137"/>
    </x:row>
    <x:row r="9">
      <x:c r="A9" s="137"/>
      <x:c r="B9" s="137"/>
      <x:c r="C9" s="137"/>
      <x:c r="D9" s="137"/>
      <x:c r="E9" s="137"/>
      <x:c r="F9" s="137"/>
      <x:c r="G9" s="137"/>
      <x:c r="H9" s="137"/>
      <x:c r="I9" s="137"/>
      <x:c r="J9" s="137"/>
      <x:c r="K9" s="137"/>
    </x:row>
    <x:row r="10">
      <x:c r="A10" s="137"/>
      <x:c r="B10" s="137"/>
      <x:c r="C10" s="137"/>
      <x:c r="D10" s="137"/>
      <x:c r="E10" s="137"/>
      <x:c r="F10" s="137"/>
      <x:c r="G10" s="137"/>
      <x:c r="H10" s="137"/>
      <x:c r="I10" s="137"/>
      <x:c r="J10" s="137"/>
      <x:c r="K10" s="137"/>
    </x:row>
    <x:row r="11">
      <x:c r="A11" s="137"/>
      <x:c r="B11" s="137"/>
      <x:c r="C11" s="137"/>
      <x:c r="D11" s="137"/>
      <x:c r="E11" s="137"/>
      <x:c r="F11" s="137"/>
      <x:c r="G11" s="137"/>
      <x:c r="H11" s="137"/>
      <x:c r="I11" s="137"/>
      <x:c r="J11" s="137"/>
      <x:c r="K11" s="137"/>
    </x:row>
    <x:row r="12">
      <x:c r="A12" s="137"/>
      <x:c r="B12" s="137"/>
      <x:c r="C12" s="137"/>
      <x:c r="D12" s="137"/>
      <x:c r="E12" s="137"/>
      <x:c r="F12" s="137"/>
      <x:c r="G12" s="137"/>
      <x:c r="H12" s="137"/>
      <x:c r="I12" s="137"/>
      <x:c r="J12" s="137"/>
      <x:c r="K12" s="137"/>
    </x:row>
    <x:row r="13">
      <x:c r="A13" s="137"/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</x:row>
    <x:row r="14">
      <x:c r="A14" s="146" t="str">
        <x:v>Bear DCF</x:v>
      </x:c>
      <x:c r="B14" s="147" t="n">
        <x:v>2026</x:v>
      </x:c>
      <x:c r="C14" s="147" t="n">
        <x:v>2027</x:v>
      </x:c>
      <x:c r="D14" s="147" t="n">
        <x:v>2028</x:v>
      </x:c>
      <x:c r="E14" s="147" t="n">
        <x:v>2029</x:v>
      </x:c>
      <x:c r="F14" s="148" t="n">
        <x:v>2030</x:v>
      </x:c>
      <x:c r="G14" s="137"/>
      <x:c r="H14" s="137"/>
      <x:c r="I14" s="137"/>
      <x:c r="J14" s="137"/>
      <x:c r="K14" s="137"/>
    </x:row>
    <x:row r="15">
      <x:c r="A15" s="151" t="str">
        <x:v>收入</x:v>
      </x:c>
      <x:c r="B15" s="183" t="n">
        <x:f>'Assumptions'!$B$20*(1+'Assumptions'!B26)</x:f>
        <x:v>811.90728</x:v>
      </x:c>
      <x:c r="C15" s="183" t="n">
        <x:f>B15*(1+'Assumptions'!C26)</x:f>
        <x:v>860.6217168000001</x:v>
      </x:c>
      <x:c r="D15" s="183" t="n">
        <x:f>C15*(1+'Assumptions'!D26)</x:f>
        <x:v>903.6528026400001</x:v>
      </x:c>
      <x:c r="E15" s="183" t="n">
        <x:f>D15*(1+'Assumptions'!E26)</x:f>
        <x:v>939.7989147456002</x:v>
      </x:c>
      <x:c r="F15" s="183" t="n">
        <x:f>E15*(1+'Assumptions'!F26)</x:f>
        <x:v>967.9928821879682</x:v>
      </x:c>
      <x:c r="G15" s="205"/>
      <x:c r="H15" s="205"/>
      <x:c r="I15" s="205"/>
      <x:c r="J15" s="151" t="str">
        <x:v>WACC</x:v>
      </x:c>
      <x:c r="K15" s="187" t="n">
        <x:f>'Assumptions'!$I$26</x:f>
        <x:v>0.105</x:v>
      </x:c>
    </x:row>
    <x:row r="16">
      <x:c r="A16" s="154" t="str">
        <x:v>收入增长</x:v>
      </x:c>
      <x:c r="B16" s="186" t="n">
        <x:f>'Assumptions'!B26</x:f>
        <x:v>0.08</x:v>
      </x:c>
      <x:c r="C16" s="186" t="n">
        <x:f>'Assumptions'!C26</x:f>
        <x:v>0.06</x:v>
      </x:c>
      <x:c r="D16" s="186" t="n">
        <x:f>'Assumptions'!D26</x:f>
        <x:v>0.05</x:v>
      </x:c>
      <x:c r="E16" s="186" t="n">
        <x:f>'Assumptions'!E26</x:f>
        <x:v>0.04</x:v>
      </x:c>
      <x:c r="F16" s="186" t="n">
        <x:f>'Assumptions'!F26</x:f>
        <x:v>0.03</x:v>
      </x:c>
      <x:c r="G16" s="205"/>
      <x:c r="H16" s="205"/>
      <x:c r="I16" s="205"/>
      <x:c r="J16" s="154" t="str">
        <x:v>永续增长率</x:v>
      </x:c>
      <x:c r="K16" s="186" t="n">
        <x:f>'Assumptions'!$I$27</x:f>
        <x:v>0.02</x:v>
      </x:c>
    </x:row>
    <x:row r="17">
      <x:c r="A17" s="154" t="str">
        <x:v>IFRS 经营利润率</x:v>
      </x:c>
      <x:c r="B17" s="186" t="n">
        <x:f>'Assumptions'!B27</x:f>
        <x:v>0.33</x:v>
      </x:c>
      <x:c r="C17" s="186" t="n">
        <x:f>'Assumptions'!C27</x:f>
        <x:v>0.33</x:v>
      </x:c>
      <x:c r="D17" s="186" t="n">
        <x:f>'Assumptions'!D27</x:f>
        <x:v>0.33</x:v>
      </x:c>
      <x:c r="E17" s="186" t="n">
        <x:f>'Assumptions'!E27</x:f>
        <x:v>0.33</x:v>
      </x:c>
      <x:c r="F17" s="186" t="n">
        <x:f>'Assumptions'!F27</x:f>
        <x:v>0.33</x:v>
      </x:c>
      <x:c r="G17" s="205"/>
      <x:c r="H17" s="205"/>
      <x:c r="I17" s="205"/>
      <x:c r="J17" s="154" t="str">
        <x:v>终值</x:v>
      </x:c>
      <x:c r="K17" s="155" t="n">
        <x:f>F24*(1+K16)/(K15-K16)</x:f>
        <x:v>2849.4853462912965</x:v>
      </x:c>
    </x:row>
    <x:row r="18">
      <x:c r="A18" s="154" t="str">
        <x:v>EBIT</x:v>
      </x:c>
      <x:c r="B18" s="155" t="n">
        <x:f>B15*B17</x:f>
        <x:v>267.9294024</x:v>
      </x:c>
      <x:c r="C18" s="155" t="n">
        <x:f>C15*C17</x:f>
        <x:v>284.005166544</x:v>
      </x:c>
      <x:c r="D18" s="155" t="n">
        <x:f>D15*D17</x:f>
        <x:v>298.2054248712001</x:v>
      </x:c>
      <x:c r="E18" s="155" t="n">
        <x:f>E15*E17</x:f>
        <x:v>310.1336418660481</x:v>
      </x:c>
      <x:c r="F18" s="155" t="n">
        <x:f>F15*F17</x:f>
        <x:v>319.43765112202954</x:v>
      </x:c>
      <x:c r="G18" s="205"/>
      <x:c r="H18" s="205"/>
      <x:c r="I18" s="205"/>
      <x:c r="J18" s="154" t="str">
        <x:v>终值现值</x:v>
      </x:c>
      <x:c r="K18" s="155" t="n">
        <x:f>K17/(1+K15)^5</x:f>
        <x:v>1729.6372818847087</x:v>
      </x:c>
    </x:row>
    <x:row r="19">
      <x:c r="A19" s="154" t="str">
        <x:v>现金税</x:v>
      </x:c>
      <x:c r="B19" s="155" t="n">
        <x:f>B18*'Assumptions'!$B$21</x:f>
        <x:v>48.227292432</x:v>
      </x:c>
      <x:c r="C19" s="155" t="n">
        <x:f>C18*'Assumptions'!$B$21</x:f>
        <x:v>51.12092997792</x:v>
      </x:c>
      <x:c r="D19" s="155" t="n">
        <x:f>D18*'Assumptions'!$B$21</x:f>
        <x:v>53.676976476816016</x:v>
      </x:c>
      <x:c r="E19" s="155" t="n">
        <x:f>E18*'Assumptions'!$B$21</x:f>
        <x:v>55.824055535888654</x:v>
      </x:c>
      <x:c r="F19" s="155" t="n">
        <x:f>F18*'Assumptions'!$B$21</x:f>
        <x:v>57.49877720196532</x:v>
      </x:c>
      <x:c r="G19" s="205"/>
      <x:c r="H19" s="205"/>
      <x:c r="I19" s="205"/>
      <x:c r="J19" s="154" t="str">
        <x:v>显式期现值</x:v>
      </x:c>
      <x:c r="K19" s="155" t="n">
        <x:f>SUM(B26:F26)</x:f>
        <x:v>744.0966572006581</x:v>
      </x:c>
    </x:row>
    <x:row r="20">
      <x:c r="A20" s="154" t="str">
        <x:v>NOPAT</x:v>
      </x:c>
      <x:c r="B20" s="155" t="n">
        <x:f>B18-B19</x:f>
        <x:v>219.702109968</x:v>
      </x:c>
      <x:c r="C20" s="155" t="n">
        <x:f>C18-C19</x:f>
        <x:v>232.88423656608</x:v>
      </x:c>
      <x:c r="D20" s="155" t="n">
        <x:f>D18-D19</x:f>
        <x:v>244.52844839438407</x:v>
      </x:c>
      <x:c r="E20" s="155" t="n">
        <x:f>E18-E19</x:f>
        <x:v>254.30958633015945</x:v>
      </x:c>
      <x:c r="F20" s="155" t="n">
        <x:f>F18-F19</x:f>
        <x:v>261.9388739200642</x:v>
      </x:c>
      <x:c r="G20" s="205"/>
      <x:c r="H20" s="205"/>
      <x:c r="I20" s="205"/>
      <x:c r="J20" s="154" t="str">
        <x:v>核心业务 EV</x:v>
      </x:c>
      <x:c r="K20" s="155" t="n">
        <x:f>SUM(K18:K19)</x:f>
        <x:v>2473.7339390853667</x:v>
      </x:c>
    </x:row>
    <x:row r="21">
      <x:c r="A21" s="154" t="str">
        <x:v>D&amp;A</x:v>
      </x:c>
      <x:c r="B21" s="155" t="n">
        <x:f>B15*'Assumptions'!B28</x:f>
        <x:v>89.3098008</x:v>
      </x:c>
      <x:c r="C21" s="155" t="n">
        <x:f>C15*'Assumptions'!C28</x:f>
        <x:v>98.971497432</x:v>
      </x:c>
      <x:c r="D21" s="155" t="n">
        <x:f>D15*'Assumptions'!D28</x:f>
        <x:v>103.92007230360002</x:v>
      </x:c>
      <x:c r="E21" s="155" t="n">
        <x:f>E15*'Assumptions'!E28</x:f>
        <x:v>103.37788062201602</x:v>
      </x:c>
      <x:c r="F21" s="155" t="n">
        <x:f>F15*'Assumptions'!F28</x:f>
        <x:v>101.63925262973666</x:v>
      </x:c>
      <x:c r="G21" s="205"/>
      <x:c r="H21" s="205"/>
      <x:c r="I21" s="205"/>
      <x:c r="J21" s="154" t="str">
        <x:v>折价投资组合</x:v>
      </x:c>
      <x:c r="K21" s="155" t="n">
        <x:f>'Assumptions'!$B$10*(1-'Assumptions'!B16)</x:f>
        <x:v>437.5</x:v>
      </x:c>
    </x:row>
    <x:row r="22">
      <x:c r="A22" s="154" t="str">
        <x:v>资本开支</x:v>
      </x:c>
      <x:c r="B22" s="155" t="n">
        <x:f>B15*'Assumptions'!B29</x:f>
        <x:v>154.26238320000002</x:v>
      </x:c>
      <x:c r="C22" s="155" t="n">
        <x:f>C15*'Assumptions'!C29</x:f>
        <x:v>146.305691856</x:v>
      </x:c>
      <x:c r="D22" s="155" t="n">
        <x:f>D15*'Assumptions'!D29</x:f>
        <x:v>135.54792039600002</x:v>
      </x:c>
      <x:c r="E22" s="155" t="n">
        <x:f>E15*'Assumptions'!E29</x:f>
        <x:v>131.57184806438403</x:v>
      </x:c>
      <x:c r="F22" s="155" t="n">
        <x:f>F15*'Assumptions'!F29</x:f>
        <x:v>125.83907468443587</x:v>
      </x:c>
      <x:c r="G22" s="205"/>
      <x:c r="H22" s="205"/>
      <x:c r="I22" s="205"/>
      <x:c r="J22" s="154" t="str">
        <x:v>净现金</x:v>
      </x:c>
      <x:c r="K22" s="155" t="n">
        <x:f>'Assumptions'!$B$7</x:f>
        <x:v>58.2</x:v>
      </x:c>
    </x:row>
    <x:row r="23">
      <x:c r="A23" s="154" t="str">
        <x:v>营运资本增加</x:v>
      </x:c>
      <x:c r="B23" s="155" t="n">
        <x:f>(B15-'Assumptions'!$B$20)*'Assumptions'!$B$22</x:f>
        <x:v>0.6014128000000005</x:v>
      </x:c>
      <x:c r="C23" s="155" t="n">
        <x:f>(C15-B15)*'Assumptions'!$B$22</x:f>
        <x:v>0.48714436800000044</x:v>
      </x:c>
      <x:c r="D23" s="155" t="n">
        <x:f>(D15-C15)*'Assumptions'!$B$22</x:f>
        <x:v>0.4303108584000006</x:v>
      </x:c>
      <x:c r="E23" s="155" t="n">
        <x:f>(E15-D15)*'Assumptions'!$B$22</x:f>
        <x:v>0.3614611210560008</x:v>
      </x:c>
      <x:c r="F23" s="155" t="n">
        <x:f>(F15-E15)*'Assumptions'!$B$22</x:f>
        <x:v>0.28193967442368034</x:v>
      </x:c>
      <x:c r="G23" s="205"/>
      <x:c r="H23" s="205"/>
      <x:c r="I23" s="205"/>
      <x:c r="J23" s="154" t="str">
        <x:v>权益价值</x:v>
      </x:c>
      <x:c r="K23" s="155" t="n">
        <x:f>SUM(K20:K22)</x:f>
        <x:v>2969.4339390853665</x:v>
      </x:c>
    </x:row>
    <x:row r="24">
      <x:c r="A24" s="206" t="str">
        <x:v>FCFF</x:v>
      </x:c>
      <x:c r="B24" s="207" t="n">
        <x:f>B20+B21-B22-B23</x:f>
        <x:v>154.148114768</x:v>
      </x:c>
      <x:c r="C24" s="207" t="n">
        <x:f>C20+C21-C22-C23</x:f>
        <x:v>185.06289777408003</x:v>
      </x:c>
      <x:c r="D24" s="207" t="n">
        <x:f>D20+D21-D22-D23</x:f>
        <x:v>212.4702894435841</x:v>
      </x:c>
      <x:c r="E24" s="207" t="n">
        <x:f>E20+E21-E22-E23</x:f>
        <x:v>225.7541577667354</x:v>
      </x:c>
      <x:c r="F24" s="207" t="n">
        <x:f>F20+F21-F22-F23</x:f>
        <x:v>237.45711219094136</x:v>
      </x:c>
      <x:c r="G24" s="205"/>
      <x:c r="H24" s="205"/>
      <x:c r="I24" s="205"/>
      <x:c r="J24" s="208" t="str">
        <x:v>DCF 每股价值</x:v>
      </x:c>
      <x:c r="K24" s="209" t="n">
        <x:f>K23*'Assumptions'!$B$5/'Assumptions'!$B$6</x:f>
        <x:v>379.9758260873899</x:v>
      </x:c>
    </x:row>
    <x:row r="25">
      <x:c r="A25" s="154" t="str">
        <x:v>折现因子</x:v>
      </x:c>
      <x:c r="B25" s="172" t="n">
        <x:f>1/(1+'Assumptions'!$I$26)</x:f>
        <x:v>0.9049773755656109</x:v>
      </x:c>
      <x:c r="C25" s="172" t="n">
        <x:f>1/(1+'Assumptions'!$I$26)^2</x:f>
        <x:v>0.8189840502856207</x:v>
      </x:c>
      <x:c r="D25" s="172" t="n">
        <x:f>1/(1+'Assumptions'!$I$26)^3</x:f>
        <x:v>0.7411620364575753</x:v>
      </x:c>
      <x:c r="E25" s="172" t="n">
        <x:f>1/(1+'Assumptions'!$I$26)^4</x:f>
        <x:v>0.6707348746222401</x:v>
      </x:c>
      <x:c r="F25" s="172" t="n">
        <x:f>1/(1+'Assumptions'!$I$26)^5</x:f>
        <x:v>0.6069998865359639</x:v>
      </x:c>
      <x:c r="G25" s="205"/>
      <x:c r="H25" s="205"/>
      <x:c r="I25" s="205"/>
      <x:c r="J25" s="205"/>
      <x:c r="K25" s="205"/>
    </x:row>
    <x:row r="26">
      <x:c r="A26" s="157" t="str">
        <x:v>FCFF 现值</x:v>
      </x:c>
      <x:c r="B26" s="182" t="n">
        <x:f>B24*B25</x:f>
        <x:v>139.50055635113122</x:v>
      </x:c>
      <x:c r="C26" s="182" t="n">
        <x:f>C24*C25</x:f>
        <x:v>151.56356157660986</x:v>
      </x:c>
      <x:c r="D26" s="182" t="n">
        <x:f>D24*D25</x:f>
        <x:v>157.47491241073726</x:v>
      </x:c>
      <x:c r="E26" s="182" t="n">
        <x:f>E24*E25</x:f>
        <x:v>151.42118670512068</x:v>
      </x:c>
      <x:c r="F26" s="182" t="n">
        <x:f>F24*F25</x:f>
        <x:v>144.13644015705907</x:v>
      </x:c>
      <x:c r="G26" s="205"/>
      <x:c r="H26" s="205"/>
      <x:c r="I26" s="205"/>
      <x:c r="J26" s="205"/>
      <x:c r="K26" s="205"/>
    </x:row>
    <x:row r="27">
      <x:c r="A27" s="137"/>
      <x:c r="B27" s="137"/>
      <x:c r="C27" s="137"/>
      <x:c r="D27" s="137"/>
      <x:c r="E27" s="137"/>
      <x:c r="F27" s="137"/>
      <x:c r="G27" s="137"/>
      <x:c r="H27" s="137"/>
      <x:c r="I27" s="137"/>
      <x:c r="J27" s="137"/>
      <x:c r="K27" s="137"/>
    </x:row>
    <x:row r="28">
      <x:c r="A28" s="137"/>
      <x:c r="B28" s="137"/>
      <x:c r="C28" s="137"/>
      <x:c r="D28" s="137"/>
      <x:c r="E28" s="137"/>
      <x:c r="F28" s="137"/>
      <x:c r="G28" s="137"/>
      <x:c r="H28" s="137"/>
      <x:c r="I28" s="137"/>
      <x:c r="J28" s="137"/>
      <x:c r="K28" s="137"/>
    </x:row>
    <x:row r="29">
      <x:c r="A29" s="137"/>
      <x:c r="B29" s="137"/>
      <x:c r="C29" s="137"/>
      <x:c r="D29" s="137"/>
      <x:c r="E29" s="137"/>
      <x:c r="F29" s="137"/>
      <x:c r="G29" s="137"/>
      <x:c r="H29" s="137"/>
      <x:c r="I29" s="137"/>
      <x:c r="J29" s="137"/>
      <x:c r="K29" s="137"/>
    </x:row>
    <x:row r="30">
      <x:c r="A30" s="137"/>
      <x:c r="B30" s="137"/>
      <x:c r="C30" s="137"/>
      <x:c r="D30" s="137"/>
      <x:c r="E30" s="137"/>
      <x:c r="F30" s="137"/>
      <x:c r="G30" s="137"/>
      <x:c r="H30" s="137"/>
      <x:c r="I30" s="137"/>
      <x:c r="J30" s="137"/>
      <x:c r="K30" s="137"/>
    </x:row>
    <x:row r="31">
      <x:c r="A31" s="146" t="str">
        <x:v>Base DCF</x:v>
      </x:c>
      <x:c r="B31" s="147" t="n">
        <x:v>2026</x:v>
      </x:c>
      <x:c r="C31" s="147" t="n">
        <x:v>2027</x:v>
      </x:c>
      <x:c r="D31" s="147" t="n">
        <x:v>2028</x:v>
      </x:c>
      <x:c r="E31" s="147" t="n">
        <x:v>2029</x:v>
      </x:c>
      <x:c r="F31" s="148" t="n">
        <x:v>2030</x:v>
      </x:c>
      <x:c r="G31" s="137"/>
      <x:c r="H31" s="137"/>
      <x:c r="I31" s="137"/>
      <x:c r="J31" s="137"/>
      <x:c r="K31" s="137"/>
    </x:row>
    <x:row r="32">
      <x:c r="A32" s="151" t="str">
        <x:v>收入</x:v>
      </x:c>
      <x:c r="B32" s="183" t="n">
        <x:f>'Assumptions'!$B$20*(1+'Assumptions'!B35)</x:f>
        <x:v>830.70143</x:v>
      </x:c>
      <x:c r="C32" s="183" t="n">
        <x:f>B32*(1+'Assumptions'!C35)</x:f>
        <x:v>913.771573</x:v>
      </x:c>
      <x:c r="D32" s="183" t="n">
        <x:f>C32*(1+'Assumptions'!D35)</x:f>
        <x:v>996.01101457</x:v>
      </x:c>
      <x:c r="E32" s="183" t="n">
        <x:f>D32*(1+'Assumptions'!E35)</x:f>
        <x:v>1075.6918957356002</x:v>
      </x:c>
      <x:c r="F32" s="183" t="n">
        <x:f>E32*(1+'Assumptions'!F35)</x:f>
        <x:v>1150.9903284370923</x:v>
      </x:c>
      <x:c r="G32" s="205"/>
      <x:c r="H32" s="205"/>
      <x:c r="I32" s="205"/>
      <x:c r="J32" s="151" t="str">
        <x:v>WACC</x:v>
      </x:c>
      <x:c r="K32" s="187" t="n">
        <x:f>'Assumptions'!$I$35</x:f>
        <x:v>0.095</x:v>
      </x:c>
    </x:row>
    <x:row r="33">
      <x:c r="A33" s="154" t="str">
        <x:v>收入增长</x:v>
      </x:c>
      <x:c r="B33" s="186" t="n">
        <x:f>'Assumptions'!B35</x:f>
        <x:v>0.105</x:v>
      </x:c>
      <x:c r="C33" s="186" t="n">
        <x:f>'Assumptions'!C35</x:f>
        <x:v>0.1</x:v>
      </x:c>
      <x:c r="D33" s="186" t="n">
        <x:f>'Assumptions'!D35</x:f>
        <x:v>0.09</x:v>
      </x:c>
      <x:c r="E33" s="186" t="n">
        <x:f>'Assumptions'!E35</x:f>
        <x:v>0.08</x:v>
      </x:c>
      <x:c r="F33" s="186" t="n">
        <x:f>'Assumptions'!F35</x:f>
        <x:v>0.07</x:v>
      </x:c>
      <x:c r="G33" s="205"/>
      <x:c r="H33" s="205"/>
      <x:c r="I33" s="205"/>
      <x:c r="J33" s="154" t="str">
        <x:v>永续增长率</x:v>
      </x:c>
      <x:c r="K33" s="186" t="n">
        <x:f>'Assumptions'!$I$36</x:f>
        <x:v>0.03</x:v>
      </x:c>
    </x:row>
    <x:row r="34">
      <x:c r="A34" s="154" t="str">
        <x:v>IFRS 经营利润率</x:v>
      </x:c>
      <x:c r="B34" s="186" t="n">
        <x:f>'Assumptions'!B36</x:f>
        <x:v>0.34</x:v>
      </x:c>
      <x:c r="C34" s="186" t="n">
        <x:f>'Assumptions'!C36</x:f>
        <x:v>0.35</x:v>
      </x:c>
      <x:c r="D34" s="186" t="n">
        <x:f>'Assumptions'!D36</x:f>
        <x:v>0.355</x:v>
      </x:c>
      <x:c r="E34" s="186" t="n">
        <x:f>'Assumptions'!E36</x:f>
        <x:v>0.36</x:v>
      </x:c>
      <x:c r="F34" s="186" t="n">
        <x:f>'Assumptions'!F36</x:f>
        <x:v>0.365</x:v>
      </x:c>
      <x:c r="G34" s="205"/>
      <x:c r="H34" s="205"/>
      <x:c r="I34" s="205"/>
      <x:c r="J34" s="154" t="str">
        <x:v>终值</x:v>
      </x:c>
      <x:c r="K34" s="155" t="n">
        <x:f>F41*(1+K33)/(K32-K33)</x:f>
        <x:v>5264.544203392786</x:v>
      </x:c>
    </x:row>
    <x:row r="35">
      <x:c r="A35" s="154" t="str">
        <x:v>EBIT</x:v>
      </x:c>
      <x:c r="B35" s="155" t="n">
        <x:f>B32*B34</x:f>
        <x:v>282.4384862</x:v>
      </x:c>
      <x:c r="C35" s="155" t="n">
        <x:f>C32*C34</x:f>
        <x:v>319.82005054999996</x:v>
      </x:c>
      <x:c r="D35" s="155" t="n">
        <x:f>D32*D34</x:f>
        <x:v>353.58391017235</x:v>
      </x:c>
      <x:c r="E35" s="155" t="n">
        <x:f>E32*E34</x:f>
        <x:v>387.24908246481607</x:v>
      </x:c>
      <x:c r="F35" s="155" t="n">
        <x:f>F32*F34</x:f>
        <x:v>420.1114698795387</x:v>
      </x:c>
      <x:c r="G35" s="205"/>
      <x:c r="H35" s="205"/>
      <x:c r="I35" s="205"/>
      <x:c r="J35" s="154" t="str">
        <x:v>终值现值</x:v>
      </x:c>
      <x:c r="K35" s="155" t="n">
        <x:f>K34/(1+K32)^5</x:f>
        <x:v>3344.1841230943564</x:v>
      </x:c>
    </x:row>
    <x:row r="36">
      <x:c r="A36" s="154" t="str">
        <x:v>现金税</x:v>
      </x:c>
      <x:c r="B36" s="155" t="n">
        <x:f>B35*'Assumptions'!$B$21</x:f>
        <x:v>50.838927516</x:v>
      </x:c>
      <x:c r="C36" s="155" t="n">
        <x:f>C35*'Assumptions'!$B$21</x:f>
        <x:v>57.56760909899999</x:v>
      </x:c>
      <x:c r="D36" s="155" t="n">
        <x:f>D35*'Assumptions'!$B$21</x:f>
        <x:v>63.64510383102299</x:v>
      </x:c>
      <x:c r="E36" s="155" t="n">
        <x:f>E35*'Assumptions'!$B$21</x:f>
        <x:v>69.70483484366689</x:v>
      </x:c>
      <x:c r="F36" s="155" t="n">
        <x:f>F35*'Assumptions'!$B$21</x:f>
        <x:v>75.62006457831696</x:v>
      </x:c>
      <x:c r="G36" s="205"/>
      <x:c r="H36" s="205"/>
      <x:c r="I36" s="205"/>
      <x:c r="J36" s="154" t="str">
        <x:v>显式期现值</x:v>
      </x:c>
      <x:c r="K36" s="155" t="n">
        <x:f>SUM(B43:F43)</x:f>
        <x:v>970.3992347613886</x:v>
      </x:c>
    </x:row>
    <x:row r="37">
      <x:c r="A37" s="154" t="str">
        <x:v>NOPAT</x:v>
      </x:c>
      <x:c r="B37" s="155" t="n">
        <x:f>B35-B36</x:f>
        <x:v>231.599558684</x:v>
      </x:c>
      <x:c r="C37" s="155" t="n">
        <x:f>C35-C36</x:f>
        <x:v>262.252441451</x:v>
      </x:c>
      <x:c r="D37" s="155" t="n">
        <x:f>D35-D36</x:f>
        <x:v>289.938806341327</x:v>
      </x:c>
      <x:c r="E37" s="155" t="n">
        <x:f>E35-E36</x:f>
        <x:v>317.54424762114917</x:v>
      </x:c>
      <x:c r="F37" s="155" t="n">
        <x:f>F35-F36</x:f>
        <x:v>344.49140530122173</x:v>
      </x:c>
      <x:c r="G37" s="205"/>
      <x:c r="H37" s="205"/>
      <x:c r="I37" s="205"/>
      <x:c r="J37" s="154" t="str">
        <x:v>核心业务 EV</x:v>
      </x:c>
      <x:c r="K37" s="155" t="n">
        <x:f>SUM(K35:K36)</x:f>
        <x:v>4314.583357855745</x:v>
      </x:c>
    </x:row>
    <x:row r="38">
      <x:c r="A38" s="154" t="str">
        <x:v>D&amp;A</x:v>
      </x:c>
      <x:c r="B38" s="155" t="n">
        <x:f>B32*'Assumptions'!B37</x:f>
        <x:v>91.3771573</x:v>
      </x:c>
      <x:c r="C38" s="155" t="n">
        <x:f>C32*'Assumptions'!C37</x:f>
        <x:v>100.51487303</x:v>
      </x:c>
      <x:c r="D38" s="155" t="n">
        <x:f>D32*'Assumptions'!D37</x:f>
        <x:v>109.5612116027</x:v>
      </x:c>
      <x:c r="E38" s="155" t="n">
        <x:f>E32*'Assumptions'!E37</x:f>
        <x:v>112.947649052238</x:v>
      </x:c>
      <x:c r="F38" s="155" t="n">
        <x:f>F32*'Assumptions'!F37</x:f>
        <x:v>115.09903284370924</x:v>
      </x:c>
      <x:c r="G38" s="205"/>
      <x:c r="H38" s="205"/>
      <x:c r="I38" s="205"/>
      <x:c r="J38" s="154" t="str">
        <x:v>折价投资组合</x:v>
      </x:c>
      <x:c r="K38" s="155" t="n">
        <x:f>'Assumptions'!$B$10*(1-'Assumptions'!C16)</x:f>
        <x:v>656.25</x:v>
      </x:c>
    </x:row>
    <x:row r="39">
      <x:c r="A39" s="154" t="str">
        <x:v>资本开支</x:v>
      </x:c>
      <x:c r="B39" s="155" t="n">
        <x:f>B32*'Assumptions'!B38</x:f>
        <x:v>149.5262574</x:v>
      </x:c>
      <x:c r="C39" s="155" t="n">
        <x:f>C32*'Assumptions'!C38</x:f>
        <x:v>137.06573595</x:v>
      </x:c>
      <x:c r="D39" s="155" t="n">
        <x:f>D32*'Assumptions'!D38</x:f>
        <x:v>129.4814318941</x:v>
      </x:c>
      <x:c r="E39" s="155" t="n">
        <x:f>E32*'Assumptions'!E38</x:f>
        <x:v>129.08302748827202</x:v>
      </x:c>
      <x:c r="F39" s="155" t="n">
        <x:f>F32*'Assumptions'!F38</x:f>
        <x:v>126.60893612808016</x:v>
      </x:c>
      <x:c r="G39" s="205"/>
      <x:c r="H39" s="205"/>
      <x:c r="I39" s="205"/>
      <x:c r="J39" s="154" t="str">
        <x:v>净现金</x:v>
      </x:c>
      <x:c r="K39" s="155" t="n">
        <x:f>'Assumptions'!$B$7</x:f>
        <x:v>58.2</x:v>
      </x:c>
    </x:row>
    <x:row r="40">
      <x:c r="A40" s="154" t="str">
        <x:v>营运资本增加</x:v>
      </x:c>
      <x:c r="B40" s="155" t="n">
        <x:f>(B32-'Assumptions'!$B$20)*'Assumptions'!$B$22</x:f>
        <x:v>0.7893543</x:v>
      </x:c>
      <x:c r="C40" s="155" t="n">
        <x:f>(C32-B32)*'Assumptions'!$B$22</x:f>
        <x:v>0.8307014300000003</x:v>
      </x:c>
      <x:c r="D40" s="155" t="n">
        <x:f>(D32-C32)*'Assumptions'!$B$22</x:f>
        <x:v>0.8223944157000006</x:v>
      </x:c>
      <x:c r="E40" s="155" t="n">
        <x:f>(E32-D32)*'Assumptions'!$B$22</x:f>
        <x:v>0.7968088116560011</x:v>
      </x:c>
      <x:c r="F40" s="155" t="n">
        <x:f>(F32-E32)*'Assumptions'!$B$22</x:f>
        <x:v>0.7529843270149218</x:v>
      </x:c>
      <x:c r="G40" s="205"/>
      <x:c r="H40" s="205"/>
      <x:c r="I40" s="205"/>
      <x:c r="J40" s="154" t="str">
        <x:v>权益价值</x:v>
      </x:c>
      <x:c r="K40" s="155" t="n">
        <x:f>SUM(K37:K39)</x:f>
        <x:v>5029.033357855745</x:v>
      </x:c>
    </x:row>
    <x:row r="41">
      <x:c r="A41" s="206" t="str">
        <x:v>FCFF</x:v>
      </x:c>
      <x:c r="B41" s="207" t="n">
        <x:f>B37+B38-B39-B40</x:f>
        <x:v>172.66110428399995</x:v>
      </x:c>
      <x:c r="C41" s="207" t="n">
        <x:f>C37+C38-C39-C40</x:f>
        <x:v>224.87087710099996</x:v>
      </x:c>
      <x:c r="D41" s="207" t="n">
        <x:f>D37+D38-D39-D40</x:f>
        <x:v>269.196191634227</x:v>
      </x:c>
      <x:c r="E41" s="207" t="n">
        <x:f>E37+E38-E39-E40</x:f>
        <x:v>300.61206037345914</x:v>
      </x:c>
      <x:c r="F41" s="207" t="n">
        <x:f>F37+F38-F39-F40</x:f>
        <x:v>332.22851768983594</x:v>
      </x:c>
      <x:c r="G41" s="205"/>
      <x:c r="H41" s="205"/>
      <x:c r="I41" s="205"/>
      <x:c r="J41" s="208" t="str">
        <x:v>DCF 每股价值</x:v>
      </x:c>
      <x:c r="K41" s="209" t="n">
        <x:f>K40*'Assumptions'!$B$5/'Assumptions'!$B$6</x:f>
        <x:v>643.5270640036088</x:v>
      </x:c>
    </x:row>
    <x:row r="42">
      <x:c r="A42" s="154" t="str">
        <x:v>折现因子</x:v>
      </x:c>
      <x:c r="B42" s="172" t="n">
        <x:f>1/(1+'Assumptions'!$I$35)</x:f>
        <x:v>0.9132420091324202</x:v>
      </x:c>
      <x:c r="C42" s="172" t="n">
        <x:f>1/(1+'Assumptions'!$I$35)^2</x:f>
        <x:v>0.8340109672442193</x:v>
      </x:c>
      <x:c r="D42" s="172" t="n">
        <x:f>1/(1+'Assumptions'!$I$35)^3</x:f>
        <x:v>0.7616538513645839</x:v>
      </x:c>
      <x:c r="E42" s="172" t="n">
        <x:f>1/(1+'Assumptions'!$I$35)^4</x:f>
        <x:v>0.6955742934836383</x:v>
      </x:c>
      <x:c r="F42" s="172" t="n">
        <x:f>1/(1+'Assumptions'!$I$35)^5</x:f>
        <x:v>0.6352276652818615</x:v>
      </x:c>
      <x:c r="G42" s="205"/>
      <x:c r="H42" s="205"/>
      <x:c r="I42" s="205"/>
      <x:c r="J42" s="205"/>
      <x:c r="K42" s="205"/>
    </x:row>
    <x:row r="43">
      <x:c r="A43" s="157" t="str">
        <x:v>FCFF 现值</x:v>
      </x:c>
      <x:c r="B43" s="182" t="n">
        <x:f>B41*B42</x:f>
        <x:v>157.68137377534242</x:v>
      </x:c>
      <x:c r="C43" s="182" t="n">
        <x:f>C41*C42</x:f>
        <x:v>187.54477771606093</x:v>
      </x:c>
      <x:c r="D43" s="182" t="n">
        <x:f>D41*D42</x:f>
        <x:v>205.03431613088753</x:v>
      </x:c>
      <x:c r="E43" s="182" t="n">
        <x:f>E41*E42</x:f>
        <x:v>209.09802150692965</x:v>
      </x:c>
      <x:c r="F43" s="182" t="n">
        <x:f>F41*F42</x:f>
        <x:v>211.0407456321681</x:v>
      </x:c>
      <x:c r="G43" s="205"/>
      <x:c r="H43" s="205"/>
      <x:c r="I43" s="205"/>
      <x:c r="J43" s="205"/>
      <x:c r="K43" s="205"/>
    </x:row>
    <x:row r="44">
      <x:c r="A44" s="137"/>
      <x:c r="B44" s="137"/>
      <x:c r="C44" s="137"/>
      <x:c r="D44" s="137"/>
      <x:c r="E44" s="137"/>
      <x:c r="F44" s="137"/>
      <x:c r="G44" s="137"/>
      <x:c r="H44" s="137"/>
      <x:c r="I44" s="137"/>
      <x:c r="J44" s="137"/>
      <x:c r="K44" s="137"/>
    </x:row>
    <x:row r="45">
      <x:c r="A45" s="137"/>
      <x:c r="B45" s="137"/>
      <x:c r="C45" s="137"/>
      <x:c r="D45" s="137"/>
      <x:c r="E45" s="137"/>
      <x:c r="F45" s="137"/>
      <x:c r="G45" s="137"/>
      <x:c r="H45" s="137"/>
      <x:c r="I45" s="137"/>
      <x:c r="J45" s="137"/>
      <x:c r="K45" s="137"/>
    </x:row>
    <x:row r="46">
      <x:c r="A46" s="137"/>
      <x:c r="B46" s="137"/>
      <x:c r="C46" s="137"/>
      <x:c r="D46" s="137"/>
      <x:c r="E46" s="137"/>
      <x:c r="F46" s="137"/>
      <x:c r="G46" s="137"/>
      <x:c r="H46" s="137"/>
      <x:c r="I46" s="137"/>
      <x:c r="J46" s="137"/>
      <x:c r="K46" s="137"/>
    </x:row>
    <x:row r="47">
      <x:c r="A47" s="137"/>
      <x:c r="B47" s="137"/>
      <x:c r="C47" s="137"/>
      <x:c r="D47" s="137"/>
      <x:c r="E47" s="137"/>
      <x:c r="F47" s="137"/>
      <x:c r="G47" s="137"/>
      <x:c r="H47" s="137"/>
      <x:c r="I47" s="137"/>
      <x:c r="J47" s="137"/>
      <x:c r="K47" s="137"/>
    </x:row>
    <x:row r="48">
      <x:c r="A48" s="146" t="str">
        <x:v>Bull DCF</x:v>
      </x:c>
      <x:c r="B48" s="147" t="n">
        <x:v>2026</x:v>
      </x:c>
      <x:c r="C48" s="147" t="n">
        <x:v>2027</x:v>
      </x:c>
      <x:c r="D48" s="147" t="n">
        <x:v>2028</x:v>
      </x:c>
      <x:c r="E48" s="147" t="n">
        <x:v>2029</x:v>
      </x:c>
      <x:c r="F48" s="148" t="n">
        <x:v>2030</x:v>
      </x:c>
      <x:c r="G48" s="137"/>
      <x:c r="H48" s="137"/>
      <x:c r="I48" s="137"/>
      <x:c r="J48" s="137"/>
      <x:c r="K48" s="137"/>
    </x:row>
    <x:row r="49">
      <x:c r="A49" s="151" t="str">
        <x:v>收入</x:v>
      </x:c>
      <x:c r="B49" s="183" t="n">
        <x:f>'Assumptions'!$B$20*(1+'Assumptions'!B44)</x:f>
        <x:v>841.97792</x:v>
      </x:c>
      <x:c r="C49" s="183" t="n">
        <x:f>B49*(1+'Assumptions'!C44)</x:f>
        <x:v>943.0152704000002</x:v>
      </x:c>
      <x:c r="D49" s="183" t="n">
        <x:f>C49*(1+'Assumptions'!D44)</x:f>
        <x:v>1046.7469501440003</x:v>
      </x:c>
      <x:c r="E49" s="183" t="n">
        <x:f>D49*(1+'Assumptions'!E44)</x:f>
        <x:v>1151.4216451584005</x:v>
      </x:c>
      <x:c r="F49" s="183" t="n">
        <x:f>E49*(1+'Assumptions'!F44)</x:f>
        <x:v>1243.5353767710726</x:v>
      </x:c>
      <x:c r="G49" s="205"/>
      <x:c r="H49" s="205"/>
      <x:c r="I49" s="205"/>
      <x:c r="J49" s="151" t="str">
        <x:v>WACC</x:v>
      </x:c>
      <x:c r="K49" s="187" t="n">
        <x:f>'Assumptions'!$I$44</x:f>
        <x:v>0.085</x:v>
      </x:c>
    </x:row>
    <x:row r="50">
      <x:c r="A50" s="154" t="str">
        <x:v>收入增长</x:v>
      </x:c>
      <x:c r="B50" s="186" t="n">
        <x:f>'Assumptions'!B44</x:f>
        <x:v>0.12</x:v>
      </x:c>
      <x:c r="C50" s="186" t="n">
        <x:f>'Assumptions'!C44</x:f>
        <x:v>0.12</x:v>
      </x:c>
      <x:c r="D50" s="186" t="n">
        <x:f>'Assumptions'!D44</x:f>
        <x:v>0.11</x:v>
      </x:c>
      <x:c r="E50" s="186" t="n">
        <x:f>'Assumptions'!E44</x:f>
        <x:v>0.1</x:v>
      </x:c>
      <x:c r="F50" s="186" t="n">
        <x:f>'Assumptions'!F44</x:f>
        <x:v>0.08</x:v>
      </x:c>
      <x:c r="G50" s="205"/>
      <x:c r="H50" s="205"/>
      <x:c r="I50" s="205"/>
      <x:c r="J50" s="154" t="str">
        <x:v>永续增长率</x:v>
      </x:c>
      <x:c r="K50" s="186" t="n">
        <x:f>'Assumptions'!$I$45</x:f>
        <x:v>0.035</x:v>
      </x:c>
    </x:row>
    <x:row r="51">
      <x:c r="A51" s="154" t="str">
        <x:v>IFRS 经营利润率</x:v>
      </x:c>
      <x:c r="B51" s="186" t="n">
        <x:f>'Assumptions'!B45</x:f>
        <x:v>0.35</x:v>
      </x:c>
      <x:c r="C51" s="186" t="n">
        <x:f>'Assumptions'!C45</x:f>
        <x:v>0.36</x:v>
      </x:c>
      <x:c r="D51" s="186" t="n">
        <x:f>'Assumptions'!D45</x:f>
        <x:v>0.37</x:v>
      </x:c>
      <x:c r="E51" s="186" t="n">
        <x:f>'Assumptions'!E45</x:f>
        <x:v>0.38</x:v>
      </x:c>
      <x:c r="F51" s="186" t="n">
        <x:f>'Assumptions'!F45</x:f>
        <x:v>0.39</x:v>
      </x:c>
      <x:c r="G51" s="205"/>
      <x:c r="H51" s="205"/>
      <x:c r="I51" s="205"/>
      <x:c r="J51" s="154" t="str">
        <x:v>终值</x:v>
      </x:c>
      <x:c r="K51" s="155" t="n">
        <x:f>F58*(1+K50)/(K49-K50)</x:f>
        <x:v>8212.96255682793</x:v>
      </x:c>
    </x:row>
    <x:row r="52">
      <x:c r="A52" s="154" t="str">
        <x:v>EBIT</x:v>
      </x:c>
      <x:c r="B52" s="155" t="n">
        <x:f>B49*B51</x:f>
        <x:v>294.692272</x:v>
      </x:c>
      <x:c r="C52" s="155" t="n">
        <x:f>C49*C51</x:f>
        <x:v>339.48549734400007</x:v>
      </x:c>
      <x:c r="D52" s="155" t="n">
        <x:f>D49*D51</x:f>
        <x:v>387.2963715532801</x:v>
      </x:c>
      <x:c r="E52" s="155" t="n">
        <x:f>E49*E51</x:f>
        <x:v>437.54022516019216</x:v>
      </x:c>
      <x:c r="F52" s="155" t="n">
        <x:f>F49*F51</x:f>
        <x:v>484.9787969407183</x:v>
      </x:c>
      <x:c r="G52" s="205"/>
      <x:c r="H52" s="205"/>
      <x:c r="I52" s="205"/>
      <x:c r="J52" s="154" t="str">
        <x:v>终值现值</x:v>
      </x:c>
      <x:c r="K52" s="155" t="n">
        <x:f>K51/(1+K49)^5</x:f>
        <x:v>5461.993160057708</x:v>
      </x:c>
    </x:row>
    <x:row r="53">
      <x:c r="A53" s="154" t="str">
        <x:v>现金税</x:v>
      </x:c>
      <x:c r="B53" s="155" t="n">
        <x:f>B52*'Assumptions'!$B$21</x:f>
        <x:v>53.04460896</x:v>
      </x:c>
      <x:c r="C53" s="155" t="n">
        <x:f>C52*'Assumptions'!$B$21</x:f>
        <x:v>61.10738952192001</x:v>
      </x:c>
      <x:c r="D53" s="155" t="n">
        <x:f>D52*'Assumptions'!$B$21</x:f>
        <x:v>69.71334687959042</x:v>
      </x:c>
      <x:c r="E53" s="155" t="n">
        <x:f>E52*'Assumptions'!$B$21</x:f>
        <x:v>78.75724052883459</x:v>
      </x:c>
      <x:c r="F53" s="155" t="n">
        <x:f>F52*'Assumptions'!$B$21</x:f>
        <x:v>87.29618344932929</x:v>
      </x:c>
      <x:c r="G53" s="205"/>
      <x:c r="H53" s="205"/>
      <x:c r="I53" s="205"/>
      <x:c r="J53" s="154" t="str">
        <x:v>显式期现值</x:v>
      </x:c>
      <x:c r="K53" s="155" t="n">
        <x:f>SUM(B60:F60)</x:f>
        <x:v>1140.2814025255934</x:v>
      </x:c>
    </x:row>
    <x:row r="54">
      <x:c r="A54" s="154" t="str">
        <x:v>NOPAT</x:v>
      </x:c>
      <x:c r="B54" s="155" t="n">
        <x:f>B52-B53</x:f>
        <x:v>241.64766304</x:v>
      </x:c>
      <x:c r="C54" s="155" t="n">
        <x:f>C52-C53</x:f>
        <x:v>278.37810782208004</x:v>
      </x:c>
      <x:c r="D54" s="155" t="n">
        <x:f>D52-D53</x:f>
        <x:v>317.5830246736897</x:v>
      </x:c>
      <x:c r="E54" s="155" t="n">
        <x:f>E52-E53</x:f>
        <x:v>358.7829846313576</x:v>
      </x:c>
      <x:c r="F54" s="155" t="n">
        <x:f>F52-F53</x:f>
        <x:v>397.682613491389</x:v>
      </x:c>
      <x:c r="G54" s="205"/>
      <x:c r="H54" s="205"/>
      <x:c r="I54" s="205"/>
      <x:c r="J54" s="154" t="str">
        <x:v>核心业务 EV</x:v>
      </x:c>
      <x:c r="K54" s="155" t="n">
        <x:f>SUM(K52:K53)</x:f>
        <x:v>6602.274562583301</x:v>
      </x:c>
    </x:row>
    <x:row r="55">
      <x:c r="A55" s="154" t="str">
        <x:v>D&amp;A</x:v>
      </x:c>
      <x:c r="B55" s="155" t="n">
        <x:f>B49*'Assumptions'!B46</x:f>
        <x:v>92.6175712</x:v>
      </x:c>
      <x:c r="C55" s="155" t="n">
        <x:f>C49*'Assumptions'!C46</x:f>
        <x:v>103.73167974400002</x:v>
      </x:c>
      <x:c r="D55" s="155" t="n">
        <x:f>D49*'Assumptions'!D46</x:f>
        <x:v>109.90842976512002</x:v>
      </x:c>
      <x:c r="E55" s="155" t="n">
        <x:f>E49*'Assumptions'!E46</x:f>
        <x:v>115.14216451584005</x:v>
      </x:c>
      <x:c r="F55" s="155" t="n">
        <x:f>F49*'Assumptions'!F46</x:f>
        <x:v>118.1358607932519</x:v>
      </x:c>
      <x:c r="G55" s="205"/>
      <x:c r="H55" s="205"/>
      <x:c r="I55" s="205"/>
      <x:c r="J55" s="154" t="str">
        <x:v>折价投资组合</x:v>
      </x:c>
      <x:c r="K55" s="155" t="n">
        <x:f>'Assumptions'!$B$10*(1-'Assumptions'!D16)</x:f>
        <x:v>743.75</x:v>
      </x:c>
    </x:row>
    <x:row r="56">
      <x:c r="A56" s="154" t="str">
        <x:v>资本开支</x:v>
      </x:c>
      <x:c r="B56" s="155" t="n">
        <x:f>B49*'Assumptions'!B47</x:f>
        <x:v>143.1362464</x:v>
      </x:c>
      <x:c r="C56" s="155" t="n">
        <x:f>C49*'Assumptions'!C47</x:f>
        <x:v>132.02213785600003</x:v>
      </x:c>
      <x:c r="D56" s="155" t="n">
        <x:f>D49*'Assumptions'!D47</x:f>
        <x:v>125.60963401728003</x:v>
      </x:c>
      <x:c r="E56" s="155" t="n">
        <x:f>E49*'Assumptions'!E47</x:f>
        <x:v>120.89927274163205</x:v>
      </x:c>
      <x:c r="F56" s="155" t="n">
        <x:f>F49*'Assumptions'!F47</x:f>
        <x:v>118.1358607932519</x:v>
      </x:c>
      <x:c r="G56" s="205"/>
      <x:c r="H56" s="205"/>
      <x:c r="I56" s="205"/>
      <x:c r="J56" s="154" t="str">
        <x:v>净现金</x:v>
      </x:c>
      <x:c r="K56" s="155" t="n">
        <x:f>'Assumptions'!$B$7</x:f>
        <x:v>58.2</x:v>
      </x:c>
    </x:row>
    <x:row r="57">
      <x:c r="A57" s="154" t="str">
        <x:v>营运资本增加</x:v>
      </x:c>
      <x:c r="B57" s="155" t="n">
        <x:f>(B49-'Assumptions'!$B$20)*'Assumptions'!$B$22</x:f>
        <x:v>0.9021192000000008</x:v>
      </x:c>
      <x:c r="C57" s="155" t="n">
        <x:f>(C49-B49)*'Assumptions'!$B$22</x:f>
        <x:v>1.0103735040000015</x:v>
      </x:c>
      <x:c r="D57" s="155" t="n">
        <x:f>(D49-C49)*'Assumptions'!$B$22</x:f>
        <x:v>1.0373167974400008</x:v>
      </x:c>
      <x:c r="E57" s="155" t="n">
        <x:f>(E49-D49)*'Assumptions'!$B$22</x:f>
        <x:v>1.0467469501440019</x:v>
      </x:c>
      <x:c r="F57" s="155" t="n">
        <x:f>(F49-E49)*'Assumptions'!$B$22</x:f>
        <x:v>0.9211373161267216</x:v>
      </x:c>
      <x:c r="G57" s="205"/>
      <x:c r="H57" s="205"/>
      <x:c r="I57" s="205"/>
      <x:c r="J57" s="154" t="str">
        <x:v>权益价值</x:v>
      </x:c>
      <x:c r="K57" s="155" t="n">
        <x:f>SUM(K54:K56)</x:f>
        <x:v>7404.224562583301</x:v>
      </x:c>
    </x:row>
    <x:row r="58">
      <x:c r="A58" s="206" t="str">
        <x:v>FCFF</x:v>
      </x:c>
      <x:c r="B58" s="207" t="n">
        <x:f>B54+B55-B56-B57</x:f>
        <x:v>190.22686864</x:v>
      </x:c>
      <x:c r="C58" s="207" t="n">
        <x:f>C54+C55-C56-C57</x:f>
        <x:v>249.07727620608003</x:v>
      </x:c>
      <x:c r="D58" s="207" t="n">
        <x:f>D54+D55-D56-D57</x:f>
        <x:v>300.84450362408967</x:v>
      </x:c>
      <x:c r="E58" s="207" t="n">
        <x:f>E54+E55-E56-E57</x:f>
        <x:v>351.9791294554216</x:v>
      </x:c>
      <x:c r="F58" s="207" t="n">
        <x:f>F54+F55-F56-F57</x:f>
        <x:v>396.7614761752624</x:v>
      </x:c>
      <x:c r="G58" s="205"/>
      <x:c r="H58" s="205"/>
      <x:c r="I58" s="205"/>
      <x:c r="J58" s="208" t="str">
        <x:v>DCF 每股价值</x:v>
      </x:c>
      <x:c r="K58" s="209" t="n">
        <x:f>K57*'Assumptions'!$B$5/'Assumptions'!$B$6</x:f>
        <x:v>947.4621771079755</x:v>
      </x:c>
    </x:row>
    <x:row r="59">
      <x:c r="A59" s="154" t="str">
        <x:v>折现因子</x:v>
      </x:c>
      <x:c r="B59" s="172" t="n">
        <x:f>1/(1+'Assumptions'!$I$44)</x:f>
        <x:v>0.9216589861751152</x:v>
      </x:c>
      <x:c r="C59" s="172" t="n">
        <x:f>1/(1+'Assumptions'!$I$44)^2</x:f>
        <x:v>0.8494552867973413</x:v>
      </x:c>
      <x:c r="D59" s="172" t="n">
        <x:f>1/(1+'Assumptions'!$I$44)^3</x:f>
        <x:v>0.7829080984307294</x:v>
      </x:c>
      <x:c r="E59" s="172" t="n">
        <x:f>1/(1+'Assumptions'!$I$44)^4</x:f>
        <x:v>0.7215742842679533</x:v>
      </x:c>
      <x:c r="F59" s="172" t="n">
        <x:f>1/(1+'Assumptions'!$I$44)^5</x:f>
        <x:v>0.6650454232884362</x:v>
      </x:c>
      <x:c r="G59" s="205"/>
      <x:c r="H59" s="205"/>
      <x:c r="I59" s="205"/>
      <x:c r="J59" s="205"/>
      <x:c r="K59" s="205"/>
    </x:row>
    <x:row r="60">
      <x:c r="A60" s="157" t="str">
        <x:v>FCFF 现值</x:v>
      </x:c>
      <x:c r="B60" s="182" t="n">
        <x:f>B58*B59</x:f>
        <x:v>175.3243028940092</x:v>
      </x:c>
      <x:c r="C60" s="182" t="n">
        <x:f>C58*C59</x:f>
        <x:v>211.5800090943363</x:v>
      </x:c>
      <x:c r="D60" s="182" t="n">
        <x:f>D58*D59</x:f>
        <x:v>235.53359825567273</x:v>
      </x:c>
      <x:c r="E60" s="182" t="n">
        <x:f>E58*E59</x:f>
        <x:v>253.97908841405317</x:v>
      </x:c>
      <x:c r="F60" s="182" t="n">
        <x:f>F58*F59</x:f>
        <x:v>263.8644038675221</x:v>
      </x:c>
      <x:c r="G60" s="205"/>
      <x:c r="H60" s="205"/>
      <x:c r="I60" s="205"/>
      <x:c r="J60" s="205"/>
      <x:c r="K60" s="205"/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</x:cols>
  <x:sheetData>
    <x:row r="1" ht="30" customHeight="1">
      <x:c r="A1" s="113" t="str">
        <x:v>模型检查</x:v>
      </x:c>
      <x:c r="B1" s="113" t="str">
        <x:v>模型检查</x:v>
      </x:c>
      <x:c r="C1" s="113" t="str">
        <x:v>模型检查</x:v>
      </x:c>
      <x:c r="D1" s="113" t="str">
        <x:v>模型检查</x:v>
      </x:c>
      <x:c r="E1" s="113" t="str">
        <x:v>模型检查</x:v>
      </x:c>
      <x:c r="F1" s="113" t="str">
        <x:v>模型检查</x:v>
      </x:c>
      <x:c r="G1" s="113" t="str">
        <x:v>模型检查</x:v>
      </x:c>
    </x:row>
    <x:row r="2">
      <x:c r="A2" s="137" t="str">
        <x:v>总体模型状态</x:v>
      </x:c>
      <x:c r="B2" s="137" t="str">
        <x:v>总体模型状态</x:v>
      </x:c>
      <x:c r="C2" s="137" t="str">
        <x:v>总体模型状态</x:v>
      </x:c>
      <x:c r="D2" s="137" t="str">
        <x:v>总体模型状态</x:v>
      </x:c>
      <x:c r="E2" s="137" t="str">
        <x:v>总体模型状态</x:v>
      </x:c>
      <x:c r="F2" s="137" t="str">
        <x:f>IF(COUNTIF(F5:F11,"FAIL")=0,"OK","FAIL")</x:f>
        <x:v>OK</x:v>
      </x:c>
      <x:c r="G2" s="137"/>
    </x:row>
    <x:row r="3">
      <x:c r="A3" s="137"/>
      <x:c r="B3" s="137"/>
      <x:c r="C3" s="137"/>
      <x:c r="D3" s="137"/>
      <x:c r="E3" s="137"/>
      <x:c r="F3" s="137"/>
      <x:c r="G3" s="137"/>
    </x:row>
    <x:row r="4">
      <x:c r="A4" s="146" t="str">
        <x:v>检查项</x:v>
      </x:c>
      <x:c r="B4" s="147" t="str">
        <x:v>实际值</x:v>
      </x:c>
      <x:c r="C4" s="147" t="str">
        <x:v>预期/阈值</x:v>
      </x:c>
      <x:c r="D4" s="147" t="str">
        <x:v>差异</x:v>
      </x:c>
      <x:c r="E4" s="147" t="str">
        <x:v>容差</x:v>
      </x:c>
      <x:c r="F4" s="147" t="str">
        <x:v>状态</x:v>
      </x:c>
      <x:c r="G4" s="148" t="str">
        <x:v>说明</x:v>
      </x:c>
    </x:row>
    <x:row r="5">
      <x:c r="A5" s="151" t="str">
        <x:v>投资组合加总</x:v>
      </x:c>
      <x:c r="B5" s="212" t="n">
        <x:f>'Assumptions'!B10</x:f>
        <x:v>875</x:v>
      </x:c>
      <x:c r="C5" s="212" t="n">
        <x:f>SUM('Assumptions'!B8:B9)</x:f>
        <x:v>875</x:v>
      </x:c>
      <x:c r="D5" s="212" t="n">
        <x:f>B5-C5</x:f>
        <x:v>0</x:v>
      </x:c>
      <x:c r="E5" s="212" t="n">
        <x:v>0.001</x:v>
      </x:c>
      <x:c r="F5" s="151" t="str">
        <x:f>IF(ABS(D5)&lt;=E5,"OK","FAIL")</x:f>
        <x:v>OK</x:v>
      </x:c>
      <x:c r="G5" s="151" t="str">
        <x:v>上市 + 非上市投资</x:v>
      </x:c>
    </x:row>
    <x:row r="6">
      <x:c r="A6" s="154" t="str">
        <x:v>股份数为正</x:v>
      </x:c>
      <x:c r="B6" s="172" t="n">
        <x:f>'Assumptions'!B6</x:f>
        <x:v>9.092516289</x:v>
      </x:c>
      <x:c r="C6" s="172" t="n">
        <x:v>0</x:v>
      </x:c>
      <x:c r="D6" s="172" t="n">
        <x:f>B6-C6</x:f>
        <x:v>9.092516289</x:v>
      </x:c>
      <x:c r="E6" s="172" t="n">
        <x:v>0</x:v>
      </x:c>
      <x:c r="F6" s="154" t="str">
        <x:f>IF(B6&gt;0,"OK","FAIL")</x:f>
        <x:v>OK</x:v>
      </x:c>
      <x:c r="G6" s="154" t="str">
        <x:v>近似已发行股份必须为正</x:v>
      </x:c>
    </x:row>
    <x:row r="7">
      <x:c r="A7" s="154" t="str">
        <x:v>Bear WACC &gt; g</x:v>
      </x:c>
      <x:c r="B7" s="186" t="n">
        <x:f>'Assumptions'!I26</x:f>
        <x:v>0.105</x:v>
      </x:c>
      <x:c r="C7" s="186" t="n">
        <x:f>'Assumptions'!I27</x:f>
        <x:v>0.02</x:v>
      </x:c>
      <x:c r="D7" s="186" t="n">
        <x:f>B7-C7</x:f>
        <x:v>0.08499999999999999</x:v>
      </x:c>
      <x:c r="E7" s="186" t="n">
        <x:v>0</x:v>
      </x:c>
      <x:c r="F7" s="154" t="str">
        <x:f>IF(D7&gt;0,"OK","FAIL")</x:f>
        <x:v>OK</x:v>
      </x:c>
      <x:c r="G7" s="154" t="str">
        <x:v>终值分母必须为正</x:v>
      </x:c>
    </x:row>
    <x:row r="8">
      <x:c r="A8" s="154" t="str">
        <x:v>Base WACC &gt; g</x:v>
      </x:c>
      <x:c r="B8" s="186" t="n">
        <x:f>'Assumptions'!I35</x:f>
        <x:v>0.095</x:v>
      </x:c>
      <x:c r="C8" s="186" t="n">
        <x:f>'Assumptions'!I36</x:f>
        <x:v>0.03</x:v>
      </x:c>
      <x:c r="D8" s="186" t="n">
        <x:f>B8-C8</x:f>
        <x:v>0.065</x:v>
      </x:c>
      <x:c r="E8" s="186" t="n">
        <x:v>0</x:v>
      </x:c>
      <x:c r="F8" s="154" t="str">
        <x:f>IF(D8&gt;0,"OK","FAIL")</x:f>
        <x:v>OK</x:v>
      </x:c>
      <x:c r="G8" s="154" t="str">
        <x:v>终值分母必须为正</x:v>
      </x:c>
    </x:row>
    <x:row r="9">
      <x:c r="A9" s="154" t="str">
        <x:v>Bull WACC &gt; g</x:v>
      </x:c>
      <x:c r="B9" s="186" t="n">
        <x:f>'Assumptions'!I44</x:f>
        <x:v>0.085</x:v>
      </x:c>
      <x:c r="C9" s="186" t="n">
        <x:f>'Assumptions'!I45</x:f>
        <x:v>0.035</x:v>
      </x:c>
      <x:c r="D9" s="186" t="n">
        <x:f>B9-C9</x:f>
        <x:v>0.05</x:v>
      </x:c>
      <x:c r="E9" s="186" t="n">
        <x:v>0</x:v>
      </x:c>
      <x:c r="F9" s="154" t="str">
        <x:f>IF(D9&gt;0,"OK","FAIL")</x:f>
        <x:v>OK</x:v>
      </x:c>
      <x:c r="G9" s="154" t="str">
        <x:v>终值分母必须为正</x:v>
      </x:c>
    </x:row>
    <x:row r="10">
      <x:c r="A10" s="154" t="str">
        <x:v>市场价格为正</x:v>
      </x:c>
      <x:c r="B10" s="172" t="n">
        <x:f>'Assumptions'!B4</x:f>
        <x:v>461.6</x:v>
      </x:c>
      <x:c r="C10" s="172" t="n">
        <x:v>0</x:v>
      </x:c>
      <x:c r="D10" s="172" t="n">
        <x:f>B10-C10</x:f>
        <x:v>461.6</x:v>
      </x:c>
      <x:c r="E10" s="172" t="n">
        <x:v>0</x:v>
      </x:c>
      <x:c r="F10" s="154" t="str">
        <x:f>IF(B10&gt;0,"OK","FAIL")</x:f>
        <x:v>OK</x:v>
      </x:c>
      <x:c r="G10" s="154" t="str">
        <x:v>市场输入必须为正</x:v>
      </x:c>
    </x:row>
    <x:row r="11">
      <x:c r="A11" s="157" t="str">
        <x:v>Base DCF 与 SOTP 差异</x:v>
      </x:c>
      <x:c r="B11" s="213" t="n">
        <x:f>'Valuation'!C6</x:f>
        <x:v>643.5270640036088</x:v>
      </x:c>
      <x:c r="C11" s="213" t="n">
        <x:f>'Valuation'!B6</x:f>
        <x:v>628.8647051331116</x:v>
      </x:c>
      <x:c r="D11" s="185" t="n">
        <x:f>ABS(B11/C11-1)</x:f>
        <x:v>0.023315601513037132</x:v>
      </x:c>
      <x:c r="E11" s="185" t="n">
        <x:v>0.25</x:v>
      </x:c>
      <x:c r="F11" s="157" t="str">
        <x:f>IF(D11&lt;=E11,"OK","FAIL")</x:f>
        <x:v>OK</x:v>
      </x:c>
      <x:c r="G11" s="157" t="str">
        <x:v>两种基准方法差异不超过 25%</x:v>
      </x:c>
    </x:row>
  </x:sheetData>
  <x:mergeCells>
    <x:mergeCell ref="A1:G1"/>
    <x:mergeCell ref="A2:E2"/>
  </x:mergeCells>
  <x:conditionalFormatting sqref="F2:F2">
    <x:cfRule type="containsText" dxfId="0" priority="1" operator="containsText" text="OK"/>
    <x:cfRule type="containsText" dxfId="1" priority="2" operator="containsText" text="FAIL"/>
  </x:conditionalFormatting>
  <x:conditionalFormatting sqref="F5:F11">
    <x:cfRule type="containsText" dxfId="2" priority="3" operator="containsText" text="OK"/>
    <x:cfRule type="containsText" dxfId="3" priority="4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12" hidden="0" customWidth="1"/>
    <x:col min="5" max="5" width="14" hidden="0" customWidth="1"/>
    <x:col min="6" max="6" width="28" hidden="0" customWidth="1"/>
    <x:col min="7" max="7" width="68" hidden="0" customWidth="1"/>
    <x:col min="8" max="8" width="36" hidden="0" customWidth="1"/>
  </x:cols>
  <x:sheetData>
    <x:row r="1" ht="30" customHeight="1">
      <x:c r="A1" s="113" t="str">
        <x:v>来源与审计索引</x:v>
      </x:c>
      <x:c r="B1" s="113" t="str">
        <x:v>来源与审计索引</x:v>
      </x:c>
      <x:c r="C1" s="113" t="str">
        <x:v>来源与审计索引</x:v>
      </x:c>
      <x:c r="D1" s="113" t="str">
        <x:v>来源与审计索引</x:v>
      </x:c>
      <x:c r="E1" s="113" t="str">
        <x:v>来源与审计索引</x:v>
      </x:c>
      <x:c r="F1" s="113" t="str">
        <x:v>来源与审计索引</x:v>
      </x:c>
      <x:c r="G1" s="113" t="str">
        <x:v>来源与审计索引</x:v>
      </x:c>
      <x:c r="H1" s="113" t="str">
        <x:v>来源与审计索引</x:v>
      </x:c>
    </x:row>
    <x:row r="2">
      <x:c r="A2" s="137"/>
      <x:c r="B2" s="137"/>
      <x:c r="C2" s="137"/>
      <x:c r="D2" s="137"/>
      <x:c r="E2" s="137"/>
      <x:c r="F2" s="137"/>
      <x:c r="G2" s="137"/>
      <x:c r="H2" s="137"/>
    </x:row>
    <x:row r="3">
      <x:c r="A3" s="146" t="str">
        <x:v>ID</x:v>
      </x:c>
      <x:c r="B3" s="147" t="str">
        <x:v>输入/主题</x:v>
      </x:c>
      <x:c r="C3" s="147" t="str">
        <x:v>数值</x:v>
      </x:c>
      <x:c r="D3" s="147" t="str">
        <x:v>单位</x:v>
      </x:c>
      <x:c r="E3" s="147" t="str">
        <x:v>截至/期间</x:v>
      </x:c>
      <x:c r="F3" s="147" t="str">
        <x:v>来源名称</x:v>
      </x:c>
      <x:c r="G3" s="147" t="str">
        <x:v>URL</x:v>
      </x:c>
      <x:c r="H3" s="148" t="str">
        <x:v>审计说明</x:v>
      </x:c>
    </x:row>
    <x:row r="4" ht="42" customHeight="1">
      <x:c r="A4" s="151" t="str">
        <x:v>S1</x:v>
      </x:c>
      <x:c r="B4" s="223" t="str">
        <x:v>2025 年历史财务与治理</x:v>
      </x:c>
      <x:c r="C4" s="224" t="str"/>
      <x:c r="D4" s="223" t="str"/>
      <x:c r="E4" s="223" t="str">
        <x:v>FY2025</x:v>
      </x:c>
      <x:c r="F4" s="223" t="str">
        <x:v>腾讯 2025 年年度报告</x:v>
      </x:c>
      <x:c r="G4" s="225" t="str">
        <x:v>https://www1.hkexnews.hk/listedco/listconews/sehk/2026/0409/2026040901231.pdf</x:v>
      </x:c>
      <x:c r="H4" s="223" t="str">
        <x:v>已审计；IFRS</x:v>
      </x:c>
    </x:row>
    <x:row r="5" ht="42" customHeight="1">
      <x:c r="A5" s="154" t="str">
        <x:v>S2</x:v>
      </x:c>
      <x:c r="B5" s="226" t="str">
        <x:v>2026 年第一季度</x:v>
      </x:c>
      <x:c r="C5" s="227" t="str"/>
      <x:c r="D5" s="226" t="str"/>
      <x:c r="E5" s="226" t="str">
        <x:v>Q1 2026</x:v>
      </x:c>
      <x:c r="F5" s="226" t="str">
        <x:v>腾讯 2026 年第一季度业绩公告</x:v>
      </x:c>
      <x:c r="G5" s="228" t="str">
        <x:v>https://www1.hkexnews.hk/listedco/listconews/sehk/2026/0513/2026051300334.pdf</x:v>
      </x:c>
      <x:c r="H5" s="226" t="str">
        <x:v>未经审计；经审阅</x:v>
      </x:c>
    </x:row>
    <x:row r="6" ht="42" customHeight="1">
      <x:c r="A6" s="154" t="str">
        <x:v>S3</x:v>
      </x:c>
      <x:c r="B6" s="226" t="str">
        <x:v>2026 年第二季度</x:v>
      </x:c>
      <x:c r="C6" s="227" t="str"/>
      <x:c r="D6" s="226" t="str"/>
      <x:c r="E6" s="226" t="str">
        <x:v>Q2 2026</x:v>
      </x:c>
      <x:c r="F6" s="226" t="str">
        <x:v>腾讯 2026 年第二季度业绩演示</x:v>
      </x:c>
      <x:c r="G6" s="228" t="str">
        <x:v>https://static.www.tencent.com/website-2026-upload/2Q26-earnings-PPT_20260812_1800-88b183.pdf</x:v>
      </x:c>
      <x:c r="H6" s="226" t="str">
        <x:v>未经审计；正式公告链接待补</x:v>
      </x:c>
    </x:row>
    <x:row r="7" ht="42" customHeight="1">
      <x:c r="A7" s="154" t="str">
        <x:v>S4</x:v>
      </x:c>
      <x:c r="B7" s="226" t="str">
        <x:v>已发行股份</x:v>
      </x:c>
      <x:c r="C7" s="227" t="n">
        <x:v>9.092516289</x:v>
      </x:c>
      <x:c r="D7" s="226" t="str">
        <x:v>十亿股</x:v>
      </x:c>
      <x:c r="E7" s="226" t="str">
        <x:v>2026-07-09</x:v>
      </x:c>
      <x:c r="F7" s="226" t="str">
        <x:v>翌日披露报表</x:v>
      </x:c>
      <x:c r="G7" s="228" t="str">
        <x:v>https://static.www.tencent.com/uploads/2026/07/09/6438e0c0cb4954c7cfdf88d907716072.pdf</x:v>
      </x:c>
      <x:c r="H7" s="226" t="str">
        <x:v>不含后续变动和潜在摊薄</x:v>
      </x:c>
    </x:row>
    <x:row r="8" ht="42" customHeight="1">
      <x:c r="A8" s="154" t="str">
        <x:v>S5</x:v>
      </x:c>
      <x:c r="B8" s="226" t="str">
        <x:v>收市价</x:v>
      </x:c>
      <x:c r="C8" s="227" t="n">
        <x:v>461.6</x:v>
      </x:c>
      <x:c r="D8" s="226" t="str">
        <x:v>HKD/股</x:v>
      </x:c>
      <x:c r="E8" s="226" t="str">
        <x:v>2026-08-12</x:v>
      </x:c>
      <x:c r="F8" s="226" t="str">
        <x:v>Yahoo Finance chart API</x:v>
      </x:c>
      <x:c r="G8" s="228" t="str">
        <x:v>https://query1.finance.yahoo.com/v8/finance/chart/0700.HK?period1=1786377600&amp;period2=1786550400&amp;interval=1d&amp;events=history</x:v>
      </x:c>
      <x:c r="H8" s="226" t="str">
        <x:v>二级市场延迟行情</x:v>
      </x:c>
    </x:row>
    <x:row r="9" ht="42" customHeight="1">
      <x:c r="A9" s="154" t="str">
        <x:v>S6</x:v>
      </x:c>
      <x:c r="B9" s="226" t="str">
        <x:v>CNY/HKD</x:v>
      </x:c>
      <x:c r="C9" s="227" t="n">
        <x:v>1.1635</x:v>
      </x:c>
      <x:c r="D9" s="226" t="str">
        <x:v>HKD/CNY</x:v>
      </x:c>
      <x:c r="E9" s="226" t="str">
        <x:v>2026-08-12</x:v>
      </x:c>
      <x:c r="F9" s="226" t="str">
        <x:v>Yahoo Finance chart API</x:v>
      </x:c>
      <x:c r="G9" s="228" t="str">
        <x:v>https://query1.finance.yahoo.com/v8/finance/chart/CNYHKD=X?period1=1786377600&amp;period2=1786550400&amp;interval=1d&amp;events=history</x:v>
      </x:c>
      <x:c r="H9" s="226" t="str">
        <x:v>二级市场汇率</x:v>
      </x:c>
    </x:row>
    <x:row r="10" ht="42" customHeight="1">
      <x:c r="A10" s="154" t="str">
        <x:v>S3</x:v>
      </x:c>
      <x:c r="B10" s="226" t="str">
        <x:v>净现金</x:v>
      </x:c>
      <x:c r="C10" s="227" t="n">
        <x:v>58.2</x:v>
      </x:c>
      <x:c r="D10" s="226" t="str">
        <x:v>RMB bn</x:v>
      </x:c>
      <x:c r="E10" s="226" t="str">
        <x:v>2026-06-30</x:v>
      </x:c>
      <x:c r="F10" s="226" t="str">
        <x:v>腾讯 2Q26 演示</x:v>
      </x:c>
      <x:c r="G10" s="228" t="str">
        <x:v>https://static.www.tencent.com/website-2026-upload/2Q26-earnings-PPT_20260812_1800-88b183.pdf</x:v>
      </x:c>
      <x:c r="H10" s="226" t="str">
        <x:v>公司定义：现金及流动投资减借款和票据</x:v>
      </x:c>
    </x:row>
    <x:row r="11" ht="42" customHeight="1">
      <x:c r="A11" s="154" t="str">
        <x:v>S3</x:v>
      </x:c>
      <x:c r="B11" s="226" t="str">
        <x:v>上市投资公允价值</x:v>
      </x:c>
      <x:c r="C11" s="227" t="n">
        <x:v>487</x:v>
      </x:c>
      <x:c r="D11" s="226" t="str">
        <x:v>RMB bn</x:v>
      </x:c>
      <x:c r="E11" s="226" t="str">
        <x:v>2026-06-30</x:v>
      </x:c>
      <x:c r="F11" s="226" t="str">
        <x:v>腾讯 2Q26 演示</x:v>
      </x:c>
      <x:c r="G11" s="228" t="str">
        <x:v>https://static.www.tencent.com/website-2026-upload/2Q26-earnings-PPT_20260812_1800-88b183.pdf</x:v>
      </x:c>
      <x:c r="H11" s="226" t="str">
        <x:v>不含子公司；归属口径</x:v>
      </x:c>
    </x:row>
    <x:row r="12" ht="42" customHeight="1">
      <x:c r="A12" s="157" t="str">
        <x:v>S3</x:v>
      </x:c>
      <x:c r="B12" s="229" t="str">
        <x:v>非上市投资账面价值</x:v>
      </x:c>
      <x:c r="C12" s="230" t="n">
        <x:v>388</x:v>
      </x:c>
      <x:c r="D12" s="229" t="str">
        <x:v>RMB bn</x:v>
      </x:c>
      <x:c r="E12" s="229" t="str">
        <x:v>2026-06-30</x:v>
      </x:c>
      <x:c r="F12" s="229" t="str">
        <x:v>腾讯 2Q26 演示</x:v>
      </x:c>
      <x:c r="G12" s="231" t="str">
        <x:v>https://static.www.tencent.com/website-2026-upload/2Q26-earnings-PPT_20260812_1800-88b183.pdf</x:v>
      </x:c>
      <x:c r="H12" s="229" t="str">
        <x:v>不含子公司；账面价值不等于可变现价值</x:v>
      </x:c>
    </x:row>
  </x:sheetData>
  <x:mergeCells>
    <x:mergeCell ref="A1:H1"/>
  </x:mergeCells>
  <x:pageMargins left="0.7" right="0.7" top="0.75" bottom="0.75" header="0.3" footer="0.3"/>
</x:worksheet>
</file>